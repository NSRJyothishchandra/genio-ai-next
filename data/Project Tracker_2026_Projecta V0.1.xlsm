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xml" ContentType="application/vnd.openxmlformats-officedocument.themeOverride+xml"/>
  <Override PartName="/xl/drawings/drawing5.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2.xml" ContentType="application/vnd.openxmlformats-officedocument.themeOverride+xml"/>
  <Override PartName="/xl/drawings/drawing6.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3.xml" ContentType="application/vnd.openxmlformats-officedocument.themeOverride+xml"/>
  <Override PartName="/xl/drawings/drawing7.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15" codeName="{00000000-0000-0000-0000-000000000000}"/>
  <workbookPr codeName="ThisWorkbook"/>
  <mc:AlternateContent xmlns:mc="http://schemas.openxmlformats.org/markup-compatibility/2006">
    <mc:Choice Requires="x15">
      <x15ac:absPath xmlns:x15ac="http://schemas.microsoft.com/office/spreadsheetml/2010/11/ac" url="https://bonfiglioligroup.sharepoint.com/teams/Projecta/Shared Documents/Projecta/Project tracker sheet/"/>
    </mc:Choice>
  </mc:AlternateContent>
  <xr:revisionPtr revIDLastSave="0" documentId="8_{B702675C-17AD-4F00-BAF0-5188E969D4EC}" xr6:coauthVersionLast="47" xr6:coauthVersionMax="47" xr10:uidLastSave="{00000000-0000-0000-0000-000000000000}"/>
  <bookViews>
    <workbookView xWindow="-108" yWindow="-108" windowWidth="23256" windowHeight="13896" tabRatio="597" firstSheet="1" activeTab="1" xr2:uid="{89A3CF12-00B4-44D0-9DA5-0361E5C14805}"/>
  </bookViews>
  <sheets>
    <sheet name="Project" sheetId="1" r:id="rId1"/>
    <sheet name="Mounika Chitrala" sheetId="30" r:id="rId2"/>
    <sheet name="Jyothish Chandra" sheetId="31" r:id="rId3"/>
    <sheet name="Aslam Khan" sheetId="25" r:id="rId4"/>
    <sheet name="Leave" sheetId="5" r:id="rId5"/>
    <sheet name="Project status sheet" sheetId="11" r:id="rId6"/>
    <sheet name="List" sheetId="2" r:id="rId7"/>
    <sheet name="Indicators" sheetId="29" r:id="rId8"/>
  </sheets>
  <definedNames>
    <definedName name="_xlnm._FilterDatabase" localSheetId="0" hidden="1">Project!$A$2:$V$102</definedName>
    <definedName name="_xlpm.c" hidden="1" xlm="1">#NAME?</definedName>
    <definedName name="_xlpm.combinedFilter" hidden="1" xlm="1">#NAME?</definedName>
    <definedName name="_xlpm.date" hidden="1" xlm="1">#NAME?</definedName>
    <definedName name="_xlpm.F_Lst" hidden="1" xlm="1">#NAME?</definedName>
    <definedName name="_xlpm.hours" hidden="1" xlm="1">#NAME?</definedName>
    <definedName name="_xlpm.l" hidden="1" xlm="1">#NAME?</definedName>
    <definedName name="_xlpm.Lst" hidden="1" xlm="1">#NAME?</definedName>
    <definedName name="_xlpm.matches" hidden="1" xlm="1">#NAME?</definedName>
    <definedName name="_xlpm.min" hidden="1" xlm="1">#NAME?</definedName>
    <definedName name="_xlpm.Q20teams" hidden="1" xlm="1">#NAME?</definedName>
    <definedName name="_xlpm.ref" hidden="1" xlm="1">#NAME?</definedName>
    <definedName name="_xlpm.result" hidden="1" xlm="1">#NAME?</definedName>
    <definedName name="_xlpm.row" hidden="1" xlm="1">#NAME?</definedName>
    <definedName name="_xlpm.teams" hidden="1" xlm="1">#NAME?</definedName>
    <definedName name="_xlpm.x" hidden="1" xlm="1">#NAME?</definedName>
    <definedName name="Application">List!$G$2:$G$51</definedName>
    <definedName name="Business_unit">List!$K$2:$K$4</definedName>
    <definedName name="Customer">List!$H$2:$H$51</definedName>
    <definedName name="Engineer">Project!$M$3:$M$300</definedName>
    <definedName name="FPGA">List!$O$2:$O$11</definedName>
    <definedName name="Manager">List!$N$2</definedName>
    <definedName name="Orgin">List!$L$2:$L$3</definedName>
    <definedName name="PLC_Programming">List!$P$2:$P$12</definedName>
    <definedName name="Priority">List!$C$2:$C$4</definedName>
    <definedName name="Product_Family">List!$F$2:$F$51</definedName>
    <definedName name="ProjectID">Project!$A$3:$A$300</definedName>
    <definedName name="PublicHolidays">Leave!$D$21:$D$50</definedName>
    <definedName name="Segments">List!$B$2:$B$51</definedName>
    <definedName name="Software_Development">List!$Q$2:$Q$12</definedName>
    <definedName name="Status">List!$D$2:$D$7</definedName>
    <definedName name="Task_No">Project!$A$3:$A$144</definedName>
    <definedName name="Task_Type">List!$A$2:$A$10</definedName>
    <definedName name="Tasks">Project!$A$3:$U$241</definedName>
    <definedName name="Team_Members">List!$E$2:$E$16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 i="25" l="1"/>
  <c r="E4" i="5"/>
  <c r="I4" i="5"/>
  <c r="C15" i="31"/>
  <c r="C14" i="31"/>
  <c r="AD14" i="31" s="1" a="1"/>
  <c r="AD14" i="31" s="1"/>
  <c r="C149" i="31"/>
  <c r="C148" i="31"/>
  <c r="AD148" i="31" s="1" a="1"/>
  <c r="AD148" i="31" s="1"/>
  <c r="C147" i="31"/>
  <c r="R147" i="31" s="1" a="1"/>
  <c r="R147" i="31" s="1"/>
  <c r="C146" i="31"/>
  <c r="C145" i="31"/>
  <c r="C144" i="31"/>
  <c r="AD144" i="31" s="1" a="1"/>
  <c r="AD144" i="31" s="1"/>
  <c r="C143" i="31"/>
  <c r="Z143" i="31" s="1" a="1"/>
  <c r="Z143" i="31" s="1"/>
  <c r="C142" i="31"/>
  <c r="C141" i="31"/>
  <c r="Z141" i="31" s="1" a="1"/>
  <c r="Z141" i="31" s="1"/>
  <c r="C140" i="31"/>
  <c r="H140" i="31" s="1" a="1"/>
  <c r="H140" i="31" s="1"/>
  <c r="C139" i="31"/>
  <c r="AD139" i="31" s="1" a="1"/>
  <c r="AD139" i="31" s="1"/>
  <c r="C138" i="31"/>
  <c r="AD138" i="31" s="1" a="1"/>
  <c r="AD138" i="31" s="1"/>
  <c r="C137" i="31"/>
  <c r="V137" i="31" s="1" a="1"/>
  <c r="V137" i="31" s="1"/>
  <c r="C136" i="31"/>
  <c r="Z136" i="31" s="1" a="1"/>
  <c r="Z136" i="31" s="1"/>
  <c r="C135" i="31"/>
  <c r="N135" i="31" s="1" a="1"/>
  <c r="N135" i="31" s="1"/>
  <c r="C134" i="31"/>
  <c r="N134" i="31" s="1" a="1"/>
  <c r="N134" i="31" s="1"/>
  <c r="C133" i="31"/>
  <c r="H133" i="31" s="1" a="1"/>
  <c r="H133" i="31" s="1"/>
  <c r="C132" i="31"/>
  <c r="AD132" i="31" s="1" a="1"/>
  <c r="AD132" i="31" s="1"/>
  <c r="C131" i="31"/>
  <c r="C130" i="31"/>
  <c r="AB130" i="31" s="1" a="1"/>
  <c r="AB130" i="31" s="1"/>
  <c r="C129" i="31"/>
  <c r="X129" i="31" s="1" a="1"/>
  <c r="X129" i="31" s="1"/>
  <c r="C128" i="31"/>
  <c r="L128" i="31" s="1" a="1"/>
  <c r="L128" i="31" s="1"/>
  <c r="C127" i="31"/>
  <c r="N127" i="31" s="1" a="1"/>
  <c r="N127" i="31" s="1"/>
  <c r="C126" i="31"/>
  <c r="T126" i="31" s="1" a="1"/>
  <c r="T126" i="31" s="1"/>
  <c r="C125" i="31"/>
  <c r="H125" i="31" s="1" a="1"/>
  <c r="H125" i="31" s="1"/>
  <c r="C124" i="31"/>
  <c r="Z124" i="31" s="1" a="1"/>
  <c r="Z124" i="31" s="1"/>
  <c r="C123" i="31"/>
  <c r="C122" i="31"/>
  <c r="C121" i="31"/>
  <c r="F121" i="31" s="1"/>
  <c r="C120" i="31"/>
  <c r="T120" i="31" s="1" a="1"/>
  <c r="T120" i="31" s="1"/>
  <c r="C119" i="31"/>
  <c r="C118" i="31"/>
  <c r="P118" i="31" s="1" a="1"/>
  <c r="P118" i="31" s="1"/>
  <c r="C117" i="31"/>
  <c r="AB117" i="31" s="1" a="1"/>
  <c r="AB117" i="31" s="1"/>
  <c r="C116" i="31"/>
  <c r="AB116" i="31" s="1" a="1"/>
  <c r="AB116" i="31" s="1"/>
  <c r="C115" i="31"/>
  <c r="C114" i="31"/>
  <c r="L114" i="31" s="1" a="1"/>
  <c r="L114" i="31" s="1"/>
  <c r="C113" i="31"/>
  <c r="C112" i="31"/>
  <c r="C111" i="31"/>
  <c r="AD111" i="31" s="1" a="1"/>
  <c r="AD111" i="31" s="1"/>
  <c r="C110" i="31"/>
  <c r="F110" i="31" s="1"/>
  <c r="C109" i="31"/>
  <c r="C108" i="31"/>
  <c r="N108" i="31" s="1" a="1"/>
  <c r="N108" i="31" s="1"/>
  <c r="C107" i="31"/>
  <c r="R107" i="31" s="1" a="1"/>
  <c r="R107" i="31" s="1"/>
  <c r="C106" i="31"/>
  <c r="V106" i="31" s="1" a="1"/>
  <c r="V106" i="31" s="1"/>
  <c r="C105" i="31"/>
  <c r="C104" i="31"/>
  <c r="AD104" i="31" s="1" a="1"/>
  <c r="AD104" i="31" s="1"/>
  <c r="C103" i="31"/>
  <c r="C102" i="31"/>
  <c r="E102" i="31" s="1"/>
  <c r="C101" i="31"/>
  <c r="V101" i="31" s="1" a="1"/>
  <c r="V101" i="31" s="1"/>
  <c r="C100" i="31"/>
  <c r="Z100" i="31" s="1" a="1"/>
  <c r="Z100" i="31" s="1"/>
  <c r="C99" i="31"/>
  <c r="J99" i="31" s="1" a="1"/>
  <c r="J99" i="31" s="1"/>
  <c r="C98" i="31"/>
  <c r="E98" i="31" s="1"/>
  <c r="C97" i="31"/>
  <c r="E97" i="31" s="1"/>
  <c r="C96" i="31"/>
  <c r="AD96" i="31" s="1" a="1"/>
  <c r="AD96" i="31" s="1"/>
  <c r="C95" i="31"/>
  <c r="N95" i="31" s="1" a="1"/>
  <c r="N95" i="31" s="1"/>
  <c r="C94" i="31"/>
  <c r="T94" i="31" s="1" a="1"/>
  <c r="T94" i="31" s="1"/>
  <c r="C93" i="31"/>
  <c r="T93" i="31" s="1" a="1"/>
  <c r="T93" i="31" s="1"/>
  <c r="C92" i="31"/>
  <c r="AD92" i="31" s="1" a="1"/>
  <c r="AD92" i="31" s="1"/>
  <c r="C91" i="31"/>
  <c r="C90" i="31"/>
  <c r="C89" i="31"/>
  <c r="AD89" i="31" s="1" a="1"/>
  <c r="AD89" i="31" s="1"/>
  <c r="C88" i="31"/>
  <c r="T88" i="31" s="1" a="1"/>
  <c r="T88" i="31" s="1"/>
  <c r="C87" i="31"/>
  <c r="P87" i="31" s="1" a="1"/>
  <c r="P87" i="31" s="1"/>
  <c r="C86" i="31"/>
  <c r="C85" i="31"/>
  <c r="AD85" i="31" s="1" a="1"/>
  <c r="AD85" i="31" s="1"/>
  <c r="C84" i="31"/>
  <c r="C83" i="31"/>
  <c r="C82" i="31"/>
  <c r="J82" i="31" s="1" a="1"/>
  <c r="J82" i="31" s="1"/>
  <c r="C81" i="31"/>
  <c r="L81" i="31" s="1" a="1"/>
  <c r="L81" i="31" s="1"/>
  <c r="C80" i="31"/>
  <c r="C79" i="31"/>
  <c r="V79" i="31" s="1" a="1"/>
  <c r="V79" i="31" s="1"/>
  <c r="C78" i="31"/>
  <c r="N78" i="31" s="1" a="1"/>
  <c r="N78" i="31" s="1"/>
  <c r="C77" i="31"/>
  <c r="Z77" i="31" s="1" a="1"/>
  <c r="Z77" i="31" s="1"/>
  <c r="C76" i="31"/>
  <c r="L76" i="31" s="1" a="1"/>
  <c r="L76" i="31" s="1"/>
  <c r="C75" i="31"/>
  <c r="H75" i="31" s="1" a="1"/>
  <c r="H75" i="31" s="1"/>
  <c r="C74" i="31"/>
  <c r="E74" i="31" s="1"/>
  <c r="C73" i="31"/>
  <c r="AD73" i="31" s="1" a="1"/>
  <c r="AD73" i="31" s="1"/>
  <c r="C72" i="31"/>
  <c r="C71" i="31"/>
  <c r="C70" i="31"/>
  <c r="AB70" i="31" s="1" a="1"/>
  <c r="AB70" i="31" s="1"/>
  <c r="C69" i="31"/>
  <c r="AD69" i="31" s="1" a="1"/>
  <c r="AD69" i="31" s="1"/>
  <c r="C68" i="31"/>
  <c r="J68" i="31" s="1" a="1"/>
  <c r="J68" i="31" s="1"/>
  <c r="C67" i="31"/>
  <c r="R67" i="31" s="1" a="1"/>
  <c r="R67" i="31" s="1"/>
  <c r="C66" i="31"/>
  <c r="C65" i="31"/>
  <c r="C64" i="31"/>
  <c r="C63" i="31"/>
  <c r="AD63" i="31" s="1" a="1"/>
  <c r="AD63" i="31" s="1"/>
  <c r="C62" i="31"/>
  <c r="R62" i="31" s="1" a="1"/>
  <c r="R62" i="31" s="1"/>
  <c r="C61" i="31"/>
  <c r="AD61" i="31" s="1" a="1"/>
  <c r="AD61" i="31" s="1"/>
  <c r="C60" i="31"/>
  <c r="C59" i="31"/>
  <c r="E59" i="31" s="1"/>
  <c r="C58" i="31"/>
  <c r="AD58" i="31" s="1" a="1"/>
  <c r="AD58" i="31" s="1"/>
  <c r="C57" i="31"/>
  <c r="P57" i="31" s="1" a="1"/>
  <c r="P57" i="31" s="1"/>
  <c r="C56" i="31"/>
  <c r="V56" i="31" s="1" a="1"/>
  <c r="V56" i="31" s="1"/>
  <c r="C55" i="31"/>
  <c r="H55" i="31" s="1" a="1"/>
  <c r="H55" i="31" s="1"/>
  <c r="C54" i="31"/>
  <c r="AD54" i="31" s="1" a="1"/>
  <c r="AD54" i="31" s="1"/>
  <c r="C53" i="31"/>
  <c r="N53" i="31" s="1" a="1"/>
  <c r="N53" i="31" s="1"/>
  <c r="C52" i="31"/>
  <c r="E52" i="31" s="1"/>
  <c r="C51" i="31"/>
  <c r="F51" i="31" s="1"/>
  <c r="C50" i="31"/>
  <c r="X50" i="31" s="1" a="1"/>
  <c r="X50" i="31" s="1"/>
  <c r="C49" i="31"/>
  <c r="AB49" i="31" s="1" a="1"/>
  <c r="AB49" i="31" s="1"/>
  <c r="C48" i="31"/>
  <c r="X48" i="31" s="1" a="1"/>
  <c r="X48" i="31" s="1"/>
  <c r="C47" i="31"/>
  <c r="C46" i="31"/>
  <c r="A46" i="31"/>
  <c r="C45" i="31"/>
  <c r="AD45" i="31" s="1" a="1"/>
  <c r="AD45" i="31" s="1"/>
  <c r="A45" i="31"/>
  <c r="C44" i="31"/>
  <c r="J44" i="31" s="1" a="1"/>
  <c r="J44" i="31" s="1"/>
  <c r="A44" i="31"/>
  <c r="C43" i="31"/>
  <c r="F43" i="31" s="1"/>
  <c r="A43" i="31"/>
  <c r="C42" i="31"/>
  <c r="Z42" i="31" s="1" a="1"/>
  <c r="Z42" i="31" s="1"/>
  <c r="A42" i="31"/>
  <c r="C41" i="31"/>
  <c r="Z41" i="31" s="1" a="1"/>
  <c r="Z41" i="31" s="1"/>
  <c r="A41" i="31"/>
  <c r="C40" i="31"/>
  <c r="A40" i="31"/>
  <c r="C39" i="31"/>
  <c r="L39" i="31" s="1" a="1"/>
  <c r="L39" i="31" s="1"/>
  <c r="A39" i="31"/>
  <c r="C38" i="31"/>
  <c r="A38" i="31"/>
  <c r="C37" i="31"/>
  <c r="Z37" i="31" s="1" a="1"/>
  <c r="Z37" i="31" s="1"/>
  <c r="A37" i="31"/>
  <c r="C36" i="31"/>
  <c r="N36" i="31" s="1" a="1"/>
  <c r="N36" i="31" s="1"/>
  <c r="A36" i="31"/>
  <c r="C35" i="31"/>
  <c r="H35" i="31" s="1" a="1"/>
  <c r="H35" i="31" s="1"/>
  <c r="A35" i="31"/>
  <c r="C34" i="31"/>
  <c r="F34" i="31" s="1"/>
  <c r="A34" i="31"/>
  <c r="C33" i="31"/>
  <c r="AB33" i="31" s="1" a="1"/>
  <c r="AB33" i="31" s="1"/>
  <c r="A33" i="31"/>
  <c r="C32" i="31"/>
  <c r="AD32" i="31" s="1" a="1"/>
  <c r="AD32" i="31" s="1"/>
  <c r="A32" i="31"/>
  <c r="C31" i="31"/>
  <c r="AD31" i="31" s="1" a="1"/>
  <c r="AD31" i="31" s="1"/>
  <c r="A31" i="31"/>
  <c r="C30" i="31"/>
  <c r="A30" i="31"/>
  <c r="C29" i="31"/>
  <c r="AB29" i="31" s="1" a="1"/>
  <c r="AB29" i="31" s="1"/>
  <c r="A29" i="31"/>
  <c r="C28" i="31"/>
  <c r="AB28" i="31" s="1" a="1"/>
  <c r="AB28" i="31" s="1"/>
  <c r="A28" i="31"/>
  <c r="C27" i="31"/>
  <c r="R27" i="31" s="1" a="1"/>
  <c r="R27" i="31" s="1"/>
  <c r="A27" i="31"/>
  <c r="C26" i="31"/>
  <c r="X26" i="31" s="1" a="1"/>
  <c r="X26" i="31" s="1"/>
  <c r="A26" i="31"/>
  <c r="C25" i="31"/>
  <c r="E25" i="31" s="1"/>
  <c r="A25" i="31"/>
  <c r="C24" i="31"/>
  <c r="A24" i="31"/>
  <c r="C23" i="31"/>
  <c r="A23" i="31"/>
  <c r="C22" i="31"/>
  <c r="J22" i="31" s="1" a="1"/>
  <c r="J22" i="31" s="1"/>
  <c r="A22" i="31"/>
  <c r="C21" i="31"/>
  <c r="N21" i="31" s="1" a="1"/>
  <c r="N21" i="31" s="1"/>
  <c r="A21" i="31"/>
  <c r="C20" i="31"/>
  <c r="H20" i="31" s="1" a="1"/>
  <c r="H20" i="31" s="1"/>
  <c r="A20" i="31"/>
  <c r="C19" i="31"/>
  <c r="L19" i="31" s="1" a="1"/>
  <c r="L19" i="31" s="1"/>
  <c r="A19" i="31"/>
  <c r="C18" i="31"/>
  <c r="AD18" i="31" s="1" a="1"/>
  <c r="AD18" i="31" s="1"/>
  <c r="A18" i="31"/>
  <c r="C17" i="31"/>
  <c r="AD17" i="31" s="1" a="1"/>
  <c r="AD17" i="31" s="1"/>
  <c r="A17" i="31"/>
  <c r="C16" i="31"/>
  <c r="AD16" i="31" s="1" a="1"/>
  <c r="AD16" i="31" s="1"/>
  <c r="A16" i="31"/>
  <c r="AD13" i="31" a="1"/>
  <c r="AD13" i="31" s="1"/>
  <c r="AB13" i="31" a="1"/>
  <c r="AB13" i="31" s="1"/>
  <c r="Z13" i="31" a="1"/>
  <c r="Z13" i="31" s="1"/>
  <c r="X13" i="31" a="1"/>
  <c r="X13" i="31" s="1"/>
  <c r="V13" i="31" a="1"/>
  <c r="V13" i="31" s="1"/>
  <c r="T13" i="31" a="1"/>
  <c r="T13" i="31" s="1"/>
  <c r="R13" i="31" a="1"/>
  <c r="R13" i="31" s="1"/>
  <c r="P13" i="31" a="1"/>
  <c r="P13" i="31" s="1"/>
  <c r="N13" i="31" a="1"/>
  <c r="N13" i="31" s="1"/>
  <c r="L13" i="31" a="1"/>
  <c r="L13" i="31" s="1"/>
  <c r="J13" i="31" a="1"/>
  <c r="J13" i="31" s="1"/>
  <c r="H13" i="31" a="1"/>
  <c r="H13" i="31" s="1"/>
  <c r="E13" i="31"/>
  <c r="AD12" i="31" a="1"/>
  <c r="AD12" i="31" s="1"/>
  <c r="AB12" i="31" a="1"/>
  <c r="AB12" i="31" s="1"/>
  <c r="Z12" i="31" a="1"/>
  <c r="Z12" i="31" s="1"/>
  <c r="X12" i="31" a="1"/>
  <c r="X12" i="31" s="1"/>
  <c r="V12" i="31" a="1"/>
  <c r="V12" i="31" s="1"/>
  <c r="T12" i="31" a="1"/>
  <c r="T12" i="31" s="1"/>
  <c r="R12" i="31" a="1"/>
  <c r="R12" i="31" s="1"/>
  <c r="P12" i="31" a="1"/>
  <c r="P12" i="31" s="1"/>
  <c r="N12" i="31" a="1"/>
  <c r="N12" i="31" s="1"/>
  <c r="L12" i="31" a="1"/>
  <c r="L12" i="31" s="1"/>
  <c r="J12" i="31" a="1"/>
  <c r="J12" i="31" s="1"/>
  <c r="H12" i="31" a="1"/>
  <c r="H12" i="31" s="1"/>
  <c r="AD11" i="31" a="1"/>
  <c r="AD11" i="31" s="1"/>
  <c r="AB11" i="31" a="1"/>
  <c r="AB11" i="31" s="1"/>
  <c r="Z11" i="31" a="1"/>
  <c r="Z11" i="31" s="1"/>
  <c r="X11" i="31" a="1"/>
  <c r="X11" i="31" s="1"/>
  <c r="V11" i="31" a="1"/>
  <c r="V11" i="31" s="1"/>
  <c r="T11" i="31" a="1"/>
  <c r="T11" i="31" s="1"/>
  <c r="R11" i="31" a="1"/>
  <c r="R11" i="31" s="1"/>
  <c r="P11" i="31" a="1"/>
  <c r="P11" i="31" s="1"/>
  <c r="N11" i="31" a="1"/>
  <c r="N11" i="31" s="1"/>
  <c r="L11" i="31" a="1"/>
  <c r="L11" i="31" s="1"/>
  <c r="J11" i="31" a="1"/>
  <c r="J11" i="31" s="1"/>
  <c r="H11" i="31" a="1"/>
  <c r="H11" i="31" s="1"/>
  <c r="E11" i="31"/>
  <c r="AD10" i="31" a="1"/>
  <c r="AD10" i="31" s="1"/>
  <c r="AB10" i="31" a="1"/>
  <c r="AB10" i="31" s="1"/>
  <c r="Z10" i="31" a="1"/>
  <c r="Z10" i="31" s="1"/>
  <c r="X10" i="31" a="1"/>
  <c r="X10" i="31" s="1"/>
  <c r="V10" i="31" a="1"/>
  <c r="V10" i="31" s="1"/>
  <c r="T10" i="31" a="1"/>
  <c r="T10" i="31" s="1"/>
  <c r="R10" i="31" a="1"/>
  <c r="R10" i="31" s="1"/>
  <c r="P10" i="31" a="1"/>
  <c r="P10" i="31" s="1"/>
  <c r="N10" i="31" a="1"/>
  <c r="N10" i="31" s="1"/>
  <c r="L10" i="31" a="1"/>
  <c r="L10" i="31" s="1"/>
  <c r="J10" i="31" a="1"/>
  <c r="J10" i="31" s="1"/>
  <c r="H10" i="31" a="1"/>
  <c r="H10" i="31" s="1"/>
  <c r="E10" i="31"/>
  <c r="AD9" i="31" a="1"/>
  <c r="AD9" i="31" s="1"/>
  <c r="AB9" i="31" a="1"/>
  <c r="AB9" i="31" s="1"/>
  <c r="Z9" i="31" a="1"/>
  <c r="Z9" i="31" s="1"/>
  <c r="X9" i="31" a="1"/>
  <c r="X9" i="31" s="1"/>
  <c r="V9" i="31" a="1"/>
  <c r="V9" i="31" s="1"/>
  <c r="T9" i="31" a="1"/>
  <c r="T9" i="31" s="1"/>
  <c r="R9" i="31" a="1"/>
  <c r="R9" i="31" s="1"/>
  <c r="P9" i="31" a="1"/>
  <c r="P9" i="31" s="1"/>
  <c r="N9" i="31" a="1"/>
  <c r="N9" i="31" s="1"/>
  <c r="L9" i="31" a="1"/>
  <c r="L9" i="31" s="1"/>
  <c r="J9" i="31" a="1"/>
  <c r="J9" i="31" s="1"/>
  <c r="H9" i="31" a="1"/>
  <c r="H9" i="31" s="1"/>
  <c r="E9" i="31"/>
  <c r="AD8" i="31" a="1"/>
  <c r="AD8" i="31" s="1"/>
  <c r="AB8" i="31" a="1"/>
  <c r="AB8" i="31" s="1"/>
  <c r="Z8" i="31" a="1"/>
  <c r="Z8" i="31" s="1"/>
  <c r="X8" i="31" a="1"/>
  <c r="X8" i="31" s="1"/>
  <c r="V8" i="31" a="1"/>
  <c r="V8" i="31" s="1"/>
  <c r="T8" i="31" a="1"/>
  <c r="T8" i="31" s="1"/>
  <c r="R8" i="31" a="1"/>
  <c r="R8" i="31" s="1"/>
  <c r="P8" i="31" a="1"/>
  <c r="P8" i="31" s="1"/>
  <c r="N8" i="31" a="1"/>
  <c r="N8" i="31" s="1"/>
  <c r="L8" i="31" a="1"/>
  <c r="L8" i="31" s="1"/>
  <c r="J8" i="31" a="1"/>
  <c r="J8" i="31" s="1"/>
  <c r="H8" i="31" a="1"/>
  <c r="H8" i="31" s="1"/>
  <c r="E8" i="31"/>
  <c r="OE7" i="31"/>
  <c r="OD7" i="31"/>
  <c r="OC7" i="31"/>
  <c r="OB7" i="31"/>
  <c r="OA7" i="31"/>
  <c r="NZ7" i="31"/>
  <c r="NY7" i="31"/>
  <c r="NX7" i="31"/>
  <c r="NW7" i="31"/>
  <c r="NV7" i="31"/>
  <c r="NU7" i="31"/>
  <c r="NT7" i="31"/>
  <c r="NS7" i="31"/>
  <c r="NR7" i="31"/>
  <c r="NQ7" i="31"/>
  <c r="NP7" i="31"/>
  <c r="NO7" i="31"/>
  <c r="NN7" i="31"/>
  <c r="NM7" i="31"/>
  <c r="NL7" i="31"/>
  <c r="NK7" i="31"/>
  <c r="NJ7" i="31"/>
  <c r="NI7" i="31"/>
  <c r="NH7" i="31"/>
  <c r="NG7" i="31"/>
  <c r="NF7" i="31"/>
  <c r="NE7" i="31"/>
  <c r="ND7" i="31"/>
  <c r="NC7" i="31"/>
  <c r="NB7" i="31"/>
  <c r="NA7" i="31"/>
  <c r="MZ7" i="31"/>
  <c r="MY7" i="31"/>
  <c r="MX7" i="31"/>
  <c r="MW7" i="31"/>
  <c r="MV7" i="31"/>
  <c r="MU7" i="31"/>
  <c r="MT7" i="31"/>
  <c r="MS7" i="31"/>
  <c r="MR7" i="31"/>
  <c r="MQ7" i="31"/>
  <c r="MP7" i="31"/>
  <c r="MO7" i="31"/>
  <c r="MN7" i="31"/>
  <c r="MM7" i="31"/>
  <c r="ML7" i="31"/>
  <c r="MK7" i="31"/>
  <c r="MJ7" i="31"/>
  <c r="MI7" i="31"/>
  <c r="MH7" i="31"/>
  <c r="MG7" i="31"/>
  <c r="MF7" i="31"/>
  <c r="ME7" i="31"/>
  <c r="MD7" i="31"/>
  <c r="MC7" i="31"/>
  <c r="MB7" i="31"/>
  <c r="MA7" i="31"/>
  <c r="LZ7" i="31"/>
  <c r="LY7" i="31"/>
  <c r="LX7" i="31"/>
  <c r="LW7" i="31"/>
  <c r="LV7" i="31"/>
  <c r="LU7" i="31"/>
  <c r="LT7" i="31"/>
  <c r="LS7" i="31"/>
  <c r="LR7" i="31"/>
  <c r="LQ7" i="31"/>
  <c r="LP7" i="31"/>
  <c r="LO7" i="31"/>
  <c r="LN7" i="31"/>
  <c r="LM7" i="31"/>
  <c r="LL7" i="31"/>
  <c r="LK7" i="31"/>
  <c r="LJ7" i="31"/>
  <c r="LI7" i="31"/>
  <c r="LH7" i="31"/>
  <c r="LG7" i="31"/>
  <c r="LF7" i="31"/>
  <c r="LE7" i="31"/>
  <c r="LD7" i="31"/>
  <c r="LC7" i="31"/>
  <c r="LB7" i="31"/>
  <c r="LA7" i="31"/>
  <c r="KZ7" i="31"/>
  <c r="KY7" i="31"/>
  <c r="KX7" i="31"/>
  <c r="KW7" i="31"/>
  <c r="KV7" i="31"/>
  <c r="KU7" i="31"/>
  <c r="KT7" i="31"/>
  <c r="KS7" i="31"/>
  <c r="KR7" i="31"/>
  <c r="KQ7" i="31"/>
  <c r="KP7" i="31"/>
  <c r="KO7" i="31"/>
  <c r="KN7" i="31"/>
  <c r="KM7" i="31"/>
  <c r="KL7" i="31"/>
  <c r="KK7" i="31"/>
  <c r="KJ7" i="31"/>
  <c r="KI7" i="31"/>
  <c r="KH7" i="31"/>
  <c r="KG7" i="31"/>
  <c r="KF7" i="31"/>
  <c r="KE7" i="31"/>
  <c r="KD7" i="31"/>
  <c r="KC7" i="31"/>
  <c r="KB7" i="31"/>
  <c r="KA7" i="31"/>
  <c r="JZ7" i="31"/>
  <c r="JY7" i="31"/>
  <c r="JX7" i="31"/>
  <c r="JW7" i="31"/>
  <c r="JV7" i="31"/>
  <c r="JU7" i="31"/>
  <c r="JT7" i="31"/>
  <c r="JS7" i="31"/>
  <c r="JR7" i="31"/>
  <c r="JQ7" i="31"/>
  <c r="JP7" i="31"/>
  <c r="JO7" i="31"/>
  <c r="JN7" i="31"/>
  <c r="JM7" i="31"/>
  <c r="JL7" i="31"/>
  <c r="JK7" i="31"/>
  <c r="JJ7" i="31"/>
  <c r="JI7" i="31"/>
  <c r="JH7" i="31"/>
  <c r="JG7" i="31"/>
  <c r="JF7" i="31"/>
  <c r="JE7" i="31"/>
  <c r="JD7" i="31"/>
  <c r="JC7" i="31"/>
  <c r="JB7" i="31"/>
  <c r="JA7" i="31"/>
  <c r="IZ7" i="31"/>
  <c r="IY7" i="31"/>
  <c r="IX7" i="31"/>
  <c r="IW7" i="31"/>
  <c r="IV7" i="31"/>
  <c r="IU7" i="31"/>
  <c r="IT7" i="31"/>
  <c r="IS7" i="31"/>
  <c r="IR7" i="31"/>
  <c r="IQ7" i="31"/>
  <c r="IP7" i="31"/>
  <c r="IO7" i="31"/>
  <c r="IN7" i="31"/>
  <c r="IM7" i="31"/>
  <c r="IL7" i="31"/>
  <c r="IK7" i="31"/>
  <c r="IJ7" i="31"/>
  <c r="II7" i="31"/>
  <c r="IH7" i="31"/>
  <c r="IG7" i="31"/>
  <c r="IF7" i="31"/>
  <c r="IE7" i="31"/>
  <c r="ID7" i="31"/>
  <c r="IC7" i="31"/>
  <c r="IB7" i="31"/>
  <c r="IA7" i="31"/>
  <c r="HZ7" i="31"/>
  <c r="HY7" i="31"/>
  <c r="HX7" i="31"/>
  <c r="HW7" i="31"/>
  <c r="HV7" i="31"/>
  <c r="HU7" i="31"/>
  <c r="HT7" i="31"/>
  <c r="HS7" i="31"/>
  <c r="HR7" i="31"/>
  <c r="HQ7" i="31"/>
  <c r="HP7" i="31"/>
  <c r="HO7" i="31"/>
  <c r="HN7" i="31"/>
  <c r="HM7" i="31"/>
  <c r="HL7" i="31"/>
  <c r="HK7" i="31"/>
  <c r="HJ7" i="31"/>
  <c r="HI7" i="31"/>
  <c r="HH7" i="31"/>
  <c r="HG7" i="31"/>
  <c r="HF7" i="31"/>
  <c r="HE7" i="31"/>
  <c r="HD7" i="31"/>
  <c r="HC7" i="31"/>
  <c r="HB7" i="31"/>
  <c r="HA7" i="31"/>
  <c r="GZ7" i="31"/>
  <c r="GY7" i="31"/>
  <c r="GX7" i="31"/>
  <c r="GW7" i="31"/>
  <c r="GV7" i="31"/>
  <c r="GU7" i="31"/>
  <c r="GT7" i="31"/>
  <c r="GS7" i="31"/>
  <c r="GR7" i="31"/>
  <c r="GQ7" i="31"/>
  <c r="GP7" i="31"/>
  <c r="GO7" i="31"/>
  <c r="GN7" i="31"/>
  <c r="GM7" i="31"/>
  <c r="GL7" i="31"/>
  <c r="GK7" i="31"/>
  <c r="GJ7" i="31"/>
  <c r="GI7" i="31"/>
  <c r="GH7" i="31"/>
  <c r="GG7" i="31"/>
  <c r="GF7" i="31"/>
  <c r="GE7" i="31"/>
  <c r="GD7" i="31"/>
  <c r="GC7" i="31"/>
  <c r="GB7" i="31"/>
  <c r="GA7" i="31"/>
  <c r="FZ7" i="31"/>
  <c r="FY7" i="31"/>
  <c r="FX7" i="31"/>
  <c r="FW7" i="31"/>
  <c r="FV7" i="31"/>
  <c r="FU7" i="31"/>
  <c r="FT7" i="31"/>
  <c r="FS7" i="31"/>
  <c r="FR7" i="31"/>
  <c r="FQ7" i="31"/>
  <c r="FP7" i="31"/>
  <c r="FO7" i="31"/>
  <c r="FN7" i="31"/>
  <c r="FM7" i="31"/>
  <c r="FL7" i="31"/>
  <c r="FK7" i="31"/>
  <c r="FJ7" i="31"/>
  <c r="FI7" i="31"/>
  <c r="FH7" i="31"/>
  <c r="FG7" i="31"/>
  <c r="FF7" i="31"/>
  <c r="FE7" i="31"/>
  <c r="FD7" i="31"/>
  <c r="FC7" i="31"/>
  <c r="FB7" i="31"/>
  <c r="FA7" i="31"/>
  <c r="EZ7" i="31"/>
  <c r="EY7" i="31"/>
  <c r="EX7" i="31"/>
  <c r="EW7" i="31"/>
  <c r="EV7" i="31"/>
  <c r="EU7" i="31"/>
  <c r="ET7" i="31"/>
  <c r="ES7" i="31"/>
  <c r="ER7" i="31"/>
  <c r="EQ7" i="31"/>
  <c r="EP7" i="31"/>
  <c r="EO7" i="31"/>
  <c r="EN7" i="31"/>
  <c r="EM7" i="31"/>
  <c r="EL7" i="31"/>
  <c r="EK7" i="31"/>
  <c r="EJ7" i="31"/>
  <c r="EI7" i="31"/>
  <c r="EH7" i="31"/>
  <c r="EG7" i="31"/>
  <c r="EF7" i="31"/>
  <c r="EE7" i="31"/>
  <c r="ED7" i="31"/>
  <c r="EC7" i="31"/>
  <c r="EB7" i="31"/>
  <c r="EA7" i="31"/>
  <c r="DZ7" i="31"/>
  <c r="DY7" i="31"/>
  <c r="DX7" i="31"/>
  <c r="DW7" i="31"/>
  <c r="DV7" i="31"/>
  <c r="DU7" i="31"/>
  <c r="DT7" i="31"/>
  <c r="DS7" i="31"/>
  <c r="DN7" i="31"/>
  <c r="DM7" i="31"/>
  <c r="DG7" i="31"/>
  <c r="DF7" i="31"/>
  <c r="CZ7" i="31"/>
  <c r="CY7" i="31"/>
  <c r="CX7" i="31"/>
  <c r="CW7" i="31"/>
  <c r="CT7" i="31"/>
  <c r="CS7" i="31"/>
  <c r="CR7" i="31"/>
  <c r="CQ7" i="31"/>
  <c r="CP7" i="31"/>
  <c r="CO7" i="31"/>
  <c r="CN7" i="31"/>
  <c r="CM7" i="31"/>
  <c r="CL7" i="31"/>
  <c r="CK7" i="31"/>
  <c r="CJ7" i="31"/>
  <c r="CI7" i="31"/>
  <c r="CH7" i="31"/>
  <c r="CG7" i="31"/>
  <c r="CF7" i="31"/>
  <c r="CE7" i="31"/>
  <c r="CD7" i="31"/>
  <c r="CC7" i="31"/>
  <c r="CB7" i="31"/>
  <c r="CA7" i="31"/>
  <c r="BZ7" i="31"/>
  <c r="BY7" i="31"/>
  <c r="BX7" i="31"/>
  <c r="BW7" i="31"/>
  <c r="BV7" i="31"/>
  <c r="BU7" i="31"/>
  <c r="BT7" i="31"/>
  <c r="BS7" i="31"/>
  <c r="BR7" i="31"/>
  <c r="BQ7" i="31"/>
  <c r="BP7" i="31"/>
  <c r="BO7" i="31"/>
  <c r="BN7" i="31"/>
  <c r="BM7" i="31"/>
  <c r="BL7" i="31"/>
  <c r="BK7" i="31"/>
  <c r="BJ7" i="31"/>
  <c r="BI7" i="31"/>
  <c r="BH7" i="31"/>
  <c r="BG7" i="31"/>
  <c r="BF7" i="31"/>
  <c r="BE7" i="31"/>
  <c r="BD7" i="31"/>
  <c r="BC7" i="31"/>
  <c r="BB7" i="31"/>
  <c r="BA7" i="31"/>
  <c r="AZ7" i="31"/>
  <c r="AY7" i="31"/>
  <c r="AX7" i="31"/>
  <c r="AW7" i="31"/>
  <c r="AV7" i="31"/>
  <c r="AU7" i="31"/>
  <c r="AT7" i="31"/>
  <c r="AS7" i="31"/>
  <c r="AR7" i="31"/>
  <c r="AQ7" i="31"/>
  <c r="AP7" i="31"/>
  <c r="AO7" i="31"/>
  <c r="AN7" i="31"/>
  <c r="AM7" i="31"/>
  <c r="AL7" i="31"/>
  <c r="AK7" i="31"/>
  <c r="AJ7" i="31"/>
  <c r="AI7" i="31"/>
  <c r="AH7" i="31"/>
  <c r="AG7" i="31"/>
  <c r="AF7" i="31"/>
  <c r="AE7" i="31"/>
  <c r="AC7" i="31"/>
  <c r="AA7" i="31"/>
  <c r="Y7" i="31"/>
  <c r="W7" i="31"/>
  <c r="U7" i="31"/>
  <c r="S7" i="31"/>
  <c r="Q7" i="31"/>
  <c r="O7" i="31"/>
  <c r="M7" i="31"/>
  <c r="K7" i="31"/>
  <c r="I7" i="31"/>
  <c r="G7" i="31"/>
  <c r="OE4" i="31"/>
  <c r="OD4" i="31"/>
  <c r="OC4" i="31"/>
  <c r="OB4" i="31"/>
  <c r="OA4" i="31"/>
  <c r="NZ4" i="31"/>
  <c r="NY4" i="31"/>
  <c r="NX4" i="31"/>
  <c r="NW4" i="31"/>
  <c r="NV4" i="31"/>
  <c r="NU4" i="31"/>
  <c r="NT4" i="31"/>
  <c r="NS4" i="31"/>
  <c r="NR4" i="31"/>
  <c r="NQ4" i="31"/>
  <c r="NP4" i="31"/>
  <c r="NO4" i="31"/>
  <c r="NN4" i="31"/>
  <c r="NM4" i="31"/>
  <c r="NL4" i="31"/>
  <c r="NK4" i="31"/>
  <c r="NJ4" i="31"/>
  <c r="NI4" i="31"/>
  <c r="NH4" i="31"/>
  <c r="NG4" i="31"/>
  <c r="NF4" i="31"/>
  <c r="NE4" i="31"/>
  <c r="ND4" i="31"/>
  <c r="NC4" i="31"/>
  <c r="NB4" i="31"/>
  <c r="NA4" i="31"/>
  <c r="MZ4" i="31"/>
  <c r="MY4" i="31"/>
  <c r="MX4" i="31"/>
  <c r="MW4" i="31"/>
  <c r="MV4" i="31"/>
  <c r="MU4" i="31"/>
  <c r="MT4" i="31"/>
  <c r="MS4" i="31"/>
  <c r="MR4" i="31"/>
  <c r="MQ4" i="31"/>
  <c r="MP4" i="31"/>
  <c r="MO4" i="31"/>
  <c r="MN4" i="31"/>
  <c r="MM4" i="31"/>
  <c r="ML4" i="31"/>
  <c r="MK4" i="31"/>
  <c r="MJ4" i="31"/>
  <c r="MI4" i="31"/>
  <c r="MH4" i="31"/>
  <c r="MG4" i="31"/>
  <c r="MF4" i="31"/>
  <c r="ME4" i="31"/>
  <c r="MD4" i="31"/>
  <c r="MC4" i="31"/>
  <c r="MB4" i="31"/>
  <c r="MA4" i="31"/>
  <c r="LZ4" i="31"/>
  <c r="LY4" i="31"/>
  <c r="LX4" i="31"/>
  <c r="LW4" i="31"/>
  <c r="LV4" i="31"/>
  <c r="LU4" i="31"/>
  <c r="LT4" i="31"/>
  <c r="LS4" i="31"/>
  <c r="LR4" i="31"/>
  <c r="LQ4" i="31"/>
  <c r="LP4" i="31"/>
  <c r="LO4" i="31"/>
  <c r="LN4" i="31"/>
  <c r="LM4" i="31"/>
  <c r="LL4" i="31"/>
  <c r="LK4" i="31"/>
  <c r="LJ4" i="31"/>
  <c r="LI4" i="31"/>
  <c r="LH4" i="31"/>
  <c r="LG4" i="31"/>
  <c r="LF4" i="31"/>
  <c r="LE4" i="31"/>
  <c r="LD4" i="31"/>
  <c r="LC4" i="31"/>
  <c r="LB4" i="31"/>
  <c r="LA4" i="31"/>
  <c r="KZ4" i="31"/>
  <c r="KY4" i="31"/>
  <c r="KX4" i="31"/>
  <c r="KW4" i="31"/>
  <c r="KV4" i="31"/>
  <c r="KU4" i="31"/>
  <c r="KT4" i="31"/>
  <c r="KS4" i="31"/>
  <c r="KR4" i="31"/>
  <c r="KQ4" i="31"/>
  <c r="KP4" i="31"/>
  <c r="KO4" i="31"/>
  <c r="KN4" i="31"/>
  <c r="KM4" i="31"/>
  <c r="KL4" i="31"/>
  <c r="KK4" i="31"/>
  <c r="KJ4" i="31"/>
  <c r="KI4" i="31"/>
  <c r="KH4" i="31"/>
  <c r="KG4" i="31"/>
  <c r="KF4" i="31"/>
  <c r="KE4" i="31"/>
  <c r="KD4" i="31"/>
  <c r="KC4" i="31"/>
  <c r="KB4" i="31"/>
  <c r="KA4" i="31"/>
  <c r="JZ4" i="31"/>
  <c r="JY4" i="31"/>
  <c r="JX4" i="31"/>
  <c r="JW4" i="31"/>
  <c r="JV4" i="31"/>
  <c r="JU4" i="31"/>
  <c r="JT4" i="31"/>
  <c r="JS4" i="31"/>
  <c r="JR4" i="31"/>
  <c r="JQ4" i="31"/>
  <c r="JP4" i="31"/>
  <c r="JO4" i="31"/>
  <c r="JN4" i="31"/>
  <c r="JM4" i="31"/>
  <c r="JL4" i="31"/>
  <c r="JK4" i="31"/>
  <c r="JJ4" i="31"/>
  <c r="JI4" i="31"/>
  <c r="JH4" i="31"/>
  <c r="JG4" i="31"/>
  <c r="JF4" i="31"/>
  <c r="JE4" i="31"/>
  <c r="JD4" i="31"/>
  <c r="JC4" i="31"/>
  <c r="JB4" i="31"/>
  <c r="JA4" i="31"/>
  <c r="IZ4" i="31"/>
  <c r="IY4" i="31"/>
  <c r="IX4" i="31"/>
  <c r="IW4" i="31"/>
  <c r="IV4" i="31"/>
  <c r="IU4" i="31"/>
  <c r="IT4" i="31"/>
  <c r="IS4" i="31"/>
  <c r="IR4" i="31"/>
  <c r="IQ4" i="31"/>
  <c r="IP4" i="31"/>
  <c r="IO4" i="31"/>
  <c r="IN4" i="31"/>
  <c r="IM4" i="31"/>
  <c r="IL4" i="31"/>
  <c r="IK4" i="31"/>
  <c r="IJ4" i="31"/>
  <c r="II4" i="31"/>
  <c r="IH4" i="31"/>
  <c r="IG4" i="31"/>
  <c r="IF4" i="31"/>
  <c r="IE4" i="31"/>
  <c r="ID4" i="31"/>
  <c r="IC4" i="31"/>
  <c r="IB4" i="31"/>
  <c r="IA4" i="31"/>
  <c r="HZ4" i="31"/>
  <c r="HY4" i="31"/>
  <c r="HX4" i="31"/>
  <c r="HW4" i="31"/>
  <c r="HV4" i="31"/>
  <c r="HU4" i="31"/>
  <c r="HT4" i="31"/>
  <c r="HS4" i="31"/>
  <c r="HR4" i="31"/>
  <c r="HQ4" i="31"/>
  <c r="HP4" i="31"/>
  <c r="HO4" i="31"/>
  <c r="HN4" i="31"/>
  <c r="HM4" i="31"/>
  <c r="HL4" i="31"/>
  <c r="HK4" i="31"/>
  <c r="HJ4" i="31"/>
  <c r="HI4" i="31"/>
  <c r="HH4" i="31"/>
  <c r="HG4" i="31"/>
  <c r="HF4" i="31"/>
  <c r="HE4" i="31"/>
  <c r="HD4" i="31"/>
  <c r="HC4" i="31"/>
  <c r="HB4" i="31"/>
  <c r="HA4" i="31"/>
  <c r="GZ4" i="31"/>
  <c r="GY4" i="31"/>
  <c r="GX4" i="31"/>
  <c r="GW4" i="31"/>
  <c r="GV4" i="31"/>
  <c r="GU4" i="31"/>
  <c r="GT4" i="31"/>
  <c r="GS4" i="31"/>
  <c r="GR4" i="31"/>
  <c r="GQ4" i="31"/>
  <c r="GP4" i="31"/>
  <c r="GO4" i="31"/>
  <c r="GN4" i="31"/>
  <c r="GM4" i="31"/>
  <c r="GL4" i="31"/>
  <c r="GK4" i="31"/>
  <c r="GJ4" i="31"/>
  <c r="GI4" i="31"/>
  <c r="GH4" i="31"/>
  <c r="GG4" i="31"/>
  <c r="GF4" i="31"/>
  <c r="GE4" i="31"/>
  <c r="GD4" i="31"/>
  <c r="GC4" i="31"/>
  <c r="GB4" i="31"/>
  <c r="GA4" i="31"/>
  <c r="FZ4" i="31"/>
  <c r="FY4" i="31"/>
  <c r="FX4" i="31"/>
  <c r="FW4" i="31"/>
  <c r="FV4" i="31"/>
  <c r="FU4" i="31"/>
  <c r="FT4" i="31"/>
  <c r="FS4" i="31"/>
  <c r="FR4" i="31"/>
  <c r="FQ4" i="31"/>
  <c r="FP4" i="31"/>
  <c r="FO4" i="31"/>
  <c r="FN4" i="31"/>
  <c r="FM4" i="31"/>
  <c r="FL4" i="31"/>
  <c r="FK4" i="31"/>
  <c r="FJ4" i="31"/>
  <c r="FI4" i="31"/>
  <c r="FH4" i="31"/>
  <c r="FG4" i="31"/>
  <c r="FF4" i="31"/>
  <c r="FE4" i="31"/>
  <c r="FD4" i="31"/>
  <c r="FC4" i="31"/>
  <c r="FB4" i="31"/>
  <c r="FA4" i="31"/>
  <c r="EZ4" i="31"/>
  <c r="EY4" i="31"/>
  <c r="EX4" i="31"/>
  <c r="EW4" i="31"/>
  <c r="EV4" i="31"/>
  <c r="EU4" i="31"/>
  <c r="ET4" i="31"/>
  <c r="ES4" i="31"/>
  <c r="ER4" i="31"/>
  <c r="EQ4" i="31"/>
  <c r="EP4" i="31"/>
  <c r="EO4" i="31"/>
  <c r="EN4" i="31"/>
  <c r="EM4" i="31"/>
  <c r="EL4" i="31"/>
  <c r="EK4" i="31"/>
  <c r="EJ4" i="31"/>
  <c r="EI4" i="31"/>
  <c r="EH4" i="31"/>
  <c r="EG4" i="31"/>
  <c r="EF4" i="31"/>
  <c r="EE4" i="31"/>
  <c r="ED4" i="31"/>
  <c r="EC4" i="31"/>
  <c r="EB4" i="31"/>
  <c r="EA4" i="31"/>
  <c r="DZ4" i="31"/>
  <c r="DY4" i="31"/>
  <c r="DX4" i="31"/>
  <c r="DW4" i="31"/>
  <c r="DV4" i="31"/>
  <c r="DU4" i="31"/>
  <c r="DT4" i="31"/>
  <c r="DS4" i="31"/>
  <c r="DR4" i="31"/>
  <c r="DQ4" i="31"/>
  <c r="DP4" i="31"/>
  <c r="DO4" i="31"/>
  <c r="DN4" i="31"/>
  <c r="DM4" i="31"/>
  <c r="DL4" i="31"/>
  <c r="DK4" i="31"/>
  <c r="DJ4" i="31"/>
  <c r="DI4" i="31"/>
  <c r="DH4" i="31"/>
  <c r="DG4" i="31"/>
  <c r="DF4" i="31"/>
  <c r="DE4" i="31"/>
  <c r="DD4" i="31"/>
  <c r="DC4" i="31"/>
  <c r="DB4" i="31"/>
  <c r="DA4" i="31"/>
  <c r="CZ4" i="31"/>
  <c r="CY4" i="31"/>
  <c r="CX4" i="31"/>
  <c r="CW4" i="31"/>
  <c r="CV4" i="31"/>
  <c r="CU4" i="31"/>
  <c r="CT4" i="31"/>
  <c r="CS4" i="31"/>
  <c r="CR4" i="31"/>
  <c r="CQ4" i="31"/>
  <c r="CP4" i="31"/>
  <c r="CO4" i="31"/>
  <c r="CN4" i="31"/>
  <c r="CM4" i="31"/>
  <c r="CL4" i="31"/>
  <c r="CK4" i="31"/>
  <c r="CJ4" i="31"/>
  <c r="CI4" i="31"/>
  <c r="CH4" i="31"/>
  <c r="CG4" i="31"/>
  <c r="CF4" i="31"/>
  <c r="CE4" i="31"/>
  <c r="CD4" i="31"/>
  <c r="CC4" i="31"/>
  <c r="CB4" i="31"/>
  <c r="CA4" i="31"/>
  <c r="BZ4" i="31"/>
  <c r="BY4" i="31"/>
  <c r="BX4" i="31"/>
  <c r="BW4" i="31"/>
  <c r="BV4" i="31"/>
  <c r="BU4" i="31"/>
  <c r="BT4" i="31"/>
  <c r="BS4" i="31"/>
  <c r="BR4" i="31"/>
  <c r="BQ4" i="31"/>
  <c r="BP4" i="31"/>
  <c r="BO4" i="31"/>
  <c r="BN4" i="31"/>
  <c r="BM4" i="31"/>
  <c r="BL4" i="31"/>
  <c r="BK4" i="31"/>
  <c r="BJ4" i="31"/>
  <c r="BI4" i="31"/>
  <c r="BH4" i="31"/>
  <c r="BG4" i="31"/>
  <c r="BF4" i="31"/>
  <c r="BE4" i="31"/>
  <c r="BD4" i="31"/>
  <c r="BC4" i="31"/>
  <c r="BB4" i="31"/>
  <c r="BA4" i="31"/>
  <c r="AZ4" i="31"/>
  <c r="AY4" i="31"/>
  <c r="AX4" i="31"/>
  <c r="AW4" i="31"/>
  <c r="AV4" i="31"/>
  <c r="AU4" i="31"/>
  <c r="AT4" i="31"/>
  <c r="AS4" i="31"/>
  <c r="AR4" i="31"/>
  <c r="AQ4" i="31"/>
  <c r="AP4" i="31"/>
  <c r="AO4" i="31"/>
  <c r="AN4" i="31"/>
  <c r="AM4" i="31"/>
  <c r="AL4" i="31"/>
  <c r="AK4" i="31"/>
  <c r="AJ4" i="31"/>
  <c r="AI4" i="31"/>
  <c r="AH4" i="31"/>
  <c r="AG4" i="31"/>
  <c r="AF4" i="31"/>
  <c r="AE4" i="31"/>
  <c r="OC3" i="31"/>
  <c r="NV3" i="31"/>
  <c r="NO3" i="31"/>
  <c r="NH3" i="31"/>
  <c r="NA3" i="31"/>
  <c r="MT3" i="31"/>
  <c r="MM3" i="31"/>
  <c r="MF3" i="31"/>
  <c r="LY3" i="31"/>
  <c r="LR3" i="31"/>
  <c r="LK3" i="31"/>
  <c r="LD3" i="31"/>
  <c r="KW3" i="31"/>
  <c r="KP3" i="31"/>
  <c r="KI3" i="31"/>
  <c r="KB3" i="31"/>
  <c r="JU3" i="31"/>
  <c r="JN3" i="31"/>
  <c r="JG3" i="31"/>
  <c r="IZ3" i="31"/>
  <c r="IS3" i="31"/>
  <c r="IL3" i="31"/>
  <c r="IE3" i="31"/>
  <c r="HX3" i="31"/>
  <c r="HQ3" i="31"/>
  <c r="HJ3" i="31"/>
  <c r="HC3" i="31"/>
  <c r="GV3" i="31"/>
  <c r="GO3" i="31"/>
  <c r="GH3" i="31"/>
  <c r="GA3" i="31"/>
  <c r="FT3" i="31"/>
  <c r="FM3" i="31"/>
  <c r="FF3" i="31"/>
  <c r="EY3" i="31"/>
  <c r="ER3" i="31"/>
  <c r="EK3" i="31"/>
  <c r="ED3" i="31"/>
  <c r="DW3" i="31"/>
  <c r="DP3" i="31"/>
  <c r="DI3" i="31"/>
  <c r="DB3" i="31"/>
  <c r="CU3" i="31"/>
  <c r="CN3" i="31"/>
  <c r="CG3" i="31"/>
  <c r="BZ3" i="31"/>
  <c r="BS3" i="31"/>
  <c r="BL3" i="31"/>
  <c r="BE3" i="31"/>
  <c r="AX3" i="31"/>
  <c r="AQ3" i="31"/>
  <c r="AJ3" i="31"/>
  <c r="AE3" i="31"/>
  <c r="NA2" i="31"/>
  <c r="LW2" i="31"/>
  <c r="KR2" i="31"/>
  <c r="JN2" i="31"/>
  <c r="II2" i="31"/>
  <c r="HD2" i="31"/>
  <c r="FZ2" i="31"/>
  <c r="EU2" i="31"/>
  <c r="DQ2" i="31"/>
  <c r="CL2" i="31"/>
  <c r="BJ2" i="31"/>
  <c r="AE2" i="31"/>
  <c r="E1" i="31" a="1"/>
  <c r="E1" i="31" s="1"/>
  <c r="G6" i="31" s="1" a="1"/>
  <c r="G6" i="31" s="1"/>
  <c r="I3" i="5"/>
  <c r="E3" i="5"/>
  <c r="L12" i="30" a="1"/>
  <c r="L12" i="30" s="1"/>
  <c r="N12" i="30" a="1"/>
  <c r="N12" i="30" s="1"/>
  <c r="C14" i="30"/>
  <c r="Z14" i="30" s="1" a="1"/>
  <c r="Z14" i="30" s="1"/>
  <c r="C15" i="30"/>
  <c r="P15" i="30" s="1" a="1"/>
  <c r="P15" i="30" s="1"/>
  <c r="C16" i="30"/>
  <c r="Z16" i="30" s="1" a="1"/>
  <c r="Z16" i="30" s="1"/>
  <c r="C17" i="30"/>
  <c r="AB17" i="30" s="1" a="1"/>
  <c r="AB17" i="30" s="1"/>
  <c r="C18" i="30"/>
  <c r="R18" i="30" s="1" a="1"/>
  <c r="R18" i="30" s="1"/>
  <c r="C20" i="30"/>
  <c r="F20" i="30" s="1"/>
  <c r="C21" i="30"/>
  <c r="AD21" i="30" s="1" a="1"/>
  <c r="AD21" i="30" s="1"/>
  <c r="C22" i="30"/>
  <c r="F22" i="30" s="1"/>
  <c r="C23" i="30"/>
  <c r="F23" i="30" s="1"/>
  <c r="C24" i="30"/>
  <c r="C25" i="30"/>
  <c r="C26" i="30"/>
  <c r="F26" i="30" s="1"/>
  <c r="C27" i="30"/>
  <c r="X27" i="30" s="1" a="1"/>
  <c r="X27" i="30" s="1"/>
  <c r="C28" i="30"/>
  <c r="R28" i="30" s="1" a="1"/>
  <c r="R28" i="30" s="1"/>
  <c r="C29" i="30"/>
  <c r="L29" i="30" s="1" a="1"/>
  <c r="L29" i="30" s="1"/>
  <c r="C30" i="30"/>
  <c r="Z30" i="30" s="1" a="1"/>
  <c r="Z30" i="30" s="1"/>
  <c r="C31" i="30"/>
  <c r="X31" i="30" s="1" a="1"/>
  <c r="X31" i="30" s="1"/>
  <c r="C32" i="30"/>
  <c r="P32" i="30" s="1" a="1"/>
  <c r="P32" i="30" s="1"/>
  <c r="C33" i="30"/>
  <c r="X33" i="30" s="1" a="1"/>
  <c r="X33" i="30" s="1"/>
  <c r="C34" i="30"/>
  <c r="AD34" i="30" s="1" a="1"/>
  <c r="AD34" i="30" s="1"/>
  <c r="C35" i="30"/>
  <c r="AD35" i="30" s="1" a="1"/>
  <c r="AD35" i="30" s="1"/>
  <c r="C36" i="30"/>
  <c r="AD36" i="30" s="1" a="1"/>
  <c r="AD36" i="30" s="1"/>
  <c r="C37" i="30"/>
  <c r="Z37" i="30" s="1" a="1"/>
  <c r="Z37" i="30" s="1"/>
  <c r="C38" i="30"/>
  <c r="C39" i="30"/>
  <c r="AD39" i="30" s="1" a="1"/>
  <c r="AD39" i="30" s="1"/>
  <c r="C40" i="30"/>
  <c r="X40" i="30" s="1" a="1"/>
  <c r="X40" i="30" s="1"/>
  <c r="C41" i="30"/>
  <c r="P41" i="30" s="1" a="1"/>
  <c r="P41" i="30" s="1"/>
  <c r="C42" i="30"/>
  <c r="C43" i="30"/>
  <c r="X43" i="30" s="1" a="1"/>
  <c r="X43" i="30" s="1"/>
  <c r="C44" i="30"/>
  <c r="X44" i="30" s="1" a="1"/>
  <c r="X44" i="30" s="1"/>
  <c r="C45" i="30"/>
  <c r="AD45" i="30" s="1" a="1"/>
  <c r="AD45" i="30" s="1"/>
  <c r="C46" i="30"/>
  <c r="V46" i="30" s="1" a="1"/>
  <c r="V46" i="30" s="1"/>
  <c r="C47" i="30"/>
  <c r="C48" i="30"/>
  <c r="AB48" i="30" s="1" a="1"/>
  <c r="AB48" i="30" s="1"/>
  <c r="C49" i="30"/>
  <c r="T49" i="30" s="1" a="1"/>
  <c r="T49" i="30" s="1"/>
  <c r="C50" i="30"/>
  <c r="Z50" i="30" s="1" a="1"/>
  <c r="Z50" i="30" s="1"/>
  <c r="C51" i="30"/>
  <c r="N51" i="30" s="1" a="1"/>
  <c r="N51" i="30" s="1"/>
  <c r="C52" i="30"/>
  <c r="X52" i="30" s="1" a="1"/>
  <c r="X52" i="30" s="1"/>
  <c r="C53" i="30"/>
  <c r="C54" i="30"/>
  <c r="V54" i="30" s="1" a="1"/>
  <c r="V54" i="30" s="1"/>
  <c r="C55" i="30"/>
  <c r="AB55" i="30" s="1" a="1"/>
  <c r="AB55" i="30" s="1"/>
  <c r="C56" i="30"/>
  <c r="AD56" i="30" s="1" a="1"/>
  <c r="AD56" i="30" s="1"/>
  <c r="C57" i="30"/>
  <c r="P57" i="30" s="1" a="1"/>
  <c r="P57" i="30" s="1"/>
  <c r="C58" i="30"/>
  <c r="L58" i="30" s="1" a="1"/>
  <c r="L58" i="30" s="1"/>
  <c r="C59" i="30"/>
  <c r="C60" i="30"/>
  <c r="AB60" i="30" s="1" a="1"/>
  <c r="AB60" i="30" s="1"/>
  <c r="C61" i="30"/>
  <c r="N61" i="30" s="1" a="1"/>
  <c r="N61" i="30" s="1"/>
  <c r="C62" i="30"/>
  <c r="T62" i="30" s="1" a="1"/>
  <c r="T62" i="30" s="1"/>
  <c r="C63" i="30"/>
  <c r="AD63" i="30" s="1" a="1"/>
  <c r="AD63" i="30" s="1"/>
  <c r="C64" i="30"/>
  <c r="V64" i="30" s="1" a="1"/>
  <c r="V64" i="30" s="1"/>
  <c r="C65" i="30"/>
  <c r="N65" i="30" s="1" a="1"/>
  <c r="N65" i="30" s="1"/>
  <c r="C66" i="30"/>
  <c r="N66" i="30" s="1" a="1"/>
  <c r="N66" i="30" s="1"/>
  <c r="C67" i="30"/>
  <c r="T67" i="30" s="1" a="1"/>
  <c r="T67" i="30" s="1"/>
  <c r="C68" i="30"/>
  <c r="X68" i="30" s="1" a="1"/>
  <c r="X68" i="30" s="1"/>
  <c r="C69" i="30"/>
  <c r="Z69" i="30" s="1" a="1"/>
  <c r="Z69" i="30" s="1"/>
  <c r="C70" i="30"/>
  <c r="AB70" i="30" s="1" a="1"/>
  <c r="AB70" i="30" s="1"/>
  <c r="C71" i="30"/>
  <c r="AB71" i="30" s="1" a="1"/>
  <c r="AB71" i="30" s="1"/>
  <c r="C72" i="30"/>
  <c r="AD72" i="30" s="1" a="1"/>
  <c r="AD72" i="30" s="1"/>
  <c r="C73" i="30"/>
  <c r="P73" i="30" s="1" a="1"/>
  <c r="P73" i="30" s="1"/>
  <c r="C74" i="30"/>
  <c r="C75" i="30"/>
  <c r="X75" i="30" s="1" a="1"/>
  <c r="X75" i="30" s="1"/>
  <c r="C76" i="30"/>
  <c r="P76" i="30" s="1" a="1"/>
  <c r="P76" i="30" s="1"/>
  <c r="C77" i="30"/>
  <c r="C78" i="30"/>
  <c r="L78" i="30" s="1" a="1"/>
  <c r="L78" i="30" s="1"/>
  <c r="C79" i="30"/>
  <c r="F79" i="30" s="1"/>
  <c r="C80" i="30"/>
  <c r="C81" i="30"/>
  <c r="AD81" i="30" s="1" a="1"/>
  <c r="AD81" i="30" s="1"/>
  <c r="C82" i="30"/>
  <c r="N82" i="30" s="1" a="1"/>
  <c r="N82" i="30" s="1"/>
  <c r="C83" i="30"/>
  <c r="N83" i="30" s="1" a="1"/>
  <c r="N83" i="30" s="1"/>
  <c r="C84" i="30"/>
  <c r="P84" i="30" s="1" a="1"/>
  <c r="P84" i="30" s="1"/>
  <c r="C85" i="30"/>
  <c r="AD85" i="30" s="1" a="1"/>
  <c r="AD85" i="30" s="1"/>
  <c r="C86" i="30"/>
  <c r="AD86" i="30" s="1" a="1"/>
  <c r="AD86" i="30" s="1"/>
  <c r="C87" i="30"/>
  <c r="T87" i="30" s="1" a="1"/>
  <c r="T87" i="30" s="1"/>
  <c r="C88" i="30"/>
  <c r="AD88" i="30" s="1" a="1"/>
  <c r="AD88" i="30" s="1"/>
  <c r="C89" i="30"/>
  <c r="AD89" i="30" s="1" a="1"/>
  <c r="AD89" i="30" s="1"/>
  <c r="C90" i="30"/>
  <c r="C91" i="30"/>
  <c r="V91" i="30" s="1" a="1"/>
  <c r="V91" i="30" s="1"/>
  <c r="C92" i="30"/>
  <c r="AD92" i="30" s="1" a="1"/>
  <c r="AD92" i="30" s="1"/>
  <c r="C93" i="30"/>
  <c r="C94" i="30"/>
  <c r="AB94" i="30" s="1" a="1"/>
  <c r="AB94" i="30" s="1"/>
  <c r="C95" i="30"/>
  <c r="C96" i="30"/>
  <c r="Z96" i="30" s="1" a="1"/>
  <c r="Z96" i="30" s="1"/>
  <c r="C97" i="30"/>
  <c r="N97" i="30" s="1" a="1"/>
  <c r="N97" i="30" s="1"/>
  <c r="C98" i="30"/>
  <c r="AD98" i="30" s="1" a="1"/>
  <c r="AD98" i="30" s="1"/>
  <c r="C99" i="30"/>
  <c r="L99" i="30" s="1" a="1"/>
  <c r="L99" i="30" s="1"/>
  <c r="C100" i="30"/>
  <c r="R100" i="30" s="1" a="1"/>
  <c r="R100" i="30" s="1"/>
  <c r="C101" i="30"/>
  <c r="AD101" i="30" s="1" a="1"/>
  <c r="AD101" i="30" s="1"/>
  <c r="C102" i="30"/>
  <c r="V102" i="30" s="1" a="1"/>
  <c r="V102" i="30" s="1"/>
  <c r="C103" i="30"/>
  <c r="C104" i="30"/>
  <c r="Z104" i="30" s="1" a="1"/>
  <c r="Z104" i="30" s="1"/>
  <c r="C105" i="30"/>
  <c r="X105" i="30" s="1" a="1"/>
  <c r="X105" i="30" s="1"/>
  <c r="C106" i="30"/>
  <c r="Z106" i="30" s="1" a="1"/>
  <c r="Z106" i="30" s="1"/>
  <c r="C107" i="30"/>
  <c r="V107" i="30" s="1" a="1"/>
  <c r="V107" i="30" s="1"/>
  <c r="C108" i="30"/>
  <c r="AB108" i="30" s="1" a="1"/>
  <c r="AB108" i="30" s="1"/>
  <c r="C109" i="30"/>
  <c r="T109" i="30" s="1" a="1"/>
  <c r="T109" i="30" s="1"/>
  <c r="C110" i="30"/>
  <c r="P110" i="30" s="1" a="1"/>
  <c r="P110" i="30" s="1"/>
  <c r="C111" i="30"/>
  <c r="J111" i="30" s="1" a="1"/>
  <c r="J111" i="30" s="1"/>
  <c r="C112" i="30"/>
  <c r="T112" i="30" s="1" a="1"/>
  <c r="T112" i="30" s="1"/>
  <c r="C113" i="30"/>
  <c r="C114" i="30"/>
  <c r="AD114" i="30" s="1" a="1"/>
  <c r="AD114" i="30" s="1"/>
  <c r="C115" i="30"/>
  <c r="AB115" i="30" s="1" a="1"/>
  <c r="AB115" i="30" s="1"/>
  <c r="C116" i="30"/>
  <c r="Z116" i="30" s="1" a="1"/>
  <c r="Z116" i="30" s="1"/>
  <c r="C117" i="30"/>
  <c r="R117" i="30" s="1" a="1"/>
  <c r="R117" i="30" s="1"/>
  <c r="C118" i="30"/>
  <c r="AB118" i="30" s="1" a="1"/>
  <c r="AB118" i="30" s="1"/>
  <c r="C119" i="30"/>
  <c r="R119" i="30" s="1" a="1"/>
  <c r="R119" i="30" s="1"/>
  <c r="C120" i="30"/>
  <c r="N120" i="30" s="1" a="1"/>
  <c r="N120" i="30" s="1"/>
  <c r="C121" i="30"/>
  <c r="AD121" i="30" s="1" a="1"/>
  <c r="AD121" i="30" s="1"/>
  <c r="C122" i="30"/>
  <c r="C123" i="30"/>
  <c r="AD123" i="30" s="1" a="1"/>
  <c r="AD123" i="30" s="1"/>
  <c r="C124" i="30"/>
  <c r="P124" i="30" s="1" a="1"/>
  <c r="P124" i="30" s="1"/>
  <c r="C125" i="30"/>
  <c r="X125" i="30" s="1" a="1"/>
  <c r="X125" i="30" s="1"/>
  <c r="C126" i="30"/>
  <c r="E126" i="30" s="1"/>
  <c r="C127" i="30"/>
  <c r="L127" i="30" s="1" a="1"/>
  <c r="L127" i="30" s="1"/>
  <c r="C128" i="30"/>
  <c r="X128" i="30" s="1" a="1"/>
  <c r="X128" i="30" s="1"/>
  <c r="C129" i="30"/>
  <c r="C130" i="30"/>
  <c r="X130" i="30" s="1" a="1"/>
  <c r="X130" i="30" s="1"/>
  <c r="C131" i="30"/>
  <c r="AD131" i="30" s="1" a="1"/>
  <c r="AD131" i="30" s="1"/>
  <c r="C132" i="30"/>
  <c r="AB132" i="30" s="1" a="1"/>
  <c r="AB132" i="30" s="1"/>
  <c r="C133" i="30"/>
  <c r="R133" i="30" s="1" a="1"/>
  <c r="R133" i="30" s="1"/>
  <c r="C134" i="30"/>
  <c r="T134" i="30" s="1" a="1"/>
  <c r="T134" i="30" s="1"/>
  <c r="C135" i="30"/>
  <c r="E135" i="30" s="1"/>
  <c r="C136" i="30"/>
  <c r="C137" i="30"/>
  <c r="P137" i="30" s="1" a="1"/>
  <c r="P137" i="30" s="1"/>
  <c r="C138" i="30"/>
  <c r="T138" i="30" s="1" a="1"/>
  <c r="T138" i="30" s="1"/>
  <c r="C139" i="30"/>
  <c r="Z139" i="30" s="1" a="1"/>
  <c r="Z139" i="30" s="1"/>
  <c r="C140" i="30"/>
  <c r="AD140" i="30" s="1" a="1"/>
  <c r="AD140" i="30" s="1"/>
  <c r="C141" i="30"/>
  <c r="X141" i="30" s="1" a="1"/>
  <c r="X141" i="30" s="1"/>
  <c r="C142" i="30"/>
  <c r="H142" i="30" s="1" a="1"/>
  <c r="H142" i="30" s="1"/>
  <c r="C143" i="30"/>
  <c r="C144" i="30"/>
  <c r="V144" i="30" s="1" a="1"/>
  <c r="V144" i="30" s="1"/>
  <c r="C145" i="30"/>
  <c r="X145" i="30" s="1" a="1"/>
  <c r="X145" i="30" s="1"/>
  <c r="C146" i="30"/>
  <c r="C147" i="30"/>
  <c r="Z147" i="30" s="1" a="1"/>
  <c r="Z147" i="30" s="1"/>
  <c r="C148" i="30"/>
  <c r="H148" i="30" s="1" a="1"/>
  <c r="H148" i="30" s="1"/>
  <c r="C149" i="30"/>
  <c r="AB149" i="30" s="1" a="1"/>
  <c r="AB149" i="30" s="1"/>
  <c r="C150" i="30"/>
  <c r="Z150" i="30" s="1" a="1"/>
  <c r="Z150" i="30" s="1"/>
  <c r="A47" i="30"/>
  <c r="A46" i="30"/>
  <c r="A45" i="30"/>
  <c r="A44" i="30"/>
  <c r="A43" i="30"/>
  <c r="A42" i="30"/>
  <c r="A41" i="30"/>
  <c r="A40" i="30"/>
  <c r="A39" i="30"/>
  <c r="A38" i="30"/>
  <c r="A37" i="30"/>
  <c r="A36" i="30"/>
  <c r="L35" i="30" a="1"/>
  <c r="L35" i="30" s="1"/>
  <c r="A35" i="30"/>
  <c r="A34" i="30"/>
  <c r="A33" i="30"/>
  <c r="A32" i="30"/>
  <c r="A31" i="30"/>
  <c r="A30" i="30"/>
  <c r="A29" i="30"/>
  <c r="A28" i="30"/>
  <c r="A27" i="30"/>
  <c r="A26" i="30"/>
  <c r="A25" i="30"/>
  <c r="A24" i="30"/>
  <c r="A23" i="30"/>
  <c r="A22" i="30"/>
  <c r="A21" i="30"/>
  <c r="A20" i="30"/>
  <c r="C19" i="30"/>
  <c r="A19" i="30"/>
  <c r="A18" i="30"/>
  <c r="A17" i="30"/>
  <c r="A15" i="30"/>
  <c r="A16" i="30" s="1"/>
  <c r="AD13" i="30" a="1"/>
  <c r="AD13" i="30" s="1"/>
  <c r="AB13" i="30" a="1"/>
  <c r="AB13" i="30" s="1"/>
  <c r="Z13" i="30" a="1"/>
  <c r="Z13" i="30" s="1"/>
  <c r="X13" i="30" a="1"/>
  <c r="X13" i="30" s="1"/>
  <c r="V13" i="30" a="1"/>
  <c r="V13" i="30" s="1"/>
  <c r="T13" i="30" a="1"/>
  <c r="T13" i="30" s="1"/>
  <c r="R13" i="30" a="1"/>
  <c r="R13" i="30" s="1"/>
  <c r="P13" i="30" a="1"/>
  <c r="P13" i="30" s="1"/>
  <c r="N13" i="30" a="1"/>
  <c r="N13" i="30" s="1"/>
  <c r="L13" i="30" a="1"/>
  <c r="L13" i="30" s="1"/>
  <c r="J13" i="30" a="1"/>
  <c r="J13" i="30" s="1"/>
  <c r="H13" i="30" a="1"/>
  <c r="H13" i="30" s="1"/>
  <c r="E13" i="30"/>
  <c r="AD12" i="30" a="1"/>
  <c r="AD12" i="30" s="1"/>
  <c r="AB12" i="30" a="1"/>
  <c r="AB12" i="30" s="1"/>
  <c r="Z12" i="30" a="1"/>
  <c r="Z12" i="30" s="1"/>
  <c r="X12" i="30" a="1"/>
  <c r="X12" i="30" s="1"/>
  <c r="V12" i="30" a="1"/>
  <c r="V12" i="30" s="1"/>
  <c r="T12" i="30" a="1"/>
  <c r="T12" i="30" s="1"/>
  <c r="R12" i="30" a="1"/>
  <c r="R12" i="30" s="1"/>
  <c r="P12" i="30" a="1"/>
  <c r="P12" i="30" s="1"/>
  <c r="J12" i="30" a="1"/>
  <c r="J12" i="30" s="1"/>
  <c r="H12" i="30" a="1"/>
  <c r="H12" i="30" s="1"/>
  <c r="AD11" i="30"/>
  <c r="AD11" i="30" a="1"/>
  <c r="AB11" i="30"/>
  <c r="AB11" i="30" a="1"/>
  <c r="Z11" i="30"/>
  <c r="Z11" i="30" a="1"/>
  <c r="X11" i="30"/>
  <c r="X11" i="30" a="1"/>
  <c r="V11" i="30"/>
  <c r="V11" i="30" a="1"/>
  <c r="T11" i="30" a="1"/>
  <c r="T11" i="30" s="1"/>
  <c r="R11" i="30"/>
  <c r="R11" i="30" a="1"/>
  <c r="P11" i="30"/>
  <c r="P11" i="30" a="1"/>
  <c r="N11" i="30"/>
  <c r="N11" i="30" a="1"/>
  <c r="L11" i="30"/>
  <c r="L11" i="30" a="1"/>
  <c r="J11" i="30"/>
  <c r="J11" i="30" a="1"/>
  <c r="H11" i="30" a="1"/>
  <c r="H11" i="30" s="1"/>
  <c r="F11" i="30" s="1"/>
  <c r="E11" i="30"/>
  <c r="AD10" i="30"/>
  <c r="AD10" i="30" a="1"/>
  <c r="AB10" i="30"/>
  <c r="AB10" i="30" a="1"/>
  <c r="Z10" i="30"/>
  <c r="Z10" i="30" a="1"/>
  <c r="X10" i="30"/>
  <c r="X10" i="30" a="1"/>
  <c r="V10" i="30"/>
  <c r="V10" i="30" a="1"/>
  <c r="T10" i="30" a="1"/>
  <c r="T10" i="30" s="1"/>
  <c r="R10" i="30" a="1"/>
  <c r="R10" i="30" s="1"/>
  <c r="P10" i="30"/>
  <c r="P10" i="30" a="1"/>
  <c r="N10" i="30"/>
  <c r="N10" i="30" a="1"/>
  <c r="L10" i="30"/>
  <c r="L10" i="30" a="1"/>
  <c r="J10" i="30"/>
  <c r="J10" i="30" a="1"/>
  <c r="H10" i="30"/>
  <c r="H10" i="30" a="1"/>
  <c r="E10" i="30"/>
  <c r="AD9" i="30" a="1"/>
  <c r="AD9" i="30" s="1"/>
  <c r="AB9" i="30" a="1"/>
  <c r="AB9" i="30" s="1"/>
  <c r="Z9" i="30"/>
  <c r="Z9" i="30" a="1"/>
  <c r="X9" i="30" a="1"/>
  <c r="X9" i="30" s="1"/>
  <c r="V9" i="30" a="1"/>
  <c r="V9" i="30" s="1"/>
  <c r="T9" i="30" a="1"/>
  <c r="T9" i="30" s="1"/>
  <c r="R9" i="30" a="1"/>
  <c r="R9" i="30" s="1"/>
  <c r="P9" i="30" a="1"/>
  <c r="P9" i="30" s="1"/>
  <c r="N9" i="30" a="1"/>
  <c r="N9" i="30" s="1"/>
  <c r="L9" i="30" a="1"/>
  <c r="L9" i="30" s="1"/>
  <c r="J9" i="30" a="1"/>
  <c r="J9" i="30" s="1"/>
  <c r="H9" i="30" a="1"/>
  <c r="H9" i="30" s="1"/>
  <c r="E9" i="30"/>
  <c r="AD8" i="30" a="1"/>
  <c r="AD8" i="30" s="1"/>
  <c r="AB8" i="30" a="1"/>
  <c r="AB8" i="30" s="1"/>
  <c r="Z8" i="30" a="1"/>
  <c r="Z8" i="30" s="1"/>
  <c r="X8" i="30" a="1"/>
  <c r="X8" i="30" s="1"/>
  <c r="V8" i="30" a="1"/>
  <c r="V8" i="30" s="1"/>
  <c r="T8" i="30" a="1"/>
  <c r="T8" i="30" s="1"/>
  <c r="R8" i="30" a="1"/>
  <c r="R8" i="30" s="1"/>
  <c r="P8" i="30" a="1"/>
  <c r="P8" i="30" s="1"/>
  <c r="N8" i="30" a="1"/>
  <c r="N8" i="30" s="1"/>
  <c r="L8" i="30" a="1"/>
  <c r="L8" i="30" s="1"/>
  <c r="J8" i="30" a="1"/>
  <c r="J8" i="30" s="1"/>
  <c r="H8" i="30" a="1"/>
  <c r="H8" i="30" s="1"/>
  <c r="E8" i="30"/>
  <c r="OE7" i="30"/>
  <c r="OD7" i="30"/>
  <c r="OC7" i="30"/>
  <c r="OB7" i="30"/>
  <c r="OA7" i="30"/>
  <c r="NZ7" i="30"/>
  <c r="NY7" i="30"/>
  <c r="NX7" i="30"/>
  <c r="NW7" i="30"/>
  <c r="NV7" i="30"/>
  <c r="NU7" i="30"/>
  <c r="NT7" i="30"/>
  <c r="NS7" i="30"/>
  <c r="NR7" i="30"/>
  <c r="NQ7" i="30"/>
  <c r="NP7" i="30"/>
  <c r="NO7" i="30"/>
  <c r="NN7" i="30"/>
  <c r="NM7" i="30"/>
  <c r="NL7" i="30"/>
  <c r="NK7" i="30"/>
  <c r="NJ7" i="30"/>
  <c r="NI7" i="30"/>
  <c r="NH7" i="30"/>
  <c r="NG7" i="30"/>
  <c r="NF7" i="30"/>
  <c r="NE7" i="30"/>
  <c r="ND7" i="30"/>
  <c r="NC7" i="30"/>
  <c r="NB7" i="30"/>
  <c r="NA7" i="30"/>
  <c r="MZ7" i="30"/>
  <c r="MY7" i="30"/>
  <c r="MX7" i="30"/>
  <c r="MW7" i="30"/>
  <c r="MV7" i="30"/>
  <c r="MU7" i="30"/>
  <c r="MT7" i="30"/>
  <c r="MS7" i="30"/>
  <c r="MR7" i="30"/>
  <c r="MQ7" i="30"/>
  <c r="MP7" i="30"/>
  <c r="MO7" i="30"/>
  <c r="MN7" i="30"/>
  <c r="MM7" i="30"/>
  <c r="ML7" i="30"/>
  <c r="MK7" i="30"/>
  <c r="MJ7" i="30"/>
  <c r="MI7" i="30"/>
  <c r="MH7" i="30"/>
  <c r="MG7" i="30"/>
  <c r="MF7" i="30"/>
  <c r="ME7" i="30"/>
  <c r="MD7" i="30"/>
  <c r="MC7" i="30"/>
  <c r="MB7" i="30"/>
  <c r="MA7" i="30"/>
  <c r="LZ7" i="30"/>
  <c r="LY7" i="30"/>
  <c r="LX7" i="30"/>
  <c r="LW7" i="30"/>
  <c r="LV7" i="30"/>
  <c r="LU7" i="30"/>
  <c r="LT7" i="30"/>
  <c r="LS7" i="30"/>
  <c r="LR7" i="30"/>
  <c r="LQ7" i="30"/>
  <c r="LP7" i="30"/>
  <c r="LO7" i="30"/>
  <c r="LN7" i="30"/>
  <c r="LM7" i="30"/>
  <c r="LL7" i="30"/>
  <c r="LK7" i="30"/>
  <c r="LJ7" i="30"/>
  <c r="LI7" i="30"/>
  <c r="LH7" i="30"/>
  <c r="LG7" i="30"/>
  <c r="LF7" i="30"/>
  <c r="LE7" i="30"/>
  <c r="LD7" i="30"/>
  <c r="LC7" i="30"/>
  <c r="LB7" i="30"/>
  <c r="LA7" i="30"/>
  <c r="KZ7" i="30"/>
  <c r="KY7" i="30"/>
  <c r="KX7" i="30"/>
  <c r="KW7" i="30"/>
  <c r="KV7" i="30"/>
  <c r="KU7" i="30"/>
  <c r="KT7" i="30"/>
  <c r="KS7" i="30"/>
  <c r="KR7" i="30"/>
  <c r="KQ7" i="30"/>
  <c r="KP7" i="30"/>
  <c r="KO7" i="30"/>
  <c r="KN7" i="30"/>
  <c r="KM7" i="30"/>
  <c r="KL7" i="30"/>
  <c r="KK7" i="30"/>
  <c r="KJ7" i="30"/>
  <c r="KI7" i="30"/>
  <c r="KH7" i="30"/>
  <c r="KG7" i="30"/>
  <c r="KF7" i="30"/>
  <c r="KE7" i="30"/>
  <c r="KD7" i="30"/>
  <c r="KC7" i="30"/>
  <c r="KB7" i="30"/>
  <c r="KA7" i="30"/>
  <c r="JZ7" i="30"/>
  <c r="JY7" i="30"/>
  <c r="JX7" i="30"/>
  <c r="JW7" i="30"/>
  <c r="JV7" i="30"/>
  <c r="JU7" i="30"/>
  <c r="JT7" i="30"/>
  <c r="JS7" i="30"/>
  <c r="JR7" i="30"/>
  <c r="JQ7" i="30"/>
  <c r="JP7" i="30"/>
  <c r="JO7" i="30"/>
  <c r="JN7" i="30"/>
  <c r="JM7" i="30"/>
  <c r="JL7" i="30"/>
  <c r="JK7" i="30"/>
  <c r="JJ7" i="30"/>
  <c r="JI7" i="30"/>
  <c r="JH7" i="30"/>
  <c r="JG7" i="30"/>
  <c r="JF7" i="30"/>
  <c r="JE7" i="30"/>
  <c r="JD7" i="30"/>
  <c r="JC7" i="30"/>
  <c r="JB7" i="30"/>
  <c r="JA7" i="30"/>
  <c r="IZ7" i="30"/>
  <c r="IY7" i="30"/>
  <c r="IX7" i="30"/>
  <c r="IW7" i="30"/>
  <c r="IV7" i="30"/>
  <c r="IU7" i="30"/>
  <c r="IT7" i="30"/>
  <c r="IS7" i="30"/>
  <c r="IR7" i="30"/>
  <c r="IQ7" i="30"/>
  <c r="IP7" i="30"/>
  <c r="IO7" i="30"/>
  <c r="IN7" i="30"/>
  <c r="IM7" i="30"/>
  <c r="IL7" i="30"/>
  <c r="IK7" i="30"/>
  <c r="IJ7" i="30"/>
  <c r="II7" i="30"/>
  <c r="IH7" i="30"/>
  <c r="IG7" i="30"/>
  <c r="IF7" i="30"/>
  <c r="IE7" i="30"/>
  <c r="ID7" i="30"/>
  <c r="IC7" i="30"/>
  <c r="IB7" i="30"/>
  <c r="IA7" i="30"/>
  <c r="HZ7" i="30"/>
  <c r="HY7" i="30"/>
  <c r="HX7" i="30"/>
  <c r="HW7" i="30"/>
  <c r="HV7" i="30"/>
  <c r="HU7" i="30"/>
  <c r="HT7" i="30"/>
  <c r="HS7" i="30"/>
  <c r="HR7" i="30"/>
  <c r="HQ7" i="30"/>
  <c r="HP7" i="30"/>
  <c r="HO7" i="30"/>
  <c r="HN7" i="30"/>
  <c r="HM7" i="30"/>
  <c r="HL7" i="30"/>
  <c r="HK7" i="30"/>
  <c r="HJ7" i="30"/>
  <c r="HI7" i="30"/>
  <c r="HH7" i="30"/>
  <c r="HG7" i="30"/>
  <c r="HF7" i="30"/>
  <c r="HE7" i="30"/>
  <c r="HD7" i="30"/>
  <c r="HC7" i="30"/>
  <c r="HB7" i="30"/>
  <c r="HA7" i="30"/>
  <c r="GZ7" i="30"/>
  <c r="GY7" i="30"/>
  <c r="GX7" i="30"/>
  <c r="GW7" i="30"/>
  <c r="GV7" i="30"/>
  <c r="GU7" i="30"/>
  <c r="GT7" i="30"/>
  <c r="GS7" i="30"/>
  <c r="GR7" i="30"/>
  <c r="GQ7" i="30"/>
  <c r="GP7" i="30"/>
  <c r="GO7" i="30"/>
  <c r="GN7" i="30"/>
  <c r="GM7" i="30"/>
  <c r="GL7" i="30"/>
  <c r="GK7" i="30"/>
  <c r="GJ7" i="30"/>
  <c r="GI7" i="30"/>
  <c r="GH7" i="30"/>
  <c r="GG7" i="30"/>
  <c r="GF7" i="30"/>
  <c r="GE7" i="30"/>
  <c r="GD7" i="30"/>
  <c r="GC7" i="30"/>
  <c r="GB7" i="30"/>
  <c r="GA7" i="30"/>
  <c r="FZ7" i="30"/>
  <c r="FY7" i="30"/>
  <c r="FX7" i="30"/>
  <c r="FW7" i="30"/>
  <c r="FV7" i="30"/>
  <c r="FU7" i="30"/>
  <c r="FT7" i="30"/>
  <c r="FS7" i="30"/>
  <c r="FR7" i="30"/>
  <c r="FQ7" i="30"/>
  <c r="FP7" i="30"/>
  <c r="FO7" i="30"/>
  <c r="FN7" i="30"/>
  <c r="FM7" i="30"/>
  <c r="FL7" i="30"/>
  <c r="FK7" i="30"/>
  <c r="FJ7" i="30"/>
  <c r="FI7" i="30"/>
  <c r="FH7" i="30"/>
  <c r="FG7" i="30"/>
  <c r="FF7" i="30"/>
  <c r="FE7" i="30"/>
  <c r="FD7" i="30"/>
  <c r="FC7" i="30"/>
  <c r="FB7" i="30"/>
  <c r="FA7" i="30"/>
  <c r="EZ7" i="30"/>
  <c r="EY7" i="30"/>
  <c r="EX7" i="30"/>
  <c r="EW7" i="30"/>
  <c r="EV7" i="30"/>
  <c r="EU7" i="30"/>
  <c r="ET7" i="30"/>
  <c r="ES7" i="30"/>
  <c r="ER7" i="30"/>
  <c r="EQ7" i="30"/>
  <c r="EP7" i="30"/>
  <c r="EO7" i="30"/>
  <c r="EN7" i="30"/>
  <c r="EM7" i="30"/>
  <c r="EL7" i="30"/>
  <c r="EK7" i="30"/>
  <c r="EJ7" i="30"/>
  <c r="EI7" i="30"/>
  <c r="EH7" i="30"/>
  <c r="EG7" i="30"/>
  <c r="EF7" i="30"/>
  <c r="EE7" i="30"/>
  <c r="ED7" i="30"/>
  <c r="EC7" i="30"/>
  <c r="EB7" i="30"/>
  <c r="EA7" i="30"/>
  <c r="DZ7" i="30"/>
  <c r="DY7" i="30"/>
  <c r="DX7" i="30"/>
  <c r="DW7" i="30"/>
  <c r="DV7" i="30"/>
  <c r="DU7" i="30"/>
  <c r="DT7" i="30"/>
  <c r="DS7" i="30"/>
  <c r="DR7" i="30"/>
  <c r="DQ7" i="30"/>
  <c r="DP7" i="30"/>
  <c r="DO7" i="30"/>
  <c r="DN7" i="30"/>
  <c r="DM7" i="30"/>
  <c r="DL7" i="30"/>
  <c r="DK7" i="30"/>
  <c r="DJ7" i="30"/>
  <c r="DI7" i="30"/>
  <c r="DH7" i="30"/>
  <c r="DG7" i="30"/>
  <c r="DF7" i="30"/>
  <c r="DE7" i="30"/>
  <c r="DD7" i="30"/>
  <c r="DC7" i="30"/>
  <c r="DB7" i="30"/>
  <c r="DA7" i="30"/>
  <c r="CZ7" i="30"/>
  <c r="CY7" i="30"/>
  <c r="CX7" i="30"/>
  <c r="CW7" i="30"/>
  <c r="CT7" i="30"/>
  <c r="CS7" i="30"/>
  <c r="CR7" i="30"/>
  <c r="CQ7" i="30"/>
  <c r="CP7" i="30"/>
  <c r="CO7" i="30"/>
  <c r="CN7" i="30"/>
  <c r="CM7" i="30"/>
  <c r="CL7" i="30"/>
  <c r="CK7" i="30"/>
  <c r="CJ7" i="30"/>
  <c r="CI7" i="30"/>
  <c r="CH7" i="30"/>
  <c r="CG7" i="30"/>
  <c r="CF7" i="30"/>
  <c r="CE7" i="30"/>
  <c r="CD7" i="30"/>
  <c r="CC7" i="30"/>
  <c r="CB7" i="30"/>
  <c r="CA7" i="30"/>
  <c r="BZ7" i="30"/>
  <c r="BY7" i="30"/>
  <c r="BX7" i="30"/>
  <c r="BW7" i="30"/>
  <c r="BV7" i="30"/>
  <c r="BU7" i="30"/>
  <c r="BT7" i="30"/>
  <c r="BS7" i="30"/>
  <c r="BR7" i="30"/>
  <c r="BQ7" i="30"/>
  <c r="BP7" i="30"/>
  <c r="BO7" i="30"/>
  <c r="BN7" i="30"/>
  <c r="BM7" i="30"/>
  <c r="BL7" i="30"/>
  <c r="BK7" i="30"/>
  <c r="BJ7" i="30"/>
  <c r="BI7" i="30"/>
  <c r="BH7" i="30"/>
  <c r="BG7" i="30"/>
  <c r="BF7" i="30"/>
  <c r="BE7" i="30"/>
  <c r="BD7" i="30"/>
  <c r="BC7" i="30"/>
  <c r="BB7" i="30"/>
  <c r="BA7" i="30"/>
  <c r="AZ7" i="30"/>
  <c r="AY7" i="30"/>
  <c r="AX7" i="30"/>
  <c r="AW7" i="30"/>
  <c r="AV7" i="30"/>
  <c r="AU7" i="30"/>
  <c r="AT7" i="30"/>
  <c r="AS7" i="30"/>
  <c r="AR7" i="30"/>
  <c r="AQ7" i="30"/>
  <c r="AP7" i="30"/>
  <c r="AO7" i="30"/>
  <c r="AN7" i="30"/>
  <c r="AM7" i="30"/>
  <c r="AL7" i="30"/>
  <c r="AK7" i="30"/>
  <c r="AJ7" i="30"/>
  <c r="AI7" i="30"/>
  <c r="AH7" i="30"/>
  <c r="AG7" i="30"/>
  <c r="AF7" i="30"/>
  <c r="AE7" i="30"/>
  <c r="AC7" i="30"/>
  <c r="AA7" i="30"/>
  <c r="Y7" i="30"/>
  <c r="W7" i="30"/>
  <c r="U7" i="30"/>
  <c r="S7" i="30"/>
  <c r="Q7" i="30"/>
  <c r="O7" i="30"/>
  <c r="M7" i="30"/>
  <c r="K7" i="30"/>
  <c r="I7" i="30"/>
  <c r="G7" i="30"/>
  <c r="T6" i="30" a="1"/>
  <c r="T6" i="30" s="1"/>
  <c r="L6" i="30" a="1"/>
  <c r="L6" i="30" s="1"/>
  <c r="OE4" i="30"/>
  <c r="OD4" i="30"/>
  <c r="OC4" i="30"/>
  <c r="OB4" i="30"/>
  <c r="OA4" i="30"/>
  <c r="NZ4" i="30"/>
  <c r="NY4" i="30"/>
  <c r="NX4" i="30"/>
  <c r="NW4" i="30"/>
  <c r="NV4" i="30"/>
  <c r="NU4" i="30"/>
  <c r="NT4" i="30"/>
  <c r="NS4" i="30"/>
  <c r="NR4" i="30"/>
  <c r="NQ4" i="30"/>
  <c r="NP4" i="30"/>
  <c r="NO4" i="30"/>
  <c r="NN4" i="30"/>
  <c r="NM4" i="30"/>
  <c r="NL4" i="30"/>
  <c r="NK4" i="30"/>
  <c r="NJ4" i="30"/>
  <c r="NI4" i="30"/>
  <c r="NH4" i="30"/>
  <c r="NG4" i="30"/>
  <c r="NF4" i="30"/>
  <c r="NE4" i="30"/>
  <c r="ND4" i="30"/>
  <c r="NC4" i="30"/>
  <c r="NB4" i="30"/>
  <c r="NA4" i="30"/>
  <c r="MZ4" i="30"/>
  <c r="MY4" i="30"/>
  <c r="MX4" i="30"/>
  <c r="MW4" i="30"/>
  <c r="MV4" i="30"/>
  <c r="MU4" i="30"/>
  <c r="MT4" i="30"/>
  <c r="MS4" i="30"/>
  <c r="MR4" i="30"/>
  <c r="MQ4" i="30"/>
  <c r="MP4" i="30"/>
  <c r="MO4" i="30"/>
  <c r="MN4" i="30"/>
  <c r="MM4" i="30"/>
  <c r="ML4" i="30"/>
  <c r="MK4" i="30"/>
  <c r="MJ4" i="30"/>
  <c r="MI4" i="30"/>
  <c r="MH4" i="30"/>
  <c r="MG4" i="30"/>
  <c r="MF4" i="30"/>
  <c r="ME4" i="30"/>
  <c r="MD4" i="30"/>
  <c r="MC4" i="30"/>
  <c r="MB4" i="30"/>
  <c r="MA4" i="30"/>
  <c r="LZ4" i="30"/>
  <c r="LY4" i="30"/>
  <c r="LX4" i="30"/>
  <c r="LW4" i="30"/>
  <c r="LV4" i="30"/>
  <c r="LU4" i="30"/>
  <c r="LT4" i="30"/>
  <c r="LS4" i="30"/>
  <c r="LR4" i="30"/>
  <c r="LQ4" i="30"/>
  <c r="LP4" i="30"/>
  <c r="LO4" i="30"/>
  <c r="LN4" i="30"/>
  <c r="LM4" i="30"/>
  <c r="LL4" i="30"/>
  <c r="LK4" i="30"/>
  <c r="LJ4" i="30"/>
  <c r="LI4" i="30"/>
  <c r="LH4" i="30"/>
  <c r="LG4" i="30"/>
  <c r="LF4" i="30"/>
  <c r="LE4" i="30"/>
  <c r="LD4" i="30"/>
  <c r="LC4" i="30"/>
  <c r="LB4" i="30"/>
  <c r="LA4" i="30"/>
  <c r="KZ4" i="30"/>
  <c r="KY4" i="30"/>
  <c r="KX4" i="30"/>
  <c r="KW4" i="30"/>
  <c r="KV4" i="30"/>
  <c r="KU4" i="30"/>
  <c r="KT4" i="30"/>
  <c r="KS4" i="30"/>
  <c r="KR4" i="30"/>
  <c r="KQ4" i="30"/>
  <c r="KP4" i="30"/>
  <c r="KO4" i="30"/>
  <c r="KN4" i="30"/>
  <c r="KM4" i="30"/>
  <c r="KL4" i="30"/>
  <c r="KK4" i="30"/>
  <c r="KJ4" i="30"/>
  <c r="KI4" i="30"/>
  <c r="KH4" i="30"/>
  <c r="KG4" i="30"/>
  <c r="KF4" i="30"/>
  <c r="KE4" i="30"/>
  <c r="KD4" i="30"/>
  <c r="KC4" i="30"/>
  <c r="KB4" i="30"/>
  <c r="KA4" i="30"/>
  <c r="JZ4" i="30"/>
  <c r="JY4" i="30"/>
  <c r="JX4" i="30"/>
  <c r="JW4" i="30"/>
  <c r="JV4" i="30"/>
  <c r="JU4" i="30"/>
  <c r="JT4" i="30"/>
  <c r="JS4" i="30"/>
  <c r="JR4" i="30"/>
  <c r="JQ4" i="30"/>
  <c r="JP4" i="30"/>
  <c r="JO4" i="30"/>
  <c r="JN4" i="30"/>
  <c r="JM4" i="30"/>
  <c r="JL4" i="30"/>
  <c r="JK4" i="30"/>
  <c r="JJ4" i="30"/>
  <c r="JI4" i="30"/>
  <c r="JH4" i="30"/>
  <c r="JG4" i="30"/>
  <c r="JF4" i="30"/>
  <c r="JE4" i="30"/>
  <c r="JD4" i="30"/>
  <c r="JC4" i="30"/>
  <c r="JB4" i="30"/>
  <c r="JA4" i="30"/>
  <c r="IZ4" i="30"/>
  <c r="IY4" i="30"/>
  <c r="IX4" i="30"/>
  <c r="IW4" i="30"/>
  <c r="IV4" i="30"/>
  <c r="IU4" i="30"/>
  <c r="IT4" i="30"/>
  <c r="IS4" i="30"/>
  <c r="IR4" i="30"/>
  <c r="IQ4" i="30"/>
  <c r="IP4" i="30"/>
  <c r="IO4" i="30"/>
  <c r="IN4" i="30"/>
  <c r="IM4" i="30"/>
  <c r="IL4" i="30"/>
  <c r="IK4" i="30"/>
  <c r="IJ4" i="30"/>
  <c r="II4" i="30"/>
  <c r="IH4" i="30"/>
  <c r="IG4" i="30"/>
  <c r="IF4" i="30"/>
  <c r="IE4" i="30"/>
  <c r="ID4" i="30"/>
  <c r="IC4" i="30"/>
  <c r="IB4" i="30"/>
  <c r="IA4" i="30"/>
  <c r="HZ4" i="30"/>
  <c r="HY4" i="30"/>
  <c r="HX4" i="30"/>
  <c r="HW4" i="30"/>
  <c r="HV4" i="30"/>
  <c r="HU4" i="30"/>
  <c r="HT4" i="30"/>
  <c r="HS4" i="30"/>
  <c r="HR4" i="30"/>
  <c r="HQ4" i="30"/>
  <c r="HP4" i="30"/>
  <c r="HO4" i="30"/>
  <c r="HN4" i="30"/>
  <c r="HM4" i="30"/>
  <c r="HL4" i="30"/>
  <c r="HK4" i="30"/>
  <c r="HJ4" i="30"/>
  <c r="HI4" i="30"/>
  <c r="HH4" i="30"/>
  <c r="HG4" i="30"/>
  <c r="HF4" i="30"/>
  <c r="HE4" i="30"/>
  <c r="HD4" i="30"/>
  <c r="HC4" i="30"/>
  <c r="HB4" i="30"/>
  <c r="HA4" i="30"/>
  <c r="GZ4" i="30"/>
  <c r="GY4" i="30"/>
  <c r="GX4" i="30"/>
  <c r="GW4" i="30"/>
  <c r="GV4" i="30"/>
  <c r="GU4" i="30"/>
  <c r="GT4" i="30"/>
  <c r="GS4" i="30"/>
  <c r="GR4" i="30"/>
  <c r="GQ4" i="30"/>
  <c r="GP4" i="30"/>
  <c r="GO4" i="30"/>
  <c r="GN4" i="30"/>
  <c r="GM4" i="30"/>
  <c r="GL4" i="30"/>
  <c r="GK4" i="30"/>
  <c r="GJ4" i="30"/>
  <c r="GI4" i="30"/>
  <c r="GH4" i="30"/>
  <c r="GG4" i="30"/>
  <c r="GF4" i="30"/>
  <c r="GE4" i="30"/>
  <c r="GD4" i="30"/>
  <c r="GC4" i="30"/>
  <c r="GB4" i="30"/>
  <c r="GA4" i="30"/>
  <c r="FZ4" i="30"/>
  <c r="FY4" i="30"/>
  <c r="FX4" i="30"/>
  <c r="FW4" i="30"/>
  <c r="FV4" i="30"/>
  <c r="FU4" i="30"/>
  <c r="FT4" i="30"/>
  <c r="FS4" i="30"/>
  <c r="FR4" i="30"/>
  <c r="FQ4" i="30"/>
  <c r="FP4" i="30"/>
  <c r="FO4" i="30"/>
  <c r="FN4" i="30"/>
  <c r="FM4" i="30"/>
  <c r="FL4" i="30"/>
  <c r="FK4" i="30"/>
  <c r="FJ4" i="30"/>
  <c r="FI4" i="30"/>
  <c r="FH4" i="30"/>
  <c r="FG4" i="30"/>
  <c r="FF4" i="30"/>
  <c r="FE4" i="30"/>
  <c r="FD4" i="30"/>
  <c r="FC4" i="30"/>
  <c r="FB4" i="30"/>
  <c r="FA4" i="30"/>
  <c r="EZ4" i="30"/>
  <c r="EY4" i="30"/>
  <c r="EX4" i="30"/>
  <c r="EW4" i="30"/>
  <c r="EV4" i="30"/>
  <c r="EU4" i="30"/>
  <c r="ET4" i="30"/>
  <c r="ES4" i="30"/>
  <c r="ER4" i="30"/>
  <c r="EQ4" i="30"/>
  <c r="EP4" i="30"/>
  <c r="EO4" i="30"/>
  <c r="EN4" i="30"/>
  <c r="EM4" i="30"/>
  <c r="EL4" i="30"/>
  <c r="EK4" i="30"/>
  <c r="EJ4" i="30"/>
  <c r="EI4" i="30"/>
  <c r="EH4" i="30"/>
  <c r="EG4" i="30"/>
  <c r="EF4" i="30"/>
  <c r="EE4" i="30"/>
  <c r="ED4" i="30"/>
  <c r="EC4" i="30"/>
  <c r="EB4" i="30"/>
  <c r="EA4" i="30"/>
  <c r="DZ4" i="30"/>
  <c r="DY4" i="30"/>
  <c r="DX4" i="30"/>
  <c r="DW4" i="30"/>
  <c r="DV4" i="30"/>
  <c r="DU4" i="30"/>
  <c r="DT4" i="30"/>
  <c r="DS4" i="30"/>
  <c r="DR4" i="30"/>
  <c r="DQ4" i="30"/>
  <c r="DP4" i="30"/>
  <c r="DO4" i="30"/>
  <c r="DN4" i="30"/>
  <c r="DM4" i="30"/>
  <c r="DL4" i="30"/>
  <c r="DK4" i="30"/>
  <c r="DJ4" i="30"/>
  <c r="DI4" i="30"/>
  <c r="DH4" i="30"/>
  <c r="DG4" i="30"/>
  <c r="DF4" i="30"/>
  <c r="DE4" i="30"/>
  <c r="DD4" i="30"/>
  <c r="DC4" i="30"/>
  <c r="DB4" i="30"/>
  <c r="DA4" i="30"/>
  <c r="CZ4" i="30"/>
  <c r="CY4" i="30"/>
  <c r="CX4" i="30"/>
  <c r="CW4" i="30"/>
  <c r="CV4" i="30"/>
  <c r="CU4" i="30"/>
  <c r="CT4" i="30"/>
  <c r="CS4" i="30"/>
  <c r="CR4" i="30"/>
  <c r="CQ4" i="30"/>
  <c r="CP4" i="30"/>
  <c r="CO4" i="30"/>
  <c r="CN4" i="30"/>
  <c r="CM4" i="30"/>
  <c r="CL4" i="30"/>
  <c r="CK4" i="30"/>
  <c r="CJ4" i="30"/>
  <c r="CI4" i="30"/>
  <c r="CH4" i="30"/>
  <c r="CG4" i="30"/>
  <c r="CF4" i="30"/>
  <c r="CE4" i="30"/>
  <c r="CD4" i="30"/>
  <c r="CC4" i="30"/>
  <c r="CB4" i="30"/>
  <c r="CA4" i="30"/>
  <c r="BZ4" i="30"/>
  <c r="BY4" i="30"/>
  <c r="BX4" i="30"/>
  <c r="BW4" i="30"/>
  <c r="BV4" i="30"/>
  <c r="BU4" i="30"/>
  <c r="BT4" i="30"/>
  <c r="BS4" i="30"/>
  <c r="BR4" i="30"/>
  <c r="BQ4" i="30"/>
  <c r="BP4" i="30"/>
  <c r="BO4" i="30"/>
  <c r="BN4" i="30"/>
  <c r="BM4" i="30"/>
  <c r="BL4" i="30"/>
  <c r="BK4" i="30"/>
  <c r="BJ4" i="30"/>
  <c r="BI4" i="30"/>
  <c r="BH4" i="30"/>
  <c r="BG4" i="30"/>
  <c r="BF4" i="30"/>
  <c r="BE4" i="30"/>
  <c r="BD4" i="30"/>
  <c r="BC4" i="30"/>
  <c r="BB4" i="30"/>
  <c r="BA4" i="30"/>
  <c r="AZ4" i="30"/>
  <c r="AY4" i="30"/>
  <c r="AX4" i="30"/>
  <c r="AW4" i="30"/>
  <c r="AV4" i="30"/>
  <c r="AU4" i="30"/>
  <c r="AT4" i="30"/>
  <c r="AS4" i="30"/>
  <c r="AR4" i="30"/>
  <c r="AQ4" i="30"/>
  <c r="AP4" i="30"/>
  <c r="AO4" i="30"/>
  <c r="AN4" i="30"/>
  <c r="AM4" i="30"/>
  <c r="AL4" i="30"/>
  <c r="AK4" i="30"/>
  <c r="AJ4" i="30"/>
  <c r="AI4" i="30"/>
  <c r="AH4" i="30"/>
  <c r="AG4" i="30"/>
  <c r="AF4" i="30"/>
  <c r="AE4" i="30"/>
  <c r="OC3" i="30"/>
  <c r="NV3" i="30"/>
  <c r="NO3" i="30"/>
  <c r="NH3" i="30"/>
  <c r="NA3" i="30"/>
  <c r="MT3" i="30"/>
  <c r="MM3" i="30"/>
  <c r="MF3" i="30"/>
  <c r="LY3" i="30"/>
  <c r="LR3" i="30"/>
  <c r="LK3" i="30"/>
  <c r="LD3" i="30"/>
  <c r="KW3" i="30"/>
  <c r="KP3" i="30"/>
  <c r="KI3" i="30"/>
  <c r="KB3" i="30"/>
  <c r="JU3" i="30"/>
  <c r="JN3" i="30"/>
  <c r="JG3" i="30"/>
  <c r="IZ3" i="30"/>
  <c r="IS3" i="30"/>
  <c r="IL3" i="30"/>
  <c r="IE3" i="30"/>
  <c r="HX3" i="30"/>
  <c r="HQ3" i="30"/>
  <c r="HJ3" i="30"/>
  <c r="HC3" i="30"/>
  <c r="GV3" i="30"/>
  <c r="GO3" i="30"/>
  <c r="GH3" i="30"/>
  <c r="GA3" i="30"/>
  <c r="FT3" i="30"/>
  <c r="FM3" i="30"/>
  <c r="FF3" i="30"/>
  <c r="EY3" i="30"/>
  <c r="ER3" i="30"/>
  <c r="EK3" i="30"/>
  <c r="ED3" i="30"/>
  <c r="DW3" i="30"/>
  <c r="DP3" i="30"/>
  <c r="DI3" i="30"/>
  <c r="DB3" i="30"/>
  <c r="CU3" i="30"/>
  <c r="CN3" i="30"/>
  <c r="CG3" i="30"/>
  <c r="BZ3" i="30"/>
  <c r="BS3" i="30"/>
  <c r="BL3" i="30"/>
  <c r="BE3" i="30"/>
  <c r="AX3" i="30"/>
  <c r="AQ3" i="30"/>
  <c r="AJ3" i="30"/>
  <c r="AE3" i="30"/>
  <c r="NA2" i="30"/>
  <c r="LW2" i="30"/>
  <c r="KR2" i="30"/>
  <c r="JN2" i="30"/>
  <c r="II2" i="30"/>
  <c r="HD2" i="30"/>
  <c r="FZ2" i="30"/>
  <c r="EU2" i="30"/>
  <c r="DQ2" i="30"/>
  <c r="CL2" i="30"/>
  <c r="BJ2" i="30"/>
  <c r="AE2" i="30"/>
  <c r="E1" i="30" a="1"/>
  <c r="E1" i="30" s="1"/>
  <c r="O3" i="1" a="1"/>
  <c r="O10" i="1" a="1"/>
  <c r="O5" i="1" a="1"/>
  <c r="M8" i="1" a="1"/>
  <c r="V6" i="31" l="1" a="1"/>
  <c r="V6" i="31" s="1"/>
  <c r="R14" i="31" a="1"/>
  <c r="R14" i="31" s="1"/>
  <c r="T14" i="31" a="1"/>
  <c r="T14" i="31" s="1"/>
  <c r="N6" i="31" a="1"/>
  <c r="N6" i="31" s="1"/>
  <c r="P14" i="31" a="1"/>
  <c r="P14" i="31" s="1"/>
  <c r="V14" i="31" a="1"/>
  <c r="V14" i="31" s="1"/>
  <c r="X14" i="31" a="1"/>
  <c r="X14" i="31" s="1"/>
  <c r="H14" i="31" a="1"/>
  <c r="H14" i="31" s="1"/>
  <c r="Z14" i="31" a="1"/>
  <c r="Z14" i="31" s="1"/>
  <c r="J14" i="31" a="1"/>
  <c r="J14" i="31" s="1"/>
  <c r="AB14" i="31" a="1"/>
  <c r="AB14" i="31" s="1"/>
  <c r="N14" i="31" a="1"/>
  <c r="N14" i="31" s="1"/>
  <c r="O10" i="1"/>
  <c r="R97" i="31" a="1"/>
  <c r="R97" i="31" s="1"/>
  <c r="AB97" i="31" a="1"/>
  <c r="AB97" i="31" s="1"/>
  <c r="T97" i="31" a="1"/>
  <c r="T97" i="31" s="1"/>
  <c r="X97" i="31" a="1"/>
  <c r="X97" i="31" s="1"/>
  <c r="V97" i="31" a="1"/>
  <c r="V97" i="31" s="1"/>
  <c r="Z97" i="31" a="1"/>
  <c r="Z97" i="31" s="1"/>
  <c r="F129" i="31"/>
  <c r="R129" i="31" a="1"/>
  <c r="R129" i="31" s="1"/>
  <c r="L79" i="31" a="1"/>
  <c r="L79" i="31" s="1"/>
  <c r="N79" i="31" a="1"/>
  <c r="N79" i="31" s="1"/>
  <c r="E129" i="31"/>
  <c r="T129" i="31" a="1"/>
  <c r="T129" i="31" s="1"/>
  <c r="AB79" i="31" a="1"/>
  <c r="AB79" i="31" s="1"/>
  <c r="X52" i="31" a="1"/>
  <c r="X52" i="31" s="1"/>
  <c r="Z102" i="31" a="1"/>
  <c r="Z102" i="31" s="1"/>
  <c r="L125" i="31" a="1"/>
  <c r="L125" i="31" s="1"/>
  <c r="AB45" i="31" a="1"/>
  <c r="AB45" i="31" s="1"/>
  <c r="Z52" i="31" a="1"/>
  <c r="Z52" i="31" s="1"/>
  <c r="AD76" i="31" a="1"/>
  <c r="AD76" i="31" s="1"/>
  <c r="L97" i="31" a="1"/>
  <c r="L97" i="31" s="1"/>
  <c r="AB102" i="31" a="1"/>
  <c r="AB102" i="31" s="1"/>
  <c r="P125" i="31" a="1"/>
  <c r="P125" i="31" s="1"/>
  <c r="N129" i="31" a="1"/>
  <c r="N129" i="31" s="1"/>
  <c r="P129" i="31" a="1"/>
  <c r="P129" i="31" s="1"/>
  <c r="L50" i="31" a="1"/>
  <c r="L50" i="31" s="1"/>
  <c r="Z50" i="31" a="1"/>
  <c r="Z50" i="31" s="1"/>
  <c r="V129" i="31" a="1"/>
  <c r="V129" i="31" s="1"/>
  <c r="AD50" i="31" a="1"/>
  <c r="AD50" i="31" s="1"/>
  <c r="Z58" i="31" a="1"/>
  <c r="Z58" i="31" s="1"/>
  <c r="AD79" i="31" a="1"/>
  <c r="AD79" i="31" s="1"/>
  <c r="X102" i="31" a="1"/>
  <c r="X102" i="31" s="1"/>
  <c r="P45" i="31" a="1"/>
  <c r="P45" i="31" s="1"/>
  <c r="AB52" i="31" a="1"/>
  <c r="AB52" i="31" s="1"/>
  <c r="N97" i="31" a="1"/>
  <c r="N97" i="31" s="1"/>
  <c r="AD102" i="31" a="1"/>
  <c r="AD102" i="31" s="1"/>
  <c r="P79" i="31" a="1"/>
  <c r="P79" i="31" s="1"/>
  <c r="V120" i="31" a="1"/>
  <c r="V120" i="31" s="1"/>
  <c r="J18" i="31" a="1"/>
  <c r="J18" i="31" s="1"/>
  <c r="R79" i="31" a="1"/>
  <c r="R79" i="31" s="1"/>
  <c r="Z120" i="31" a="1"/>
  <c r="Z120" i="31" s="1"/>
  <c r="J50" i="31" a="1"/>
  <c r="J50" i="31" s="1"/>
  <c r="F58" i="31"/>
  <c r="T79" i="31" a="1"/>
  <c r="T79" i="31" s="1"/>
  <c r="Z108" i="31" a="1"/>
  <c r="Z108" i="31" s="1"/>
  <c r="AB120" i="31" a="1"/>
  <c r="AB120" i="31" s="1"/>
  <c r="H58" i="31" a="1"/>
  <c r="H58" i="31" s="1"/>
  <c r="X79" i="31" a="1"/>
  <c r="X79" i="31" s="1"/>
  <c r="AB108" i="31" a="1"/>
  <c r="AB108" i="31" s="1"/>
  <c r="J58" i="31" a="1"/>
  <c r="J58" i="31" s="1"/>
  <c r="Z79" i="31" a="1"/>
  <c r="Z79" i="31" s="1"/>
  <c r="N58" i="31" a="1"/>
  <c r="N58" i="31" s="1"/>
  <c r="AD93" i="31" a="1"/>
  <c r="AD93" i="31" s="1"/>
  <c r="AD143" i="31" a="1"/>
  <c r="AD143" i="31" s="1"/>
  <c r="F82" i="30"/>
  <c r="R98" i="30" a="1"/>
  <c r="R98" i="30" s="1"/>
  <c r="P97" i="31" a="1"/>
  <c r="P97" i="31" s="1"/>
  <c r="T68" i="31" a="1"/>
  <c r="T68" i="31" s="1"/>
  <c r="H88" i="31" a="1"/>
  <c r="H88" i="31" s="1"/>
  <c r="L99" i="31" a="1"/>
  <c r="L99" i="31" s="1"/>
  <c r="V107" i="31" a="1"/>
  <c r="V107" i="31" s="1"/>
  <c r="P132" i="31" a="1"/>
  <c r="P132" i="31" s="1"/>
  <c r="P138" i="31" a="1"/>
  <c r="P138" i="31" s="1"/>
  <c r="H53" i="31" a="1"/>
  <c r="H53" i="31" s="1"/>
  <c r="R63" i="31" a="1"/>
  <c r="R63" i="31" s="1"/>
  <c r="X99" i="31" a="1"/>
  <c r="X99" i="31" s="1"/>
  <c r="X107" i="31" a="1"/>
  <c r="X107" i="31" s="1"/>
  <c r="T132" i="31" a="1"/>
  <c r="T132" i="31" s="1"/>
  <c r="V138" i="31" a="1"/>
  <c r="V138" i="31" s="1"/>
  <c r="J53" i="31" a="1"/>
  <c r="J53" i="31" s="1"/>
  <c r="T63" i="31" a="1"/>
  <c r="T63" i="31" s="1"/>
  <c r="E77" i="31"/>
  <c r="V28" i="31" a="1"/>
  <c r="V28" i="31" s="1"/>
  <c r="V32" i="31" a="1"/>
  <c r="V32" i="31" s="1"/>
  <c r="P48" i="31" a="1"/>
  <c r="P48" i="31" s="1"/>
  <c r="P51" i="31" a="1"/>
  <c r="P51" i="31" s="1"/>
  <c r="T59" i="31" a="1"/>
  <c r="T59" i="31" s="1"/>
  <c r="R66" i="31" a="1"/>
  <c r="R66" i="31" s="1"/>
  <c r="L66" i="31" a="1"/>
  <c r="L66" i="31" s="1"/>
  <c r="E66" i="31"/>
  <c r="P66" i="31" a="1"/>
  <c r="P66" i="31" s="1"/>
  <c r="N66" i="31" a="1"/>
  <c r="N66" i="31" s="1"/>
  <c r="T73" i="31" a="1"/>
  <c r="T73" i="31" s="1"/>
  <c r="V77" i="31" a="1"/>
  <c r="V77" i="31" s="1"/>
  <c r="V92" i="31" a="1"/>
  <c r="V92" i="31" s="1"/>
  <c r="N96" i="31" a="1"/>
  <c r="N96" i="31" s="1"/>
  <c r="F119" i="31"/>
  <c r="AB119" i="31" a="1"/>
  <c r="AB119" i="31" s="1"/>
  <c r="R119" i="31" a="1"/>
  <c r="R119" i="31" s="1"/>
  <c r="P119" i="31" a="1"/>
  <c r="P119" i="31" s="1"/>
  <c r="Z119" i="31" a="1"/>
  <c r="Z119" i="31" s="1"/>
  <c r="T119" i="31" a="1"/>
  <c r="T119" i="31" s="1"/>
  <c r="V131" i="31" a="1"/>
  <c r="V131" i="31" s="1"/>
  <c r="N131" i="31" a="1"/>
  <c r="N131" i="31" s="1"/>
  <c r="R131" i="31" a="1"/>
  <c r="R131" i="31" s="1"/>
  <c r="P131" i="31" a="1"/>
  <c r="P131" i="31" s="1"/>
  <c r="N141" i="31" a="1"/>
  <c r="N141" i="31" s="1"/>
  <c r="T144" i="31" a="1"/>
  <c r="T144" i="31" s="1"/>
  <c r="E27" i="31"/>
  <c r="AD27" i="31" a="1"/>
  <c r="AD27" i="31" s="1"/>
  <c r="Z27" i="31" a="1"/>
  <c r="Z27" i="31" s="1"/>
  <c r="T27" i="31" a="1"/>
  <c r="T27" i="31" s="1"/>
  <c r="AB27" i="31" a="1"/>
  <c r="AB27" i="31" s="1"/>
  <c r="X15" i="31" a="1"/>
  <c r="X15" i="31" s="1"/>
  <c r="Z15" i="31" a="1"/>
  <c r="Z15" i="31" s="1"/>
  <c r="AB15" i="31" a="1"/>
  <c r="AB15" i="31" s="1"/>
  <c r="AB99" i="31" a="1"/>
  <c r="AB99" i="31" s="1"/>
  <c r="E117" i="31"/>
  <c r="V132" i="31" a="1"/>
  <c r="V132" i="31" s="1"/>
  <c r="H144" i="31" a="1"/>
  <c r="H144" i="31" s="1"/>
  <c r="J28" i="31" a="1"/>
  <c r="J28" i="31" s="1"/>
  <c r="E36" i="31"/>
  <c r="Z36" i="31" a="1"/>
  <c r="Z36" i="31" s="1"/>
  <c r="X36" i="31" a="1"/>
  <c r="X36" i="31" s="1"/>
  <c r="AB36" i="31" a="1"/>
  <c r="AB36" i="31" s="1"/>
  <c r="Z63" i="31" a="1"/>
  <c r="Z63" i="31" s="1"/>
  <c r="V71" i="31" a="1"/>
  <c r="V71" i="31" s="1"/>
  <c r="J71" i="31" a="1"/>
  <c r="J71" i="31" s="1"/>
  <c r="E71" i="31"/>
  <c r="T71" i="31" a="1"/>
  <c r="T71" i="31" s="1"/>
  <c r="L71" i="31" a="1"/>
  <c r="L71" i="31" s="1"/>
  <c r="F77" i="31"/>
  <c r="Z91" i="31" a="1"/>
  <c r="Z91" i="31" s="1"/>
  <c r="L91" i="31" a="1"/>
  <c r="L91" i="31" s="1"/>
  <c r="J91" i="31" a="1"/>
  <c r="J91" i="31" s="1"/>
  <c r="V91" i="31" a="1"/>
  <c r="V91" i="31" s="1"/>
  <c r="T91" i="31" a="1"/>
  <c r="T91" i="31" s="1"/>
  <c r="E96" i="31"/>
  <c r="AD99" i="31" a="1"/>
  <c r="AD99" i="31" s="1"/>
  <c r="J117" i="31" a="1"/>
  <c r="J117" i="31" s="1"/>
  <c r="AB132" i="31" a="1"/>
  <c r="AB132" i="31" s="1"/>
  <c r="J144" i="31" a="1"/>
  <c r="J144" i="31" s="1"/>
  <c r="E24" i="31"/>
  <c r="Z24" i="31" a="1"/>
  <c r="Z24" i="31" s="1"/>
  <c r="X24" i="31" a="1"/>
  <c r="X24" i="31" s="1"/>
  <c r="L24" i="31" a="1"/>
  <c r="L24" i="31" s="1"/>
  <c r="J24" i="31" a="1"/>
  <c r="J24" i="31" s="1"/>
  <c r="N24" i="31" a="1"/>
  <c r="N24" i="31" s="1"/>
  <c r="L28" i="31" a="1"/>
  <c r="L28" i="31" s="1"/>
  <c r="H32" i="31" a="1"/>
  <c r="H32" i="31" s="1"/>
  <c r="F36" i="31"/>
  <c r="AB47" i="31" a="1"/>
  <c r="AB47" i="31" s="1"/>
  <c r="X47" i="31" a="1"/>
  <c r="X47" i="31" s="1"/>
  <c r="H47" i="31" a="1"/>
  <c r="H47" i="31" s="1"/>
  <c r="R47" i="31" a="1"/>
  <c r="R47" i="31" s="1"/>
  <c r="AB63" i="31" a="1"/>
  <c r="AB63" i="31" s="1"/>
  <c r="X71" i="31" a="1"/>
  <c r="X71" i="31" s="1"/>
  <c r="H77" i="31" a="1"/>
  <c r="H77" i="31" s="1"/>
  <c r="H91" i="31" a="1"/>
  <c r="H91" i="31" s="1"/>
  <c r="F96" i="31"/>
  <c r="L117" i="31" a="1"/>
  <c r="L117" i="31" s="1"/>
  <c r="F123" i="31"/>
  <c r="X123" i="31" a="1"/>
  <c r="X123" i="31" s="1"/>
  <c r="R123" i="31" a="1"/>
  <c r="R123" i="31" s="1"/>
  <c r="P123" i="31" a="1"/>
  <c r="P123" i="31" s="1"/>
  <c r="V123" i="31" a="1"/>
  <c r="V123" i="31" s="1"/>
  <c r="T123" i="31" a="1"/>
  <c r="T123" i="31" s="1"/>
  <c r="R127" i="31" a="1"/>
  <c r="R127" i="31" s="1"/>
  <c r="L144" i="31" a="1"/>
  <c r="L144" i="31" s="1"/>
  <c r="AB20" i="31" a="1"/>
  <c r="AB20" i="31" s="1"/>
  <c r="V20" i="31" a="1"/>
  <c r="V20" i="31" s="1"/>
  <c r="T20" i="31" a="1"/>
  <c r="T20" i="31" s="1"/>
  <c r="P20" i="31" a="1"/>
  <c r="P20" i="31" s="1"/>
  <c r="N20" i="31" a="1"/>
  <c r="N20" i="31" s="1"/>
  <c r="R20" i="31" a="1"/>
  <c r="R20" i="31" s="1"/>
  <c r="H24" i="31" a="1"/>
  <c r="H24" i="31" s="1"/>
  <c r="J32" i="31" a="1"/>
  <c r="J32" i="31" s="1"/>
  <c r="H36" i="31" a="1"/>
  <c r="H36" i="31" s="1"/>
  <c r="F47" i="31"/>
  <c r="Z71" i="31" a="1"/>
  <c r="Z71" i="31" s="1"/>
  <c r="J77" i="31" a="1"/>
  <c r="J77" i="31" s="1"/>
  <c r="AB91" i="31" a="1"/>
  <c r="AB91" i="31" s="1"/>
  <c r="H96" i="31" a="1"/>
  <c r="H96" i="31" s="1"/>
  <c r="V117" i="31" a="1"/>
  <c r="V117" i="31" s="1"/>
  <c r="J123" i="31" a="1"/>
  <c r="J123" i="31" s="1"/>
  <c r="F128" i="31"/>
  <c r="X128" i="31" a="1"/>
  <c r="X128" i="31" s="1"/>
  <c r="Z128" i="31" a="1"/>
  <c r="Z128" i="31" s="1"/>
  <c r="N144" i="31" a="1"/>
  <c r="N144" i="31" s="1"/>
  <c r="E20" i="31"/>
  <c r="AB24" i="31" a="1"/>
  <c r="AB24" i="31" s="1"/>
  <c r="N28" i="31" a="1"/>
  <c r="N28" i="31" s="1"/>
  <c r="L32" i="31" a="1"/>
  <c r="L32" i="31" s="1"/>
  <c r="J36" i="31" a="1"/>
  <c r="J36" i="31" s="1"/>
  <c r="AD47" i="31" a="1"/>
  <c r="AD47" i="31" s="1"/>
  <c r="H51" i="31" a="1"/>
  <c r="H51" i="31" s="1"/>
  <c r="R56" i="31" a="1"/>
  <c r="R56" i="31" s="1"/>
  <c r="T56" i="31" a="1"/>
  <c r="T56" i="31" s="1"/>
  <c r="P56" i="31" a="1"/>
  <c r="P56" i="31" s="1"/>
  <c r="L56" i="31" a="1"/>
  <c r="L56" i="31" s="1"/>
  <c r="J56" i="31" a="1"/>
  <c r="J56" i="31" s="1"/>
  <c r="N56" i="31" a="1"/>
  <c r="N56" i="31" s="1"/>
  <c r="J59" i="31" a="1"/>
  <c r="J59" i="31" s="1"/>
  <c r="P77" i="31" a="1"/>
  <c r="P77" i="31" s="1"/>
  <c r="AD91" i="31" a="1"/>
  <c r="AD91" i="31" s="1"/>
  <c r="J96" i="31" a="1"/>
  <c r="J96" i="31" s="1"/>
  <c r="N123" i="31" a="1"/>
  <c r="N123" i="31" s="1"/>
  <c r="H128" i="31" a="1"/>
  <c r="H128" i="31" s="1"/>
  <c r="H141" i="31" a="1"/>
  <c r="H141" i="31" s="1"/>
  <c r="P144" i="31" a="1"/>
  <c r="P144" i="31" s="1"/>
  <c r="F20" i="31"/>
  <c r="AD24" i="31" a="1"/>
  <c r="AD24" i="31" s="1"/>
  <c r="T28" i="31" a="1"/>
  <c r="T28" i="31" s="1"/>
  <c r="T32" i="31" a="1"/>
  <c r="T32" i="31" s="1"/>
  <c r="L36" i="31" a="1"/>
  <c r="L36" i="31" s="1"/>
  <c r="L51" i="31" a="1"/>
  <c r="L51" i="31" s="1"/>
  <c r="H56" i="31" a="1"/>
  <c r="H56" i="31" s="1"/>
  <c r="L59" i="31" a="1"/>
  <c r="L59" i="31" s="1"/>
  <c r="R77" i="31" a="1"/>
  <c r="R77" i="31" s="1"/>
  <c r="L96" i="31" a="1"/>
  <c r="L96" i="31" s="1"/>
  <c r="R98" i="31" a="1"/>
  <c r="R98" i="31" s="1"/>
  <c r="H98" i="31" a="1"/>
  <c r="H98" i="31" s="1"/>
  <c r="F98" i="31"/>
  <c r="N98" i="31" a="1"/>
  <c r="N98" i="31" s="1"/>
  <c r="L98" i="31" a="1"/>
  <c r="L98" i="31" s="1"/>
  <c r="E110" i="31"/>
  <c r="AD123" i="31" a="1"/>
  <c r="AD123" i="31" s="1"/>
  <c r="J128" i="31" a="1"/>
  <c r="J128" i="31" s="1"/>
  <c r="L141" i="31" a="1"/>
  <c r="L141" i="31" s="1"/>
  <c r="R144" i="31" a="1"/>
  <c r="R144" i="31" s="1"/>
  <c r="R113" i="31" a="1"/>
  <c r="R113" i="31" s="1"/>
  <c r="P113" i="31" a="1"/>
  <c r="P113" i="31" s="1"/>
  <c r="AB124" i="31" a="1"/>
  <c r="AB124" i="31" s="1"/>
  <c r="V128" i="31" a="1"/>
  <c r="V128" i="31" s="1"/>
  <c r="AB131" i="31" a="1"/>
  <c r="AB131" i="31" s="1"/>
  <c r="AB137" i="31" a="1"/>
  <c r="AB137" i="31" s="1"/>
  <c r="AB141" i="31" a="1"/>
  <c r="AB141" i="31" s="1"/>
  <c r="J20" i="31" a="1"/>
  <c r="J20" i="31" s="1"/>
  <c r="X28" i="31" a="1"/>
  <c r="X28" i="31" s="1"/>
  <c r="AB32" i="31" a="1"/>
  <c r="AB32" i="31" s="1"/>
  <c r="P36" i="31" a="1"/>
  <c r="P36" i="31" s="1"/>
  <c r="R51" i="31" a="1"/>
  <c r="R51" i="31" s="1"/>
  <c r="Z56" i="31" a="1"/>
  <c r="Z56" i="31" s="1"/>
  <c r="Z59" i="31" a="1"/>
  <c r="Z59" i="31" s="1"/>
  <c r="T66" i="31" a="1"/>
  <c r="T66" i="31" s="1"/>
  <c r="V73" i="31" a="1"/>
  <c r="V73" i="31" s="1"/>
  <c r="X77" i="31" a="1"/>
  <c r="X77" i="31" s="1"/>
  <c r="Z92" i="31" a="1"/>
  <c r="Z92" i="31" s="1"/>
  <c r="R96" i="31" a="1"/>
  <c r="R96" i="31" s="1"/>
  <c r="T98" i="31" a="1"/>
  <c r="T98" i="31" s="1"/>
  <c r="F111" i="31"/>
  <c r="J119" i="31" a="1"/>
  <c r="J119" i="31" s="1"/>
  <c r="E124" i="31"/>
  <c r="N128" i="31" a="1"/>
  <c r="N128" i="31" s="1"/>
  <c r="E131" i="31"/>
  <c r="R141" i="31" a="1"/>
  <c r="R141" i="31" s="1"/>
  <c r="V144" i="31" a="1"/>
  <c r="V144" i="31" s="1"/>
  <c r="L20" i="31" a="1"/>
  <c r="L20" i="31" s="1"/>
  <c r="R25" i="31" a="1"/>
  <c r="R25" i="31" s="1"/>
  <c r="Z28" i="31" a="1"/>
  <c r="Z28" i="31" s="1"/>
  <c r="R36" i="31" a="1"/>
  <c r="R36" i="31" s="1"/>
  <c r="AD49" i="31" a="1"/>
  <c r="AD49" i="31" s="1"/>
  <c r="X51" i="31" a="1"/>
  <c r="X51" i="31" s="1"/>
  <c r="AB56" i="31" a="1"/>
  <c r="AB56" i="31" s="1"/>
  <c r="AD59" i="31" a="1"/>
  <c r="AD59" i="31" s="1"/>
  <c r="V66" i="31" a="1"/>
  <c r="V66" i="31" s="1"/>
  <c r="Z73" i="31" a="1"/>
  <c r="Z73" i="31" s="1"/>
  <c r="V96" i="31" a="1"/>
  <c r="V96" i="31" s="1"/>
  <c r="V98" i="31" a="1"/>
  <c r="V98" i="31" s="1"/>
  <c r="Z111" i="31" a="1"/>
  <c r="Z111" i="31" s="1"/>
  <c r="L119" i="31" a="1"/>
  <c r="L119" i="31" s="1"/>
  <c r="L124" i="31" a="1"/>
  <c r="L124" i="31" s="1"/>
  <c r="P128" i="31" a="1"/>
  <c r="P128" i="31" s="1"/>
  <c r="L131" i="31" a="1"/>
  <c r="L131" i="31" s="1"/>
  <c r="T141" i="31" a="1"/>
  <c r="T141" i="31" s="1"/>
  <c r="X20" i="31" a="1"/>
  <c r="X20" i="31" s="1"/>
  <c r="AD25" i="31" a="1"/>
  <c r="AD25" i="31" s="1"/>
  <c r="T36" i="31" a="1"/>
  <c r="T36" i="31" s="1"/>
  <c r="AB50" i="31" a="1"/>
  <c r="AB50" i="31" s="1"/>
  <c r="V50" i="31" a="1"/>
  <c r="V50" i="31" s="1"/>
  <c r="T50" i="31" a="1"/>
  <c r="T50" i="31" s="1"/>
  <c r="P50" i="31" a="1"/>
  <c r="P50" i="31" s="1"/>
  <c r="N50" i="31" a="1"/>
  <c r="N50" i="31" s="1"/>
  <c r="R50" i="31" a="1"/>
  <c r="R50" i="31" s="1"/>
  <c r="AD51" i="31" a="1"/>
  <c r="AD51" i="31" s="1"/>
  <c r="AD56" i="31" a="1"/>
  <c r="AD56" i="31" s="1"/>
  <c r="AD60" i="31" a="1"/>
  <c r="AD60" i="31" s="1"/>
  <c r="P60" i="31" a="1"/>
  <c r="P60" i="31" s="1"/>
  <c r="N60" i="31" a="1"/>
  <c r="N60" i="31" s="1"/>
  <c r="T60" i="31" a="1"/>
  <c r="T60" i="31" s="1"/>
  <c r="R60" i="31" a="1"/>
  <c r="R60" i="31" s="1"/>
  <c r="AD66" i="31" a="1"/>
  <c r="AD66" i="31" s="1"/>
  <c r="Z96" i="31" a="1"/>
  <c r="Z96" i="31" s="1"/>
  <c r="X98" i="31" a="1"/>
  <c r="X98" i="31" s="1"/>
  <c r="N119" i="31" a="1"/>
  <c r="N119" i="31" s="1"/>
  <c r="N124" i="31" a="1"/>
  <c r="N124" i="31" s="1"/>
  <c r="R128" i="31" a="1"/>
  <c r="R128" i="31" s="1"/>
  <c r="X131" i="31" a="1"/>
  <c r="X131" i="31" s="1"/>
  <c r="E137" i="31"/>
  <c r="X141" i="31" a="1"/>
  <c r="X141" i="31" s="1"/>
  <c r="AD20" i="31" a="1"/>
  <c r="AD20" i="31" s="1"/>
  <c r="F50" i="31"/>
  <c r="J60" i="31" a="1"/>
  <c r="J60" i="31" s="1"/>
  <c r="V93" i="31" a="1"/>
  <c r="V93" i="31" s="1"/>
  <c r="AB96" i="31" a="1"/>
  <c r="AB96" i="31" s="1"/>
  <c r="Z98" i="31" a="1"/>
  <c r="Z98" i="31" s="1"/>
  <c r="AD119" i="31" a="1"/>
  <c r="AD119" i="31" s="1"/>
  <c r="T128" i="31" a="1"/>
  <c r="T128" i="31" s="1"/>
  <c r="Z131" i="31" a="1"/>
  <c r="Z131" i="31" s="1"/>
  <c r="X137" i="31" a="1"/>
  <c r="X137" i="31" s="1"/>
  <c r="H50" i="31" a="1"/>
  <c r="H50" i="31" s="1"/>
  <c r="L60" i="31" a="1"/>
  <c r="L60" i="31" s="1"/>
  <c r="AB67" i="31" a="1"/>
  <c r="AB67" i="31" s="1"/>
  <c r="X93" i="31" a="1"/>
  <c r="X93" i="31" s="1"/>
  <c r="AB98" i="31" a="1"/>
  <c r="AB98" i="31" s="1"/>
  <c r="P18" i="31" a="1"/>
  <c r="P18" i="31" s="1"/>
  <c r="Z18" i="31" a="1"/>
  <c r="Z18" i="31" s="1"/>
  <c r="V18" i="31" a="1"/>
  <c r="V18" i="31" s="1"/>
  <c r="R18" i="31" a="1"/>
  <c r="R18" i="31" s="1"/>
  <c r="N18" i="31" a="1"/>
  <c r="N18" i="31" s="1"/>
  <c r="T18" i="31" a="1"/>
  <c r="T18" i="31" s="1"/>
  <c r="V58" i="31" a="1"/>
  <c r="V58" i="31" s="1"/>
  <c r="T58" i="31" a="1"/>
  <c r="T58" i="31" s="1"/>
  <c r="P58" i="31" a="1"/>
  <c r="P58" i="31" s="1"/>
  <c r="R58" i="31" a="1"/>
  <c r="R58" i="31" s="1"/>
  <c r="AD67" i="31" a="1"/>
  <c r="AD67" i="31" s="1"/>
  <c r="AB93" i="31" a="1"/>
  <c r="AB93" i="31" s="1"/>
  <c r="AD98" i="31" a="1"/>
  <c r="AD98" i="31" s="1"/>
  <c r="T125" i="31" a="1"/>
  <c r="T125" i="31" s="1"/>
  <c r="R125" i="31" a="1"/>
  <c r="R125" i="31" s="1"/>
  <c r="Z125" i="31" a="1"/>
  <c r="Z125" i="31" s="1"/>
  <c r="X125" i="31" a="1"/>
  <c r="X125" i="31" s="1"/>
  <c r="AD131" i="31" a="1"/>
  <c r="AD131" i="31" s="1"/>
  <c r="AD137" i="31" a="1"/>
  <c r="AD137" i="31" s="1"/>
  <c r="N142" i="31" a="1"/>
  <c r="N142" i="31" s="1"/>
  <c r="X142" i="31" a="1"/>
  <c r="X142" i="31" s="1"/>
  <c r="V43" i="31" a="1"/>
  <c r="V43" i="31" s="1"/>
  <c r="P52" i="31" a="1"/>
  <c r="P52" i="31" s="1"/>
  <c r="P76" i="31" a="1"/>
  <c r="P76" i="31" s="1"/>
  <c r="F79" i="31"/>
  <c r="V82" i="31" a="1"/>
  <c r="V82" i="31" s="1"/>
  <c r="F95" i="31"/>
  <c r="F97" i="31"/>
  <c r="AD100" i="31" a="1"/>
  <c r="AD100" i="31" s="1"/>
  <c r="P108" i="31" a="1"/>
  <c r="P108" i="31" s="1"/>
  <c r="J133" i="31" a="1"/>
  <c r="J133" i="31" s="1"/>
  <c r="X139" i="31" a="1"/>
  <c r="X139" i="31" s="1"/>
  <c r="N143" i="31" a="1"/>
  <c r="N143" i="31" s="1"/>
  <c r="X76" i="31" a="1"/>
  <c r="X76" i="31" s="1"/>
  <c r="H79" i="31" a="1"/>
  <c r="H79" i="31" s="1"/>
  <c r="AD82" i="31" a="1"/>
  <c r="AD82" i="31" s="1"/>
  <c r="H95" i="31" a="1"/>
  <c r="H95" i="31" s="1"/>
  <c r="H97" i="31" a="1"/>
  <c r="H97" i="31" s="1"/>
  <c r="T108" i="31" a="1"/>
  <c r="T108" i="31" s="1"/>
  <c r="T133" i="31" a="1"/>
  <c r="T133" i="31" s="1"/>
  <c r="Z139" i="31" a="1"/>
  <c r="Z139" i="31" s="1"/>
  <c r="R143" i="31" a="1"/>
  <c r="R143" i="31" s="1"/>
  <c r="R148" i="31" a="1"/>
  <c r="R148" i="31" s="1"/>
  <c r="P43" i="31" a="1"/>
  <c r="P43" i="31" s="1"/>
  <c r="N52" i="31" a="1"/>
  <c r="N52" i="31" s="1"/>
  <c r="N76" i="31" a="1"/>
  <c r="N76" i="31" s="1"/>
  <c r="P82" i="31" a="1"/>
  <c r="P82" i="31" s="1"/>
  <c r="AB100" i="31" a="1"/>
  <c r="AB100" i="31" s="1"/>
  <c r="L108" i="31" a="1"/>
  <c r="L108" i="31" s="1"/>
  <c r="T139" i="31" a="1"/>
  <c r="T139" i="31" s="1"/>
  <c r="X43" i="31" a="1"/>
  <c r="X43" i="31" s="1"/>
  <c r="R52" i="31" a="1"/>
  <c r="R52" i="31" s="1"/>
  <c r="T52" i="31" a="1"/>
  <c r="T52" i="31" s="1"/>
  <c r="Z76" i="31" a="1"/>
  <c r="Z76" i="31" s="1"/>
  <c r="J79" i="31" a="1"/>
  <c r="J79" i="31" s="1"/>
  <c r="J97" i="31" a="1"/>
  <c r="J97" i="31" s="1"/>
  <c r="V108" i="31" a="1"/>
  <c r="V108" i="31" s="1"/>
  <c r="T143" i="31" a="1"/>
  <c r="T143" i="31" s="1"/>
  <c r="E22" i="31"/>
  <c r="J26" i="31" a="1"/>
  <c r="J26" i="31" s="1"/>
  <c r="R38" i="31" a="1"/>
  <c r="R38" i="31" s="1"/>
  <c r="V38" i="31" a="1"/>
  <c r="V38" i="31" s="1"/>
  <c r="Z38" i="31" a="1"/>
  <c r="Z38" i="31" s="1"/>
  <c r="T38" i="31" a="1"/>
  <c r="T38" i="31" s="1"/>
  <c r="P38" i="31" a="1"/>
  <c r="P38" i="31" s="1"/>
  <c r="H46" i="31" a="1"/>
  <c r="H46" i="31" s="1"/>
  <c r="F46" i="31"/>
  <c r="Z46" i="31" a="1"/>
  <c r="Z46" i="31" s="1"/>
  <c r="AB46" i="31" a="1"/>
  <c r="AB46" i="31" s="1"/>
  <c r="V78" i="31" a="1"/>
  <c r="V78" i="31" s="1"/>
  <c r="F94" i="31"/>
  <c r="L101" i="31" a="1"/>
  <c r="L101" i="31" s="1"/>
  <c r="R109" i="31" a="1"/>
  <c r="R109" i="31" s="1"/>
  <c r="N109" i="31" a="1"/>
  <c r="N109" i="31" s="1"/>
  <c r="Z109" i="31" a="1"/>
  <c r="Z109" i="31" s="1"/>
  <c r="X109" i="31" a="1"/>
  <c r="X109" i="31" s="1"/>
  <c r="L109" i="31" a="1"/>
  <c r="L109" i="31" s="1"/>
  <c r="H109" i="31" a="1"/>
  <c r="H109" i="31" s="1"/>
  <c r="P112" i="31" a="1"/>
  <c r="P112" i="31" s="1"/>
  <c r="N112" i="31" a="1"/>
  <c r="N112" i="31" s="1"/>
  <c r="L112" i="31" a="1"/>
  <c r="L112" i="31" s="1"/>
  <c r="AD112" i="31" a="1"/>
  <c r="AD112" i="31" s="1"/>
  <c r="AB112" i="31" a="1"/>
  <c r="AB112" i="31" s="1"/>
  <c r="Z112" i="31" a="1"/>
  <c r="Z112" i="31" s="1"/>
  <c r="J114" i="31" a="1"/>
  <c r="J114" i="31" s="1"/>
  <c r="N147" i="31" a="1"/>
  <c r="N147" i="31" s="1"/>
  <c r="P16" i="31" a="1"/>
  <c r="P16" i="31" s="1"/>
  <c r="F22" i="31"/>
  <c r="P26" i="31" a="1"/>
  <c r="P26" i="31" s="1"/>
  <c r="E38" i="31"/>
  <c r="J39" i="31" a="1"/>
  <c r="J39" i="31" s="1"/>
  <c r="X44" i="31" a="1"/>
  <c r="X44" i="31" s="1"/>
  <c r="T44" i="31" a="1"/>
  <c r="T44" i="31" s="1"/>
  <c r="E55" i="31"/>
  <c r="X75" i="31" a="1"/>
  <c r="X75" i="31" s="1"/>
  <c r="V75" i="31" a="1"/>
  <c r="V75" i="31" s="1"/>
  <c r="AB75" i="31" a="1"/>
  <c r="AB75" i="31" s="1"/>
  <c r="P75" i="31" a="1"/>
  <c r="P75" i="31" s="1"/>
  <c r="N75" i="31" a="1"/>
  <c r="N75" i="31" s="1"/>
  <c r="X78" i="31" a="1"/>
  <c r="X78" i="31" s="1"/>
  <c r="AB80" i="31" a="1"/>
  <c r="AB80" i="31" s="1"/>
  <c r="X80" i="31" a="1"/>
  <c r="X80" i="31" s="1"/>
  <c r="H94" i="31" a="1"/>
  <c r="H94" i="31" s="1"/>
  <c r="P101" i="31" a="1"/>
  <c r="P101" i="31" s="1"/>
  <c r="E112" i="31"/>
  <c r="V136" i="31" a="1"/>
  <c r="V136" i="31" s="1"/>
  <c r="P147" i="31" a="1"/>
  <c r="P147" i="31" s="1"/>
  <c r="AD19" i="31" a="1"/>
  <c r="AD19" i="31" s="1"/>
  <c r="Z19" i="31" a="1"/>
  <c r="Z19" i="31" s="1"/>
  <c r="X19" i="31" a="1"/>
  <c r="X19" i="31" s="1"/>
  <c r="V19" i="31" a="1"/>
  <c r="V19" i="31" s="1"/>
  <c r="P33" i="31" a="1"/>
  <c r="P33" i="31" s="1"/>
  <c r="L38" i="31" a="1"/>
  <c r="L38" i="31" s="1"/>
  <c r="Z39" i="31" a="1"/>
  <c r="Z39" i="31" s="1"/>
  <c r="T46" i="31" a="1"/>
  <c r="T46" i="31" s="1"/>
  <c r="V55" i="31" a="1"/>
  <c r="V55" i="31" s="1"/>
  <c r="L57" i="31" a="1"/>
  <c r="L57" i="31" s="1"/>
  <c r="R57" i="31" a="1"/>
  <c r="R57" i="31" s="1"/>
  <c r="H66" i="31" a="1"/>
  <c r="H66" i="31" s="1"/>
  <c r="F66" i="31"/>
  <c r="AB66" i="31" a="1"/>
  <c r="AB66" i="31" s="1"/>
  <c r="Z66" i="31" a="1"/>
  <c r="Z66" i="31" s="1"/>
  <c r="X66" i="31" a="1"/>
  <c r="X66" i="31" s="1"/>
  <c r="AD75" i="31" a="1"/>
  <c r="AD75" i="31" s="1"/>
  <c r="H82" i="31" a="1"/>
  <c r="H82" i="31" s="1"/>
  <c r="AB94" i="31" a="1"/>
  <c r="AB94" i="31" s="1"/>
  <c r="T110" i="31" a="1"/>
  <c r="T110" i="31" s="1"/>
  <c r="T112" i="31" a="1"/>
  <c r="T112" i="31" s="1"/>
  <c r="AB121" i="31" a="1"/>
  <c r="AB121" i="31" s="1"/>
  <c r="E143" i="31"/>
  <c r="T16" i="31" a="1"/>
  <c r="T16" i="31" s="1"/>
  <c r="H22" i="31" a="1"/>
  <c r="H22" i="31" s="1"/>
  <c r="T26" i="31" a="1"/>
  <c r="T26" i="31" s="1"/>
  <c r="F38" i="31"/>
  <c r="J46" i="31" a="1"/>
  <c r="J46" i="31" s="1"/>
  <c r="F55" i="31"/>
  <c r="R84" i="31" a="1"/>
  <c r="R84" i="31" s="1"/>
  <c r="P84" i="31" a="1"/>
  <c r="P84" i="31" s="1"/>
  <c r="F112" i="31"/>
  <c r="L126" i="31" a="1"/>
  <c r="L126" i="31" s="1"/>
  <c r="J126" i="31" a="1"/>
  <c r="J126" i="31" s="1"/>
  <c r="E126" i="31"/>
  <c r="Z126" i="31" a="1"/>
  <c r="Z126" i="31" s="1"/>
  <c r="X126" i="31" a="1"/>
  <c r="X126" i="31" s="1"/>
  <c r="V126" i="31" a="1"/>
  <c r="V126" i="31" s="1"/>
  <c r="X136" i="31" a="1"/>
  <c r="X136" i="31" s="1"/>
  <c r="R21" i="31" a="1"/>
  <c r="R21" i="31" s="1"/>
  <c r="R39" i="31" a="1"/>
  <c r="R39" i="31" s="1"/>
  <c r="X39" i="31" a="1"/>
  <c r="X39" i="31" s="1"/>
  <c r="V39" i="31" a="1"/>
  <c r="V39" i="31" s="1"/>
  <c r="P39" i="31" a="1"/>
  <c r="P39" i="31" s="1"/>
  <c r="T39" i="31" a="1"/>
  <c r="T39" i="31" s="1"/>
  <c r="T101" i="31" a="1"/>
  <c r="T101" i="31" s="1"/>
  <c r="R101" i="31" a="1"/>
  <c r="R101" i="31" s="1"/>
  <c r="AD114" i="31" a="1"/>
  <c r="AD114" i="31" s="1"/>
  <c r="Z114" i="31" a="1"/>
  <c r="Z114" i="31" s="1"/>
  <c r="V114" i="31" a="1"/>
  <c r="V114" i="31" s="1"/>
  <c r="T114" i="31" a="1"/>
  <c r="T114" i="31" s="1"/>
  <c r="T147" i="31" a="1"/>
  <c r="T147" i="31" s="1"/>
  <c r="X147" i="31" a="1"/>
  <c r="X147" i="31" s="1"/>
  <c r="V147" i="31" a="1"/>
  <c r="V147" i="31" s="1"/>
  <c r="J147" i="31" a="1"/>
  <c r="J147" i="31" s="1"/>
  <c r="H147" i="31" a="1"/>
  <c r="H147" i="31" s="1"/>
  <c r="F147" i="31"/>
  <c r="E147" i="31"/>
  <c r="AB16" i="31" a="1"/>
  <c r="AB16" i="31" s="1"/>
  <c r="N39" i="31" a="1"/>
  <c r="N39" i="31" s="1"/>
  <c r="T43" i="31" a="1"/>
  <c r="T43" i="31" s="1"/>
  <c r="R43" i="31" a="1"/>
  <c r="R43" i="31" s="1"/>
  <c r="AD43" i="31" a="1"/>
  <c r="AD43" i="31" s="1"/>
  <c r="AB43" i="31" a="1"/>
  <c r="AB43" i="31" s="1"/>
  <c r="Z43" i="31" a="1"/>
  <c r="Z43" i="31" s="1"/>
  <c r="L44" i="31" a="1"/>
  <c r="L44" i="31" s="1"/>
  <c r="P46" i="31" a="1"/>
  <c r="P46" i="31" s="1"/>
  <c r="T48" i="31" a="1"/>
  <c r="T48" i="31" s="1"/>
  <c r="J55" i="31" a="1"/>
  <c r="J55" i="31" s="1"/>
  <c r="T65" i="31" a="1"/>
  <c r="T65" i="31" s="1"/>
  <c r="N65" i="31" a="1"/>
  <c r="N65" i="31" s="1"/>
  <c r="L65" i="31" a="1"/>
  <c r="L65" i="31" s="1"/>
  <c r="E65" i="31"/>
  <c r="E82" i="31"/>
  <c r="H84" i="31" a="1"/>
  <c r="H84" i="31" s="1"/>
  <c r="Z88" i="31" a="1"/>
  <c r="Z88" i="31" s="1"/>
  <c r="X94" i="31" a="1"/>
  <c r="X94" i="31" s="1"/>
  <c r="X101" i="31" a="1"/>
  <c r="X101" i="31" s="1"/>
  <c r="H110" i="31" a="1"/>
  <c r="H110" i="31" s="1"/>
  <c r="J112" i="31" a="1"/>
  <c r="J112" i="31" s="1"/>
  <c r="R114" i="31" a="1"/>
  <c r="R114" i="31" s="1"/>
  <c r="J121" i="31" a="1"/>
  <c r="J121" i="31" s="1"/>
  <c r="N126" i="31" a="1"/>
  <c r="N126" i="31" s="1"/>
  <c r="AB136" i="31" a="1"/>
  <c r="AB136" i="31" s="1"/>
  <c r="AD140" i="31" a="1"/>
  <c r="AD140" i="31" s="1"/>
  <c r="AB140" i="31" a="1"/>
  <c r="AB140" i="31" s="1"/>
  <c r="T140" i="31" a="1"/>
  <c r="T140" i="31" s="1"/>
  <c r="N140" i="31" a="1"/>
  <c r="N140" i="31" s="1"/>
  <c r="L140" i="31" a="1"/>
  <c r="L140" i="31" s="1"/>
  <c r="J140" i="31" a="1"/>
  <c r="J140" i="31" s="1"/>
  <c r="AB147" i="31" a="1"/>
  <c r="AB147" i="31" s="1"/>
  <c r="J35" i="30" a="1"/>
  <c r="J35" i="30" s="1"/>
  <c r="X35" i="30" a="1"/>
  <c r="X35" i="30" s="1"/>
  <c r="N25" i="31" a="1"/>
  <c r="N25" i="31" s="1"/>
  <c r="AB25" i="31" a="1"/>
  <c r="AB25" i="31" s="1"/>
  <c r="Z25" i="31" a="1"/>
  <c r="Z25" i="31" s="1"/>
  <c r="V25" i="31" a="1"/>
  <c r="V25" i="31" s="1"/>
  <c r="T25" i="31" a="1"/>
  <c r="T25" i="31" s="1"/>
  <c r="P27" i="31" a="1"/>
  <c r="P27" i="31" s="1"/>
  <c r="X27" i="31" a="1"/>
  <c r="X27" i="31" s="1"/>
  <c r="V27" i="31" a="1"/>
  <c r="V27" i="31" s="1"/>
  <c r="J27" i="31" a="1"/>
  <c r="J27" i="31" s="1"/>
  <c r="H27" i="31" a="1"/>
  <c r="H27" i="31" s="1"/>
  <c r="J38" i="31" a="1"/>
  <c r="J38" i="31" s="1"/>
  <c r="E43" i="31"/>
  <c r="P44" i="31" a="1"/>
  <c r="P44" i="31" s="1"/>
  <c r="R46" i="31" a="1"/>
  <c r="R46" i="31" s="1"/>
  <c r="T55" i="31" a="1"/>
  <c r="T55" i="31" s="1"/>
  <c r="V65" i="31" a="1"/>
  <c r="V65" i="31" s="1"/>
  <c r="Z68" i="31" a="1"/>
  <c r="Z68" i="31" s="1"/>
  <c r="V68" i="31" a="1"/>
  <c r="V68" i="31" s="1"/>
  <c r="L75" i="31" a="1"/>
  <c r="L75" i="31" s="1"/>
  <c r="F82" i="31"/>
  <c r="L84" i="31" a="1"/>
  <c r="L84" i="31" s="1"/>
  <c r="Z94" i="31" a="1"/>
  <c r="Z94" i="31" s="1"/>
  <c r="V102" i="31" a="1"/>
  <c r="V102" i="31" s="1"/>
  <c r="T102" i="31" a="1"/>
  <c r="T102" i="31" s="1"/>
  <c r="R102" i="31" a="1"/>
  <c r="R102" i="31" s="1"/>
  <c r="L102" i="31" a="1"/>
  <c r="L102" i="31" s="1"/>
  <c r="J102" i="31" a="1"/>
  <c r="J102" i="31" s="1"/>
  <c r="H102" i="31" a="1"/>
  <c r="H102" i="31" s="1"/>
  <c r="P110" i="31" a="1"/>
  <c r="P110" i="31" s="1"/>
  <c r="R112" i="31" a="1"/>
  <c r="R112" i="31" s="1"/>
  <c r="N121" i="31" a="1"/>
  <c r="N121" i="31" s="1"/>
  <c r="P126" i="31" a="1"/>
  <c r="P126" i="31" s="1"/>
  <c r="F140" i="31"/>
  <c r="AD147" i="31" a="1"/>
  <c r="AD147" i="31" s="1"/>
  <c r="T146" i="30" a="1"/>
  <c r="T146" i="30" s="1"/>
  <c r="Z146" i="30" a="1"/>
  <c r="Z146" i="30" s="1"/>
  <c r="F25" i="31"/>
  <c r="F27" i="31"/>
  <c r="R33" i="31" a="1"/>
  <c r="R33" i="31" s="1"/>
  <c r="H43" i="31" a="1"/>
  <c r="H43" i="31" s="1"/>
  <c r="Z44" i="31" a="1"/>
  <c r="Z44" i="31" s="1"/>
  <c r="V46" i="31" a="1"/>
  <c r="V46" i="31" s="1"/>
  <c r="X55" i="31" a="1"/>
  <c r="X55" i="31" s="1"/>
  <c r="V63" i="31" a="1"/>
  <c r="V63" i="31" s="1"/>
  <c r="X63" i="31" a="1"/>
  <c r="X63" i="31" s="1"/>
  <c r="L63" i="31" a="1"/>
  <c r="L63" i="31" s="1"/>
  <c r="J63" i="31" a="1"/>
  <c r="J63" i="31" s="1"/>
  <c r="H63" i="31" a="1"/>
  <c r="H63" i="31" s="1"/>
  <c r="L68" i="31" a="1"/>
  <c r="L68" i="31" s="1"/>
  <c r="AB72" i="31" a="1"/>
  <c r="AB72" i="31" s="1"/>
  <c r="T72" i="31" a="1"/>
  <c r="T72" i="31" s="1"/>
  <c r="P72" i="31" a="1"/>
  <c r="P72" i="31" s="1"/>
  <c r="L72" i="31" a="1"/>
  <c r="L72" i="31" s="1"/>
  <c r="J72" i="31" a="1"/>
  <c r="J72" i="31" s="1"/>
  <c r="T84" i="31" a="1"/>
  <c r="T84" i="31" s="1"/>
  <c r="AD94" i="31" a="1"/>
  <c r="AD94" i="31" s="1"/>
  <c r="F102" i="31"/>
  <c r="V110" i="31" a="1"/>
  <c r="V110" i="31" s="1"/>
  <c r="V112" i="31" a="1"/>
  <c r="V112" i="31" s="1"/>
  <c r="AD121" i="31" a="1"/>
  <c r="AD121" i="31" s="1"/>
  <c r="P140" i="31" a="1"/>
  <c r="P140" i="31" s="1"/>
  <c r="F143" i="31"/>
  <c r="L27" i="31" a="1"/>
  <c r="L27" i="31" s="1"/>
  <c r="Z32" i="31" a="1"/>
  <c r="Z32" i="31" s="1"/>
  <c r="X32" i="31" a="1"/>
  <c r="X32" i="31" s="1"/>
  <c r="R32" i="31" a="1"/>
  <c r="R32" i="31" s="1"/>
  <c r="P32" i="31" a="1"/>
  <c r="P32" i="31" s="1"/>
  <c r="N32" i="31" a="1"/>
  <c r="N32" i="31" s="1"/>
  <c r="T33" i="31" a="1"/>
  <c r="T33" i="31" s="1"/>
  <c r="N38" i="31" a="1"/>
  <c r="N38" i="31" s="1"/>
  <c r="AB39" i="31" a="1"/>
  <c r="AB39" i="31" s="1"/>
  <c r="J43" i="31" a="1"/>
  <c r="J43" i="31" s="1"/>
  <c r="AB44" i="31" a="1"/>
  <c r="AB44" i="31" s="1"/>
  <c r="Z55" i="31" a="1"/>
  <c r="Z55" i="31" s="1"/>
  <c r="F63" i="31"/>
  <c r="E72" i="31"/>
  <c r="H76" i="31" a="1"/>
  <c r="H76" i="31" s="1"/>
  <c r="V84" i="31" a="1"/>
  <c r="V84" i="31" s="1"/>
  <c r="N102" i="31" a="1"/>
  <c r="N102" i="31" s="1"/>
  <c r="AD110" i="31" a="1"/>
  <c r="AD110" i="31" s="1"/>
  <c r="X112" i="31" a="1"/>
  <c r="X112" i="31" s="1"/>
  <c r="AB122" i="31" a="1"/>
  <c r="AB122" i="31" s="1"/>
  <c r="Z122" i="31" a="1"/>
  <c r="Z122" i="31" s="1"/>
  <c r="AD122" i="31" a="1"/>
  <c r="AD122" i="31" s="1"/>
  <c r="F127" i="31"/>
  <c r="Z140" i="31" a="1"/>
  <c r="Z140" i="31" s="1"/>
  <c r="H143" i="31" a="1"/>
  <c r="H143" i="31" s="1"/>
  <c r="H38" i="31" a="1"/>
  <c r="H38" i="31" s="1"/>
  <c r="L46" i="31" a="1"/>
  <c r="L46" i="31" s="1"/>
  <c r="R48" i="31" a="1"/>
  <c r="R48" i="31" s="1"/>
  <c r="J75" i="31" a="1"/>
  <c r="J75" i="31" s="1"/>
  <c r="T82" i="31" a="1"/>
  <c r="T82" i="31" s="1"/>
  <c r="R82" i="31" a="1"/>
  <c r="R82" i="31" s="1"/>
  <c r="AB82" i="31" a="1"/>
  <c r="AB82" i="31" s="1"/>
  <c r="Z82" i="31" a="1"/>
  <c r="Z82" i="31" s="1"/>
  <c r="X82" i="31" a="1"/>
  <c r="X82" i="31" s="1"/>
  <c r="F84" i="31"/>
  <c r="N105" i="31" a="1"/>
  <c r="N105" i="31" s="1"/>
  <c r="V105" i="31" a="1"/>
  <c r="V105" i="31" s="1"/>
  <c r="H112" i="31" a="1"/>
  <c r="H112" i="31" s="1"/>
  <c r="N114" i="31" a="1"/>
  <c r="N114" i="31" s="1"/>
  <c r="Z147" i="31" a="1"/>
  <c r="Z147" i="31" s="1"/>
  <c r="R17" i="31" a="1"/>
  <c r="R17" i="31" s="1"/>
  <c r="L25" i="31" a="1"/>
  <c r="L25" i="31" s="1"/>
  <c r="N27" i="31" a="1"/>
  <c r="N27" i="31" s="1"/>
  <c r="E32" i="31"/>
  <c r="AB38" i="31" a="1"/>
  <c r="AB38" i="31" s="1"/>
  <c r="AD39" i="31" a="1"/>
  <c r="AD39" i="31" s="1"/>
  <c r="L43" i="31" a="1"/>
  <c r="L43" i="31" s="1"/>
  <c r="E51" i="31"/>
  <c r="N63" i="31" a="1"/>
  <c r="N63" i="31" s="1"/>
  <c r="J66" i="31" a="1"/>
  <c r="J66" i="31" s="1"/>
  <c r="P68" i="31" a="1"/>
  <c r="P68" i="31" s="1"/>
  <c r="F72" i="31"/>
  <c r="L82" i="31" a="1"/>
  <c r="L82" i="31" s="1"/>
  <c r="X84" i="31" a="1"/>
  <c r="X84" i="31" s="1"/>
  <c r="Z95" i="31" a="1"/>
  <c r="Z95" i="31" s="1"/>
  <c r="T95" i="31" a="1"/>
  <c r="T95" i="31" s="1"/>
  <c r="AB95" i="31" a="1"/>
  <c r="AB95" i="31" s="1"/>
  <c r="R95" i="31" a="1"/>
  <c r="R95" i="31" s="1"/>
  <c r="P95" i="31" a="1"/>
  <c r="P95" i="31" s="1"/>
  <c r="P102" i="31" a="1"/>
  <c r="P102" i="31" s="1"/>
  <c r="N111" i="31" a="1"/>
  <c r="N111" i="31" s="1"/>
  <c r="L111" i="31" a="1"/>
  <c r="L111" i="31" s="1"/>
  <c r="H111" i="31" a="1"/>
  <c r="H111" i="31" s="1"/>
  <c r="X111" i="31" a="1"/>
  <c r="X111" i="31" s="1"/>
  <c r="V111" i="31" a="1"/>
  <c r="V111" i="31" s="1"/>
  <c r="T111" i="31" a="1"/>
  <c r="T111" i="31" s="1"/>
  <c r="AB113" i="31" a="1"/>
  <c r="AB113" i="31" s="1"/>
  <c r="V113" i="31" a="1"/>
  <c r="V113" i="31" s="1"/>
  <c r="T113" i="31" a="1"/>
  <c r="T113" i="31" s="1"/>
  <c r="X122" i="31" a="1"/>
  <c r="X122" i="31" s="1"/>
  <c r="H127" i="31" a="1"/>
  <c r="H127" i="31" s="1"/>
  <c r="P133" i="31" a="1"/>
  <c r="P133" i="31" s="1"/>
  <c r="L133" i="31" a="1"/>
  <c r="L133" i="31" s="1"/>
  <c r="X133" i="31" a="1"/>
  <c r="X133" i="31" s="1"/>
  <c r="V133" i="31" a="1"/>
  <c r="V133" i="31" s="1"/>
  <c r="J143" i="31" a="1"/>
  <c r="J143" i="31" s="1"/>
  <c r="X149" i="31" a="1"/>
  <c r="X149" i="31" s="1"/>
  <c r="V149" i="31" a="1"/>
  <c r="V149" i="31" s="1"/>
  <c r="T149" i="31" a="1"/>
  <c r="T149" i="31" s="1"/>
  <c r="P149" i="31" a="1"/>
  <c r="P149" i="31" s="1"/>
  <c r="R149" i="31" a="1"/>
  <c r="R149" i="31" s="1"/>
  <c r="L149" i="31" a="1"/>
  <c r="L149" i="31" s="1"/>
  <c r="F149" i="31"/>
  <c r="J149" i="31" a="1"/>
  <c r="J149" i="31" s="1"/>
  <c r="T21" i="31" a="1"/>
  <c r="T21" i="31" s="1"/>
  <c r="E39" i="31"/>
  <c r="X87" i="31" a="1"/>
  <c r="X87" i="31" s="1"/>
  <c r="V87" i="31" a="1"/>
  <c r="V87" i="31" s="1"/>
  <c r="AD118" i="31" a="1"/>
  <c r="AD118" i="31" s="1"/>
  <c r="AB118" i="31" a="1"/>
  <c r="AB118" i="31" s="1"/>
  <c r="Z118" i="31" a="1"/>
  <c r="Z118" i="31" s="1"/>
  <c r="V118" i="31" a="1"/>
  <c r="V118" i="31" s="1"/>
  <c r="R16" i="31" a="1"/>
  <c r="R16" i="31" s="1"/>
  <c r="Z16" i="31" a="1"/>
  <c r="Z16" i="31" s="1"/>
  <c r="V16" i="31" a="1"/>
  <c r="V16" i="31" s="1"/>
  <c r="L16" i="31" a="1"/>
  <c r="L16" i="31" s="1"/>
  <c r="J16" i="31" a="1"/>
  <c r="J16" i="31" s="1"/>
  <c r="H16" i="31" a="1"/>
  <c r="H16" i="31" s="1"/>
  <c r="F39" i="31"/>
  <c r="X41" i="31" a="1"/>
  <c r="X41" i="31" s="1"/>
  <c r="T41" i="31" a="1"/>
  <c r="T41" i="31" s="1"/>
  <c r="L78" i="31" a="1"/>
  <c r="L78" i="31" s="1"/>
  <c r="F118" i="31"/>
  <c r="N16" i="31" a="1"/>
  <c r="N16" i="31" s="1"/>
  <c r="V22" i="31" a="1"/>
  <c r="V22" i="31" s="1"/>
  <c r="AD22" i="31" a="1"/>
  <c r="AD22" i="31" s="1"/>
  <c r="X22" i="31" a="1"/>
  <c r="X22" i="31" s="1"/>
  <c r="P22" i="31" a="1"/>
  <c r="P22" i="31" s="1"/>
  <c r="N22" i="31" a="1"/>
  <c r="N22" i="31" s="1"/>
  <c r="AD26" i="31" a="1"/>
  <c r="AD26" i="31" s="1"/>
  <c r="Z26" i="31" a="1"/>
  <c r="Z26" i="31" s="1"/>
  <c r="H39" i="31" a="1"/>
  <c r="H39" i="31" s="1"/>
  <c r="N41" i="31" a="1"/>
  <c r="N41" i="31" s="1"/>
  <c r="R87" i="31" a="1"/>
  <c r="R87" i="31" s="1"/>
  <c r="R94" i="31" a="1"/>
  <c r="R94" i="31" s="1"/>
  <c r="P94" i="31" a="1"/>
  <c r="P94" i="31" s="1"/>
  <c r="N94" i="31" a="1"/>
  <c r="N94" i="31" s="1"/>
  <c r="L94" i="31" a="1"/>
  <c r="L94" i="31" s="1"/>
  <c r="J94" i="31" a="1"/>
  <c r="J94" i="31" s="1"/>
  <c r="J101" i="31" a="1"/>
  <c r="J101" i="31" s="1"/>
  <c r="H114" i="31" a="1"/>
  <c r="H114" i="31" s="1"/>
  <c r="J118" i="31" a="1"/>
  <c r="J118" i="31" s="1"/>
  <c r="L147" i="31" a="1"/>
  <c r="L147" i="31" s="1"/>
  <c r="R19" i="31" a="1"/>
  <c r="R19" i="31" s="1"/>
  <c r="P24" i="31" a="1"/>
  <c r="P24" i="31" s="1"/>
  <c r="V24" i="31" a="1"/>
  <c r="V24" i="31" s="1"/>
  <c r="T24" i="31" a="1"/>
  <c r="T24" i="31" s="1"/>
  <c r="R24" i="31" a="1"/>
  <c r="R24" i="31" s="1"/>
  <c r="J25" i="31" a="1"/>
  <c r="J25" i="31" s="1"/>
  <c r="V17" i="31" a="1"/>
  <c r="V17" i="31" s="1"/>
  <c r="F24" i="31"/>
  <c r="P25" i="31" a="1"/>
  <c r="P25" i="31" s="1"/>
  <c r="F32" i="31"/>
  <c r="AD38" i="31" a="1"/>
  <c r="AD38" i="31" s="1"/>
  <c r="N43" i="31" a="1"/>
  <c r="N43" i="31" s="1"/>
  <c r="V45" i="31" a="1"/>
  <c r="V45" i="31" s="1"/>
  <c r="T45" i="31" a="1"/>
  <c r="T45" i="31" s="1"/>
  <c r="R45" i="31" a="1"/>
  <c r="R45" i="31" s="1"/>
  <c r="R53" i="31" a="1"/>
  <c r="R53" i="31" s="1"/>
  <c r="P53" i="31" a="1"/>
  <c r="P53" i="31" s="1"/>
  <c r="AB53" i="31" a="1"/>
  <c r="AB53" i="31" s="1"/>
  <c r="X53" i="31" a="1"/>
  <c r="X53" i="31" s="1"/>
  <c r="V53" i="31" a="1"/>
  <c r="V53" i="31" s="1"/>
  <c r="P63" i="31" a="1"/>
  <c r="P63" i="31" s="1"/>
  <c r="R68" i="31" a="1"/>
  <c r="R68" i="31" s="1"/>
  <c r="N82" i="31" a="1"/>
  <c r="N82" i="31" s="1"/>
  <c r="X85" i="31" a="1"/>
  <c r="X85" i="31" s="1"/>
  <c r="N85" i="31" a="1"/>
  <c r="N85" i="31" s="1"/>
  <c r="L85" i="31" a="1"/>
  <c r="L85" i="31" s="1"/>
  <c r="E95" i="31"/>
  <c r="E111" i="31"/>
  <c r="L113" i="31" a="1"/>
  <c r="L113" i="31" s="1"/>
  <c r="F133" i="31"/>
  <c r="Z138" i="31" a="1"/>
  <c r="Z138" i="31" s="1"/>
  <c r="N138" i="31" a="1"/>
  <c r="N138" i="31" s="1"/>
  <c r="L138" i="31" a="1"/>
  <c r="L138" i="31" s="1"/>
  <c r="J138" i="31" a="1"/>
  <c r="J138" i="31" s="1"/>
  <c r="E138" i="31"/>
  <c r="L143" i="31" a="1"/>
  <c r="L143" i="31" s="1"/>
  <c r="E149" i="31"/>
  <c r="R28" i="31" a="1"/>
  <c r="R28" i="31" s="1"/>
  <c r="P28" i="31" a="1"/>
  <c r="P28" i="31" s="1"/>
  <c r="AD28" i="31" a="1"/>
  <c r="AD28" i="31" s="1"/>
  <c r="N120" i="31" a="1"/>
  <c r="N120" i="31" s="1"/>
  <c r="J120" i="31" a="1"/>
  <c r="J120" i="31" s="1"/>
  <c r="H120" i="31" a="1"/>
  <c r="H120" i="31" s="1"/>
  <c r="E28" i="31"/>
  <c r="AD34" i="31" a="1"/>
  <c r="AD34" i="31" s="1"/>
  <c r="E81" i="31"/>
  <c r="R91" i="31" a="1"/>
  <c r="R91" i="31" s="1"/>
  <c r="P91" i="31" a="1"/>
  <c r="P91" i="31" s="1"/>
  <c r="N91" i="31" a="1"/>
  <c r="N91" i="31" s="1"/>
  <c r="J92" i="31" a="1"/>
  <c r="J92" i="31" s="1"/>
  <c r="E120" i="31"/>
  <c r="L132" i="31" a="1"/>
  <c r="L132" i="31" s="1"/>
  <c r="H132" i="31" a="1"/>
  <c r="H132" i="31" s="1"/>
  <c r="F132" i="31"/>
  <c r="F142" i="31"/>
  <c r="AD52" i="31" a="1"/>
  <c r="AD52" i="31" s="1"/>
  <c r="H52" i="31" a="1"/>
  <c r="H52" i="31" s="1"/>
  <c r="F52" i="31"/>
  <c r="V15" i="31" a="1"/>
  <c r="V15" i="31" s="1"/>
  <c r="F28" i="31"/>
  <c r="AD42" i="31" a="1"/>
  <c r="AD42" i="31" s="1"/>
  <c r="Z49" i="31" a="1"/>
  <c r="Z49" i="31" s="1"/>
  <c r="J52" i="31" a="1"/>
  <c r="J52" i="31" s="1"/>
  <c r="J81" i="31" a="1"/>
  <c r="J81" i="31" s="1"/>
  <c r="E91" i="31"/>
  <c r="F120" i="31"/>
  <c r="E123" i="31"/>
  <c r="R142" i="31" a="1"/>
  <c r="R142" i="31" s="1"/>
  <c r="P142" i="31" a="1"/>
  <c r="P142" i="31" s="1"/>
  <c r="J142" i="31" a="1"/>
  <c r="J142" i="31" s="1"/>
  <c r="H18" i="31" a="1"/>
  <c r="H18" i="31" s="1"/>
  <c r="H28" i="31" a="1"/>
  <c r="H28" i="31" s="1"/>
  <c r="L47" i="31" a="1"/>
  <c r="L47" i="31" s="1"/>
  <c r="J47" i="31" a="1"/>
  <c r="J47" i="31" s="1"/>
  <c r="L52" i="31" a="1"/>
  <c r="L52" i="31" s="1"/>
  <c r="AB60" i="31" a="1"/>
  <c r="AB60" i="31" s="1"/>
  <c r="X60" i="31" a="1"/>
  <c r="X60" i="31" s="1"/>
  <c r="F91" i="31"/>
  <c r="N92" i="31" a="1"/>
  <c r="N92" i="31" s="1"/>
  <c r="J106" i="31" a="1"/>
  <c r="J106" i="31" s="1"/>
  <c r="P120" i="31" a="1"/>
  <c r="P120" i="31" s="1"/>
  <c r="T131" i="31" a="1"/>
  <c r="T131" i="31" s="1"/>
  <c r="J131" i="31" a="1"/>
  <c r="J131" i="31" s="1"/>
  <c r="H131" i="31" a="1"/>
  <c r="H131" i="31" s="1"/>
  <c r="F131" i="31"/>
  <c r="N132" i="31" a="1"/>
  <c r="N132" i="31" s="1"/>
  <c r="T142" i="31" a="1"/>
  <c r="T142" i="31" s="1"/>
  <c r="X144" i="31" a="1"/>
  <c r="X144" i="31" s="1"/>
  <c r="AB128" i="31" a="1"/>
  <c r="AB128" i="31" s="1"/>
  <c r="L137" i="31" a="1"/>
  <c r="L137" i="31" s="1"/>
  <c r="Z144" i="31" a="1"/>
  <c r="Z144" i="31" s="1"/>
  <c r="Z20" i="31" a="1"/>
  <c r="Z20" i="31" s="1"/>
  <c r="AD36" i="31" a="1"/>
  <c r="AD36" i="31" s="1"/>
  <c r="AD97" i="31" a="1"/>
  <c r="AD97" i="31" s="1"/>
  <c r="E99" i="31"/>
  <c r="E119" i="31"/>
  <c r="E128" i="31"/>
  <c r="AD128" i="31" a="1"/>
  <c r="AD128" i="31" s="1"/>
  <c r="T137" i="31" a="1"/>
  <c r="T137" i="31" s="1"/>
  <c r="E144" i="31"/>
  <c r="AB144" i="31" a="1"/>
  <c r="AB144" i="31" s="1"/>
  <c r="E50" i="31"/>
  <c r="F56" i="31"/>
  <c r="F144" i="31"/>
  <c r="Y6" i="31" a="1"/>
  <c r="Y6" i="31" s="1"/>
  <c r="I6" i="31" a="1"/>
  <c r="I6" i="31" s="1"/>
  <c r="Q6" i="31" a="1"/>
  <c r="Q6" i="31" s="1"/>
  <c r="AC6" i="31" a="1"/>
  <c r="AC6" i="31" s="1"/>
  <c r="S6" i="31" a="1"/>
  <c r="S6" i="31" s="1"/>
  <c r="O6" i="31" a="1"/>
  <c r="O6" i="31" s="1"/>
  <c r="AA6" i="31" a="1"/>
  <c r="AA6" i="31" s="1"/>
  <c r="K6" i="31" a="1"/>
  <c r="K6" i="31" s="1"/>
  <c r="W6" i="31" a="1"/>
  <c r="W6" i="31" s="1"/>
  <c r="U6" i="31" a="1"/>
  <c r="U6" i="31" s="1"/>
  <c r="M6" i="31" a="1"/>
  <c r="M6" i="31" s="1"/>
  <c r="F13" i="31"/>
  <c r="F10" i="31"/>
  <c r="F12" i="31"/>
  <c r="F9" i="31"/>
  <c r="E29" i="31"/>
  <c r="E31" i="31"/>
  <c r="E37" i="31"/>
  <c r="T61" i="31" a="1"/>
  <c r="T61" i="31" s="1"/>
  <c r="Z64" i="31" a="1"/>
  <c r="Z64" i="31" s="1"/>
  <c r="J64" i="31" a="1"/>
  <c r="J64" i="31" s="1"/>
  <c r="F64" i="31"/>
  <c r="X64" i="31" a="1"/>
  <c r="X64" i="31" s="1"/>
  <c r="E64" i="31"/>
  <c r="P64" i="31" a="1"/>
  <c r="P64" i="31" s="1"/>
  <c r="L64" i="31" a="1"/>
  <c r="L64" i="31" s="1"/>
  <c r="AB64" i="31" a="1"/>
  <c r="AB64" i="31" s="1"/>
  <c r="V64" i="31" a="1"/>
  <c r="V64" i="31" s="1"/>
  <c r="AD64" i="31" a="1"/>
  <c r="AD64" i="31" s="1"/>
  <c r="T64" i="31" a="1"/>
  <c r="T64" i="31" s="1"/>
  <c r="AB90" i="31" a="1"/>
  <c r="AB90" i="31" s="1"/>
  <c r="L90" i="31" a="1"/>
  <c r="L90" i="31" s="1"/>
  <c r="N90" i="31" a="1"/>
  <c r="N90" i="31" s="1"/>
  <c r="J90" i="31" a="1"/>
  <c r="J90" i="31" s="1"/>
  <c r="AD90" i="31" a="1"/>
  <c r="AD90" i="31" s="1"/>
  <c r="H90" i="31" a="1"/>
  <c r="H90" i="31" s="1"/>
  <c r="F90" i="31"/>
  <c r="P90" i="31" a="1"/>
  <c r="P90" i="31" s="1"/>
  <c r="Z90" i="31" a="1"/>
  <c r="Z90" i="31" s="1"/>
  <c r="X90" i="31" a="1"/>
  <c r="X90" i="31" s="1"/>
  <c r="N104" i="31" a="1"/>
  <c r="N104" i="31" s="1"/>
  <c r="E135" i="31"/>
  <c r="Z29" i="31" a="1"/>
  <c r="Z29" i="31" s="1"/>
  <c r="J135" i="31" a="1"/>
  <c r="J135" i="31" s="1"/>
  <c r="E35" i="31"/>
  <c r="AD40" i="31" a="1"/>
  <c r="AD40" i="31" s="1"/>
  <c r="L40" i="31" a="1"/>
  <c r="L40" i="31" s="1"/>
  <c r="T40" i="31" a="1"/>
  <c r="T40" i="31" s="1"/>
  <c r="V40" i="31" a="1"/>
  <c r="V40" i="31" s="1"/>
  <c r="R40" i="31" a="1"/>
  <c r="R40" i="31" s="1"/>
  <c r="J40" i="31" a="1"/>
  <c r="J40" i="31" s="1"/>
  <c r="P40" i="31" a="1"/>
  <c r="P40" i="31" s="1"/>
  <c r="N64" i="31" a="1"/>
  <c r="N64" i="31" s="1"/>
  <c r="X86" i="31" a="1"/>
  <c r="X86" i="31" s="1"/>
  <c r="H86" i="31" a="1"/>
  <c r="H86" i="31" s="1"/>
  <c r="AD86" i="31" a="1"/>
  <c r="AD86" i="31" s="1"/>
  <c r="L86" i="31" a="1"/>
  <c r="L86" i="31" s="1"/>
  <c r="P86" i="31" a="1"/>
  <c r="P86" i="31" s="1"/>
  <c r="N86" i="31" a="1"/>
  <c r="N86" i="31" s="1"/>
  <c r="F86" i="31"/>
  <c r="E86" i="31"/>
  <c r="Z86" i="31" a="1"/>
  <c r="Z86" i="31" s="1"/>
  <c r="T86" i="31" a="1"/>
  <c r="T86" i="31" s="1"/>
  <c r="R86" i="31" a="1"/>
  <c r="R86" i="31" s="1"/>
  <c r="AB104" i="31" a="1"/>
  <c r="AB104" i="31" s="1"/>
  <c r="Z145" i="31" a="1"/>
  <c r="Z145" i="31" s="1"/>
  <c r="J145" i="31" a="1"/>
  <c r="J145" i="31" s="1"/>
  <c r="AD145" i="31" a="1"/>
  <c r="AD145" i="31" s="1"/>
  <c r="L145" i="31" a="1"/>
  <c r="L145" i="31" s="1"/>
  <c r="T145" i="31" a="1"/>
  <c r="T145" i="31" s="1"/>
  <c r="F145" i="31"/>
  <c r="E145" i="31"/>
  <c r="P145" i="31" a="1"/>
  <c r="P145" i="31" s="1"/>
  <c r="N145" i="31" a="1"/>
  <c r="N145" i="31" s="1"/>
  <c r="R145" i="31" a="1"/>
  <c r="R145" i="31" s="1"/>
  <c r="X145" i="31" a="1"/>
  <c r="X145" i="31" s="1"/>
  <c r="V145" i="31" a="1"/>
  <c r="V145" i="31" s="1"/>
  <c r="X6" i="31" a="1"/>
  <c r="X6" i="31" s="1"/>
  <c r="P23" i="31" a="1"/>
  <c r="P23" i="31" s="1"/>
  <c r="AB23" i="31" a="1"/>
  <c r="AB23" i="31" s="1"/>
  <c r="J23" i="31" a="1"/>
  <c r="J23" i="31" s="1"/>
  <c r="Z23" i="31" a="1"/>
  <c r="Z23" i="31" s="1"/>
  <c r="H23" i="31" a="1"/>
  <c r="H23" i="31" s="1"/>
  <c r="T23" i="31" a="1"/>
  <c r="T23" i="31" s="1"/>
  <c r="V23" i="31" a="1"/>
  <c r="V23" i="31" s="1"/>
  <c r="R23" i="31" a="1"/>
  <c r="R23" i="31" s="1"/>
  <c r="AD23" i="31" a="1"/>
  <c r="AD23" i="31" s="1"/>
  <c r="J31" i="31" a="1"/>
  <c r="J31" i="31" s="1"/>
  <c r="F35" i="31"/>
  <c r="E40" i="31"/>
  <c r="R64" i="31" a="1"/>
  <c r="R64" i="31" s="1"/>
  <c r="J86" i="31" a="1"/>
  <c r="J86" i="31" s="1"/>
  <c r="H145" i="31" a="1"/>
  <c r="H145" i="31" s="1"/>
  <c r="E23" i="31"/>
  <c r="F40" i="31"/>
  <c r="V86" i="31" a="1"/>
  <c r="V86" i="31" s="1"/>
  <c r="T90" i="31" a="1"/>
  <c r="T90" i="31" s="1"/>
  <c r="T115" i="31" a="1"/>
  <c r="T115" i="31" s="1"/>
  <c r="AB115" i="31" a="1"/>
  <c r="AB115" i="31" s="1"/>
  <c r="Z115" i="31" a="1"/>
  <c r="Z115" i="31" s="1"/>
  <c r="H115" i="31" a="1"/>
  <c r="H115" i="31" s="1"/>
  <c r="F115" i="31"/>
  <c r="P115" i="31" a="1"/>
  <c r="P115" i="31" s="1"/>
  <c r="X115" i="31" a="1"/>
  <c r="X115" i="31" s="1"/>
  <c r="V115" i="31" a="1"/>
  <c r="V115" i="31" s="1"/>
  <c r="J115" i="31" a="1"/>
  <c r="J115" i="31" s="1"/>
  <c r="AD115" i="31" a="1"/>
  <c r="AD115" i="31" s="1"/>
  <c r="L115" i="31" a="1"/>
  <c r="L115" i="31" s="1"/>
  <c r="E115" i="31"/>
  <c r="R115" i="31" a="1"/>
  <c r="R115" i="31" s="1"/>
  <c r="X31" i="31" a="1"/>
  <c r="X31" i="31" s="1"/>
  <c r="E54" i="31"/>
  <c r="E67" i="31"/>
  <c r="J70" i="31" a="1"/>
  <c r="J70" i="31" s="1"/>
  <c r="V90" i="31" a="1"/>
  <c r="V90" i="31" s="1"/>
  <c r="AB145" i="31" a="1"/>
  <c r="AB145" i="31" s="1"/>
  <c r="F8" i="31"/>
  <c r="L23" i="31" a="1"/>
  <c r="L23" i="31" s="1"/>
  <c r="AB30" i="31" a="1"/>
  <c r="AB30" i="31" s="1"/>
  <c r="L30" i="31" a="1"/>
  <c r="L30" i="31" s="1"/>
  <c r="Z30" i="31" a="1"/>
  <c r="Z30" i="31" s="1"/>
  <c r="H30" i="31" a="1"/>
  <c r="H30" i="31" s="1"/>
  <c r="F30" i="31"/>
  <c r="X30" i="31" a="1"/>
  <c r="X30" i="31" s="1"/>
  <c r="E30" i="31"/>
  <c r="AD30" i="31" a="1"/>
  <c r="AD30" i="31" s="1"/>
  <c r="R30" i="31" a="1"/>
  <c r="R30" i="31" s="1"/>
  <c r="T30" i="31" a="1"/>
  <c r="T30" i="31" s="1"/>
  <c r="V30" i="31" a="1"/>
  <c r="V30" i="31" s="1"/>
  <c r="P30" i="31" a="1"/>
  <c r="P30" i="31" s="1"/>
  <c r="N40" i="31" a="1"/>
  <c r="N40" i="31" s="1"/>
  <c r="J54" i="31" a="1"/>
  <c r="J54" i="31" s="1"/>
  <c r="N62" i="31" a="1"/>
  <c r="N62" i="31" s="1"/>
  <c r="F67" i="31"/>
  <c r="Z83" i="31" a="1"/>
  <c r="Z83" i="31" s="1"/>
  <c r="J83" i="31" a="1"/>
  <c r="J83" i="31" s="1"/>
  <c r="R83" i="31" a="1"/>
  <c r="R83" i="31" s="1"/>
  <c r="L83" i="31" a="1"/>
  <c r="L83" i="31" s="1"/>
  <c r="AD83" i="31" a="1"/>
  <c r="AD83" i="31" s="1"/>
  <c r="H83" i="31" a="1"/>
  <c r="H83" i="31" s="1"/>
  <c r="N83" i="31" a="1"/>
  <c r="N83" i="31" s="1"/>
  <c r="F83" i="31"/>
  <c r="V83" i="31" a="1"/>
  <c r="V83" i="31" s="1"/>
  <c r="T83" i="31" a="1"/>
  <c r="T83" i="31" s="1"/>
  <c r="AB83" i="31" a="1"/>
  <c r="AB83" i="31" s="1"/>
  <c r="X83" i="31" a="1"/>
  <c r="X83" i="31" s="1"/>
  <c r="AB86" i="31" a="1"/>
  <c r="AB86" i="31" s="1"/>
  <c r="X103" i="31" a="1"/>
  <c r="X103" i="31" s="1"/>
  <c r="H103" i="31" a="1"/>
  <c r="H103" i="31" s="1"/>
  <c r="L103" i="31" a="1"/>
  <c r="L103" i="31" s="1"/>
  <c r="Z103" i="31" a="1"/>
  <c r="Z103" i="31" s="1"/>
  <c r="F103" i="31"/>
  <c r="E103" i="31"/>
  <c r="N103" i="31" a="1"/>
  <c r="N103" i="31" s="1"/>
  <c r="V103" i="31" a="1"/>
  <c r="V103" i="31" s="1"/>
  <c r="P103" i="31" a="1"/>
  <c r="P103" i="31" s="1"/>
  <c r="R103" i="31" a="1"/>
  <c r="R103" i="31" s="1"/>
  <c r="J103" i="31" a="1"/>
  <c r="J103" i="31" s="1"/>
  <c r="R116" i="31" a="1"/>
  <c r="R116" i="31" s="1"/>
  <c r="P116" i="31" a="1"/>
  <c r="P116" i="31" s="1"/>
  <c r="AD116" i="31" a="1"/>
  <c r="AD116" i="31" s="1"/>
  <c r="J116" i="31" a="1"/>
  <c r="J116" i="31" s="1"/>
  <c r="V116" i="31" a="1"/>
  <c r="V116" i="31" s="1"/>
  <c r="T116" i="31" a="1"/>
  <c r="T116" i="31" s="1"/>
  <c r="L116" i="31" a="1"/>
  <c r="L116" i="31" s="1"/>
  <c r="Z116" i="31" a="1"/>
  <c r="Z116" i="31" s="1"/>
  <c r="X116" i="31" a="1"/>
  <c r="X116" i="31" s="1"/>
  <c r="P130" i="31" a="1"/>
  <c r="P130" i="31" s="1"/>
  <c r="V130" i="31" a="1"/>
  <c r="V130" i="31" s="1"/>
  <c r="X130" i="31" a="1"/>
  <c r="X130" i="31" s="1"/>
  <c r="J130" i="31" a="1"/>
  <c r="J130" i="31" s="1"/>
  <c r="H130" i="31" a="1"/>
  <c r="H130" i="31" s="1"/>
  <c r="Z130" i="31" a="1"/>
  <c r="Z130" i="31" s="1"/>
  <c r="L130" i="31" a="1"/>
  <c r="L130" i="31" s="1"/>
  <c r="N130" i="31" a="1"/>
  <c r="N130" i="31" s="1"/>
  <c r="F130" i="31"/>
  <c r="AD130" i="31" a="1"/>
  <c r="AD130" i="31" s="1"/>
  <c r="P146" i="31" a="1"/>
  <c r="P146" i="31" s="1"/>
  <c r="L146" i="31" a="1"/>
  <c r="L146" i="31" s="1"/>
  <c r="X146" i="31" a="1"/>
  <c r="X146" i="31" s="1"/>
  <c r="N146" i="31" a="1"/>
  <c r="N146" i="31" s="1"/>
  <c r="J146" i="31" a="1"/>
  <c r="J146" i="31" s="1"/>
  <c r="Z146" i="31" a="1"/>
  <c r="Z146" i="31" s="1"/>
  <c r="H146" i="31" a="1"/>
  <c r="H146" i="31" s="1"/>
  <c r="F146" i="31"/>
  <c r="AD146" i="31" a="1"/>
  <c r="AD146" i="31" s="1"/>
  <c r="AB146" i="31" a="1"/>
  <c r="AB146" i="31" s="1"/>
  <c r="V146" i="31" a="1"/>
  <c r="V146" i="31" s="1"/>
  <c r="N23" i="31" a="1"/>
  <c r="N23" i="31" s="1"/>
  <c r="J30" i="31" a="1"/>
  <c r="J30" i="31" s="1"/>
  <c r="E34" i="31"/>
  <c r="X40" i="31" a="1"/>
  <c r="X40" i="31" s="1"/>
  <c r="E42" i="31"/>
  <c r="J57" i="31" a="1"/>
  <c r="J57" i="31" s="1"/>
  <c r="X89" i="31" a="1"/>
  <c r="X89" i="31" s="1"/>
  <c r="H89" i="31" a="1"/>
  <c r="H89" i="31" s="1"/>
  <c r="F89" i="31"/>
  <c r="T89" i="31" a="1"/>
  <c r="T89" i="31" s="1"/>
  <c r="P89" i="31" a="1"/>
  <c r="P89" i="31" s="1"/>
  <c r="N89" i="31" a="1"/>
  <c r="N89" i="31" s="1"/>
  <c r="L89" i="31" a="1"/>
  <c r="L89" i="31" s="1"/>
  <c r="Z89" i="31" a="1"/>
  <c r="Z89" i="31" s="1"/>
  <c r="V89" i="31" a="1"/>
  <c r="V89" i="31" s="1"/>
  <c r="R89" i="31" a="1"/>
  <c r="R89" i="31" s="1"/>
  <c r="J89" i="31" a="1"/>
  <c r="J89" i="31" s="1"/>
  <c r="T103" i="31" a="1"/>
  <c r="T103" i="31" s="1"/>
  <c r="F106" i="31"/>
  <c r="P106" i="31" a="1"/>
  <c r="P106" i="31" s="1"/>
  <c r="R106" i="31" a="1"/>
  <c r="R106" i="31" s="1"/>
  <c r="N106" i="31" a="1"/>
  <c r="N106" i="31" s="1"/>
  <c r="L106" i="31" a="1"/>
  <c r="L106" i="31" s="1"/>
  <c r="AB106" i="31" a="1"/>
  <c r="AB106" i="31" s="1"/>
  <c r="T106" i="31" a="1"/>
  <c r="T106" i="31" s="1"/>
  <c r="AD106" i="31" a="1"/>
  <c r="AD106" i="31" s="1"/>
  <c r="Z106" i="31" a="1"/>
  <c r="Z106" i="31" s="1"/>
  <c r="X106" i="31" a="1"/>
  <c r="X106" i="31" s="1"/>
  <c r="F116" i="31"/>
  <c r="AB61" i="31" a="1"/>
  <c r="AB61" i="31" s="1"/>
  <c r="L61" i="31" a="1"/>
  <c r="L61" i="31" s="1"/>
  <c r="P61" i="31" a="1"/>
  <c r="P61" i="31" s="1"/>
  <c r="R61" i="31" a="1"/>
  <c r="R61" i="31" s="1"/>
  <c r="N61" i="31" a="1"/>
  <c r="N61" i="31" s="1"/>
  <c r="V61" i="31" a="1"/>
  <c r="V61" i="31" s="1"/>
  <c r="H61" i="31" a="1"/>
  <c r="H61" i="31" s="1"/>
  <c r="Z61" i="31" a="1"/>
  <c r="Z61" i="31" s="1"/>
  <c r="X61" i="31" a="1"/>
  <c r="X61" i="31" s="1"/>
  <c r="J61" i="31" a="1"/>
  <c r="J61" i="31" s="1"/>
  <c r="F61" i="31"/>
  <c r="T69" i="31" a="1"/>
  <c r="T69" i="31" s="1"/>
  <c r="P69" i="31" a="1"/>
  <c r="P69" i="31" s="1"/>
  <c r="V69" i="31" a="1"/>
  <c r="V69" i="31" s="1"/>
  <c r="N69" i="31" a="1"/>
  <c r="N69" i="31" s="1"/>
  <c r="H69" i="31" a="1"/>
  <c r="H69" i="31" s="1"/>
  <c r="AB69" i="31" a="1"/>
  <c r="AB69" i="31" s="1"/>
  <c r="Z69" i="31" a="1"/>
  <c r="Z69" i="31" s="1"/>
  <c r="L69" i="31" a="1"/>
  <c r="L69" i="31" s="1"/>
  <c r="J69" i="31" a="1"/>
  <c r="J69" i="31" s="1"/>
  <c r="F69" i="31"/>
  <c r="P104" i="31" a="1"/>
  <c r="P104" i="31" s="1"/>
  <c r="F104" i="31"/>
  <c r="Z104" i="31" a="1"/>
  <c r="Z104" i="31" s="1"/>
  <c r="E104" i="31"/>
  <c r="V104" i="31" a="1"/>
  <c r="V104" i="31" s="1"/>
  <c r="T104" i="31" a="1"/>
  <c r="T104" i="31" s="1"/>
  <c r="R104" i="31" a="1"/>
  <c r="R104" i="31" s="1"/>
  <c r="H104" i="31" a="1"/>
  <c r="H104" i="31" s="1"/>
  <c r="L104" i="31" a="1"/>
  <c r="L104" i="31" s="1"/>
  <c r="J104" i="31" a="1"/>
  <c r="J104" i="31" s="1"/>
  <c r="X29" i="31" a="1"/>
  <c r="X29" i="31" s="1"/>
  <c r="H29" i="31" a="1"/>
  <c r="H29" i="31" s="1"/>
  <c r="R29" i="31" a="1"/>
  <c r="R29" i="31" s="1"/>
  <c r="P29" i="31" a="1"/>
  <c r="P29" i="31" s="1"/>
  <c r="J29" i="31" a="1"/>
  <c r="J29" i="31" s="1"/>
  <c r="V29" i="31" a="1"/>
  <c r="V29" i="31" s="1"/>
  <c r="T29" i="31" a="1"/>
  <c r="T29" i="31" s="1"/>
  <c r="N29" i="31" a="1"/>
  <c r="N29" i="31" s="1"/>
  <c r="L29" i="31" a="1"/>
  <c r="L29" i="31" s="1"/>
  <c r="P31" i="31" a="1"/>
  <c r="P31" i="31" s="1"/>
  <c r="R31" i="31" a="1"/>
  <c r="R31" i="31" s="1"/>
  <c r="N31" i="31" a="1"/>
  <c r="N31" i="31" s="1"/>
  <c r="V31" i="31" a="1"/>
  <c r="V31" i="31" s="1"/>
  <c r="T31" i="31" a="1"/>
  <c r="T31" i="31" s="1"/>
  <c r="AB31" i="31" a="1"/>
  <c r="AB31" i="31" s="1"/>
  <c r="Z31" i="31" a="1"/>
  <c r="Z31" i="31" s="1"/>
  <c r="AD37" i="31" a="1"/>
  <c r="AD37" i="31" s="1"/>
  <c r="L37" i="31" a="1"/>
  <c r="L37" i="31" s="1"/>
  <c r="AB37" i="31" a="1"/>
  <c r="AB37" i="31" s="1"/>
  <c r="N37" i="31" a="1"/>
  <c r="N37" i="31" s="1"/>
  <c r="J37" i="31" a="1"/>
  <c r="J37" i="31" s="1"/>
  <c r="V37" i="31" a="1"/>
  <c r="V37" i="31" s="1"/>
  <c r="P37" i="31" a="1"/>
  <c r="P37" i="31" s="1"/>
  <c r="R37" i="31" a="1"/>
  <c r="R37" i="31" s="1"/>
  <c r="X37" i="31" a="1"/>
  <c r="X37" i="31" s="1"/>
  <c r="T37" i="31" a="1"/>
  <c r="T37" i="31" s="1"/>
  <c r="E61" i="31"/>
  <c r="E69" i="31"/>
  <c r="AB74" i="31" a="1"/>
  <c r="AB74" i="31" s="1"/>
  <c r="L74" i="31" a="1"/>
  <c r="L74" i="31" s="1"/>
  <c r="Z74" i="31" a="1"/>
  <c r="Z74" i="31" s="1"/>
  <c r="H74" i="31" a="1"/>
  <c r="H74" i="31" s="1"/>
  <c r="N74" i="31" a="1"/>
  <c r="N74" i="31" s="1"/>
  <c r="J74" i="31" a="1"/>
  <c r="J74" i="31" s="1"/>
  <c r="F74" i="31"/>
  <c r="X74" i="31" a="1"/>
  <c r="X74" i="31" s="1"/>
  <c r="R74" i="31" a="1"/>
  <c r="R74" i="31" s="1"/>
  <c r="V74" i="31" a="1"/>
  <c r="V74" i="31" s="1"/>
  <c r="T74" i="31" a="1"/>
  <c r="T74" i="31" s="1"/>
  <c r="P74" i="31" a="1"/>
  <c r="P74" i="31" s="1"/>
  <c r="X135" i="31" a="1"/>
  <c r="X135" i="31" s="1"/>
  <c r="H135" i="31" a="1"/>
  <c r="H135" i="31" s="1"/>
  <c r="V135" i="31" a="1"/>
  <c r="V135" i="31" s="1"/>
  <c r="R135" i="31" a="1"/>
  <c r="R135" i="31" s="1"/>
  <c r="T135" i="31" a="1"/>
  <c r="T135" i="31" s="1"/>
  <c r="P135" i="31" a="1"/>
  <c r="P135" i="31" s="1"/>
  <c r="AD135" i="31" a="1"/>
  <c r="AD135" i="31" s="1"/>
  <c r="AB135" i="31" a="1"/>
  <c r="AB135" i="31" s="1"/>
  <c r="L135" i="31" a="1"/>
  <c r="L135" i="31" s="1"/>
  <c r="Z40" i="31" a="1"/>
  <c r="Z40" i="31" s="1"/>
  <c r="P42" i="31" a="1"/>
  <c r="P42" i="31" s="1"/>
  <c r="P83" i="31" a="1"/>
  <c r="P83" i="31" s="1"/>
  <c r="E89" i="31"/>
  <c r="AB103" i="31" a="1"/>
  <c r="AB103" i="31" s="1"/>
  <c r="E106" i="31"/>
  <c r="H116" i="31" a="1"/>
  <c r="H116" i="31" s="1"/>
  <c r="R130" i="31" a="1"/>
  <c r="R130" i="31" s="1"/>
  <c r="R146" i="31" a="1"/>
  <c r="R146" i="31" s="1"/>
  <c r="N30" i="31" a="1"/>
  <c r="N30" i="31" s="1"/>
  <c r="AD103" i="31" a="1"/>
  <c r="AD103" i="31" s="1"/>
  <c r="H106" i="31" a="1"/>
  <c r="H106" i="31" s="1"/>
  <c r="N116" i="31" a="1"/>
  <c r="N116" i="31" s="1"/>
  <c r="T130" i="31" a="1"/>
  <c r="T130" i="31" s="1"/>
  <c r="F29" i="31"/>
  <c r="F31" i="31"/>
  <c r="F37" i="31"/>
  <c r="H64" i="31" a="1"/>
  <c r="H64" i="31" s="1"/>
  <c r="R69" i="31" a="1"/>
  <c r="R69" i="31" s="1"/>
  <c r="E90" i="31"/>
  <c r="X104" i="31" a="1"/>
  <c r="X104" i="31" s="1"/>
  <c r="F135" i="31"/>
  <c r="H31" i="31" a="1"/>
  <c r="H31" i="31" s="1"/>
  <c r="P35" i="31" a="1"/>
  <c r="P35" i="31" s="1"/>
  <c r="AD35" i="31" a="1"/>
  <c r="AD35" i="31" s="1"/>
  <c r="J35" i="31" a="1"/>
  <c r="J35" i="31" s="1"/>
  <c r="AB35" i="31" a="1"/>
  <c r="AB35" i="31" s="1"/>
  <c r="L35" i="31" a="1"/>
  <c r="L35" i="31" s="1"/>
  <c r="Z35" i="31" a="1"/>
  <c r="Z35" i="31" s="1"/>
  <c r="X35" i="31" a="1"/>
  <c r="X35" i="31" s="1"/>
  <c r="V35" i="31" a="1"/>
  <c r="V35" i="31" s="1"/>
  <c r="T35" i="31" a="1"/>
  <c r="T35" i="31" s="1"/>
  <c r="R35" i="31" a="1"/>
  <c r="R35" i="31" s="1"/>
  <c r="H37" i="31" a="1"/>
  <c r="H37" i="31" s="1"/>
  <c r="X69" i="31" a="1"/>
  <c r="X69" i="31" s="1"/>
  <c r="AD74" i="31" a="1"/>
  <c r="AD74" i="31" s="1"/>
  <c r="R90" i="31" a="1"/>
  <c r="R90" i="31" s="1"/>
  <c r="L6" i="31" a="1"/>
  <c r="L6" i="31" s="1"/>
  <c r="L31" i="31" a="1"/>
  <c r="L31" i="31" s="1"/>
  <c r="P62" i="31" a="1"/>
  <c r="P62" i="31" s="1"/>
  <c r="Z62" i="31" a="1"/>
  <c r="Z62" i="31" s="1"/>
  <c r="H62" i="31" a="1"/>
  <c r="H62" i="31" s="1"/>
  <c r="F62" i="31"/>
  <c r="AD62" i="31" a="1"/>
  <c r="AD62" i="31" s="1"/>
  <c r="J62" i="31" a="1"/>
  <c r="J62" i="31" s="1"/>
  <c r="T62" i="31" a="1"/>
  <c r="T62" i="31" s="1"/>
  <c r="E62" i="31"/>
  <c r="AB62" i="31" a="1"/>
  <c r="AB62" i="31" s="1"/>
  <c r="X62" i="31" a="1"/>
  <c r="X62" i="31" s="1"/>
  <c r="V62" i="31" a="1"/>
  <c r="V62" i="31" s="1"/>
  <c r="F23" i="31"/>
  <c r="AD29" i="31" a="1"/>
  <c r="AD29" i="31" s="1"/>
  <c r="N35" i="31" a="1"/>
  <c r="N35" i="31" s="1"/>
  <c r="H40" i="31" a="1"/>
  <c r="H40" i="31" s="1"/>
  <c r="X54" i="31" a="1"/>
  <c r="X54" i="31" s="1"/>
  <c r="H54" i="31" a="1"/>
  <c r="H54" i="31" s="1"/>
  <c r="V54" i="31" a="1"/>
  <c r="V54" i="31" s="1"/>
  <c r="T54" i="31" a="1"/>
  <c r="T54" i="31" s="1"/>
  <c r="R54" i="31" a="1"/>
  <c r="R54" i="31" s="1"/>
  <c r="P54" i="31" a="1"/>
  <c r="P54" i="31" s="1"/>
  <c r="F54" i="31"/>
  <c r="Z54" i="31" a="1"/>
  <c r="Z54" i="31" s="1"/>
  <c r="N54" i="31" a="1"/>
  <c r="N54" i="31" s="1"/>
  <c r="L54" i="31" a="1"/>
  <c r="L54" i="31" s="1"/>
  <c r="L62" i="31" a="1"/>
  <c r="L62" i="31" s="1"/>
  <c r="Z67" i="31" a="1"/>
  <c r="Z67" i="31" s="1"/>
  <c r="J67" i="31" a="1"/>
  <c r="J67" i="31" s="1"/>
  <c r="P67" i="31" a="1"/>
  <c r="P67" i="31" s="1"/>
  <c r="L67" i="31" a="1"/>
  <c r="L67" i="31" s="1"/>
  <c r="V67" i="31" a="1"/>
  <c r="V67" i="31" s="1"/>
  <c r="N67" i="31" a="1"/>
  <c r="N67" i="31" s="1"/>
  <c r="X67" i="31" a="1"/>
  <c r="X67" i="31" s="1"/>
  <c r="T67" i="31" a="1"/>
  <c r="T67" i="31" s="1"/>
  <c r="X70" i="31" a="1"/>
  <c r="X70" i="31" s="1"/>
  <c r="H70" i="31" a="1"/>
  <c r="H70" i="31" s="1"/>
  <c r="F70" i="31"/>
  <c r="Z70" i="31" a="1"/>
  <c r="Z70" i="31" s="1"/>
  <c r="E70" i="31"/>
  <c r="P70" i="31" a="1"/>
  <c r="P70" i="31" s="1"/>
  <c r="N70" i="31" a="1"/>
  <c r="N70" i="31" s="1"/>
  <c r="R70" i="31" a="1"/>
  <c r="R70" i="31" s="1"/>
  <c r="AD70" i="31" a="1"/>
  <c r="AD70" i="31" s="1"/>
  <c r="V70" i="31" a="1"/>
  <c r="V70" i="31" s="1"/>
  <c r="T70" i="31" a="1"/>
  <c r="T70" i="31" s="1"/>
  <c r="N115" i="31" a="1"/>
  <c r="N115" i="31" s="1"/>
  <c r="Z135" i="31" a="1"/>
  <c r="Z135" i="31" s="1"/>
  <c r="X21" i="31" a="1"/>
  <c r="X21" i="31" s="1"/>
  <c r="H21" i="31" a="1"/>
  <c r="H21" i="31" s="1"/>
  <c r="AD21" i="31" a="1"/>
  <c r="AD21" i="31" s="1"/>
  <c r="L21" i="31" a="1"/>
  <c r="L21" i="31" s="1"/>
  <c r="AB21" i="31" a="1"/>
  <c r="AB21" i="31" s="1"/>
  <c r="J21" i="31" a="1"/>
  <c r="J21" i="31" s="1"/>
  <c r="F21" i="31"/>
  <c r="E21" i="31"/>
  <c r="Z21" i="31" a="1"/>
  <c r="Z21" i="31" s="1"/>
  <c r="V21" i="31" a="1"/>
  <c r="V21" i="31" s="1"/>
  <c r="AB34" i="31" a="1"/>
  <c r="AB34" i="31" s="1"/>
  <c r="L34" i="31" a="1"/>
  <c r="L34" i="31" s="1"/>
  <c r="T34" i="31" a="1"/>
  <c r="T34" i="31" s="1"/>
  <c r="P34" i="31" a="1"/>
  <c r="P34" i="31" s="1"/>
  <c r="H34" i="31" a="1"/>
  <c r="H34" i="31" s="1"/>
  <c r="Z34" i="31" a="1"/>
  <c r="Z34" i="31" s="1"/>
  <c r="X34" i="31" a="1"/>
  <c r="X34" i="31" s="1"/>
  <c r="R34" i="31" a="1"/>
  <c r="R34" i="31" s="1"/>
  <c r="N34" i="31" a="1"/>
  <c r="N34" i="31" s="1"/>
  <c r="J34" i="31" a="1"/>
  <c r="J34" i="31" s="1"/>
  <c r="H42" i="31" a="1"/>
  <c r="H42" i="31" s="1"/>
  <c r="X42" i="31" a="1"/>
  <c r="X42" i="31" s="1"/>
  <c r="F42" i="31"/>
  <c r="V42" i="31" a="1"/>
  <c r="V42" i="31" s="1"/>
  <c r="L42" i="31" a="1"/>
  <c r="L42" i="31" s="1"/>
  <c r="T42" i="31" a="1"/>
  <c r="T42" i="31" s="1"/>
  <c r="R42" i="31" a="1"/>
  <c r="R42" i="31" s="1"/>
  <c r="N42" i="31" a="1"/>
  <c r="N42" i="31" s="1"/>
  <c r="J42" i="31" a="1"/>
  <c r="J42" i="31" s="1"/>
  <c r="AB54" i="31" a="1"/>
  <c r="AB54" i="31" s="1"/>
  <c r="X57" i="31" a="1"/>
  <c r="X57" i="31" s="1"/>
  <c r="H57" i="31" a="1"/>
  <c r="H57" i="31" s="1"/>
  <c r="F57" i="31"/>
  <c r="N57" i="31" a="1"/>
  <c r="N57" i="31" s="1"/>
  <c r="V57" i="31" a="1"/>
  <c r="V57" i="31" s="1"/>
  <c r="T57" i="31" a="1"/>
  <c r="T57" i="31" s="1"/>
  <c r="E57" i="31"/>
  <c r="AB57" i="31" a="1"/>
  <c r="AB57" i="31" s="1"/>
  <c r="Z57" i="31" a="1"/>
  <c r="Z57" i="31" s="1"/>
  <c r="AD57" i="31" a="1"/>
  <c r="AD57" i="31" s="1"/>
  <c r="H67" i="31" a="1"/>
  <c r="H67" i="31" s="1"/>
  <c r="L70" i="31" a="1"/>
  <c r="L70" i="31" s="1"/>
  <c r="E83" i="31"/>
  <c r="E116" i="31"/>
  <c r="E130" i="31"/>
  <c r="E146" i="31"/>
  <c r="Z6" i="31" a="1"/>
  <c r="Z6" i="31" s="1"/>
  <c r="R6" i="31" a="1"/>
  <c r="R6" i="31" s="1"/>
  <c r="J6" i="31" a="1"/>
  <c r="J6" i="31" s="1"/>
  <c r="AB6" i="31" a="1"/>
  <c r="AB6" i="31" s="1"/>
  <c r="T6" i="31" a="1"/>
  <c r="T6" i="31" s="1"/>
  <c r="H6" i="31" a="1"/>
  <c r="H6" i="31" s="1"/>
  <c r="AD6" i="31" a="1"/>
  <c r="AD6" i="31" s="1"/>
  <c r="P6" i="31" a="1"/>
  <c r="P6" i="31" s="1"/>
  <c r="P21" i="31" a="1"/>
  <c r="P21" i="31" s="1"/>
  <c r="X23" i="31" a="1"/>
  <c r="X23" i="31" s="1"/>
  <c r="V34" i="31" a="1"/>
  <c r="V34" i="31" s="1"/>
  <c r="AB40" i="31" a="1"/>
  <c r="AB40" i="31" s="1"/>
  <c r="AB42" i="31" a="1"/>
  <c r="AB42" i="31" s="1"/>
  <c r="P49" i="31" a="1"/>
  <c r="P49" i="31" s="1"/>
  <c r="R49" i="31" a="1"/>
  <c r="R49" i="31" s="1"/>
  <c r="V49" i="31" a="1"/>
  <c r="V49" i="31" s="1"/>
  <c r="T49" i="31" a="1"/>
  <c r="T49" i="31" s="1"/>
  <c r="J49" i="31" a="1"/>
  <c r="J49" i="31" s="1"/>
  <c r="H49" i="31" a="1"/>
  <c r="H49" i="31" s="1"/>
  <c r="F49" i="31"/>
  <c r="E49" i="31"/>
  <c r="X49" i="31" a="1"/>
  <c r="X49" i="31" s="1"/>
  <c r="N49" i="31" a="1"/>
  <c r="N49" i="31" s="1"/>
  <c r="L49" i="31" a="1"/>
  <c r="L49" i="31" s="1"/>
  <c r="P81" i="31" a="1"/>
  <c r="P81" i="31" s="1"/>
  <c r="T81" i="31" a="1"/>
  <c r="T81" i="31" s="1"/>
  <c r="AB81" i="31" a="1"/>
  <c r="AB81" i="31" s="1"/>
  <c r="H81" i="31" a="1"/>
  <c r="H81" i="31" s="1"/>
  <c r="F81" i="31"/>
  <c r="V81" i="31" a="1"/>
  <c r="V81" i="31" s="1"/>
  <c r="X81" i="31" a="1"/>
  <c r="X81" i="31" s="1"/>
  <c r="AD81" i="31" a="1"/>
  <c r="AD81" i="31" s="1"/>
  <c r="Z81" i="31" a="1"/>
  <c r="Z81" i="31" s="1"/>
  <c r="R81" i="31" a="1"/>
  <c r="R81" i="31" s="1"/>
  <c r="N81" i="31" a="1"/>
  <c r="N81" i="31" s="1"/>
  <c r="AB89" i="31" a="1"/>
  <c r="AB89" i="31" s="1"/>
  <c r="T146" i="31" a="1"/>
  <c r="T146" i="31" s="1"/>
  <c r="X17" i="31" a="1"/>
  <c r="X17" i="31" s="1"/>
  <c r="H17" i="31" a="1"/>
  <c r="H17" i="31" s="1"/>
  <c r="F17" i="31"/>
  <c r="P17" i="31" a="1"/>
  <c r="P17" i="31" s="1"/>
  <c r="N17" i="31" a="1"/>
  <c r="N17" i="31" s="1"/>
  <c r="T17" i="31" a="1"/>
  <c r="T17" i="31" s="1"/>
  <c r="AB17" i="31" a="1"/>
  <c r="AB17" i="31" s="1"/>
  <c r="Z17" i="31" a="1"/>
  <c r="Z17" i="31" s="1"/>
  <c r="P19" i="31" a="1"/>
  <c r="P19" i="31" s="1"/>
  <c r="N19" i="31" a="1"/>
  <c r="N19" i="31" s="1"/>
  <c r="AB19" i="31" a="1"/>
  <c r="AB19" i="31" s="1"/>
  <c r="F19" i="31"/>
  <c r="E19" i="31"/>
  <c r="T19" i="31" a="1"/>
  <c r="T19" i="31" s="1"/>
  <c r="X33" i="31" a="1"/>
  <c r="X33" i="31" s="1"/>
  <c r="H33" i="31" a="1"/>
  <c r="H33" i="31" s="1"/>
  <c r="AD33" i="31" a="1"/>
  <c r="AD33" i="31" s="1"/>
  <c r="L33" i="31" a="1"/>
  <c r="L33" i="31" s="1"/>
  <c r="V33" i="31" a="1"/>
  <c r="V33" i="31" s="1"/>
  <c r="Z33" i="31" a="1"/>
  <c r="Z33" i="31" s="1"/>
  <c r="X100" i="31" a="1"/>
  <c r="X100" i="31" s="1"/>
  <c r="F100" i="31"/>
  <c r="P100" i="31" a="1"/>
  <c r="P100" i="31" s="1"/>
  <c r="L100" i="31" a="1"/>
  <c r="L100" i="31" s="1"/>
  <c r="T100" i="31" a="1"/>
  <c r="T100" i="31" s="1"/>
  <c r="R100" i="31" a="1"/>
  <c r="R100" i="31" s="1"/>
  <c r="V100" i="31" a="1"/>
  <c r="V100" i="31" s="1"/>
  <c r="E100" i="31"/>
  <c r="T134" i="31" a="1"/>
  <c r="T134" i="31" s="1"/>
  <c r="R134" i="31" a="1"/>
  <c r="R134" i="31" s="1"/>
  <c r="AD134" i="31" a="1"/>
  <c r="AD134" i="31" s="1"/>
  <c r="J134" i="31" a="1"/>
  <c r="J134" i="31" s="1"/>
  <c r="X134" i="31" a="1"/>
  <c r="X134" i="31" s="1"/>
  <c r="V134" i="31" a="1"/>
  <c r="V134" i="31" s="1"/>
  <c r="P134" i="31" a="1"/>
  <c r="P134" i="31" s="1"/>
  <c r="F134" i="31"/>
  <c r="AB134" i="31" a="1"/>
  <c r="AB134" i="31" s="1"/>
  <c r="Z134" i="31" a="1"/>
  <c r="Z134" i="31" s="1"/>
  <c r="F11" i="31"/>
  <c r="H19" i="31" a="1"/>
  <c r="H19" i="31" s="1"/>
  <c r="AB26" i="31" a="1"/>
  <c r="AB26" i="31" s="1"/>
  <c r="L26" i="31" a="1"/>
  <c r="L26" i="31" s="1"/>
  <c r="N26" i="31" a="1"/>
  <c r="N26" i="31" s="1"/>
  <c r="R26" i="31" a="1"/>
  <c r="R26" i="31" s="1"/>
  <c r="V26" i="31" a="1"/>
  <c r="V26" i="31" s="1"/>
  <c r="E33" i="31"/>
  <c r="L48" i="31" a="1"/>
  <c r="L48" i="31" s="1"/>
  <c r="AB48" i="31" a="1"/>
  <c r="AB48" i="31" s="1"/>
  <c r="J48" i="31" a="1"/>
  <c r="J48" i="31" s="1"/>
  <c r="AD48" i="31" a="1"/>
  <c r="AD48" i="31" s="1"/>
  <c r="H48" i="31" a="1"/>
  <c r="H48" i="31" s="1"/>
  <c r="Z48" i="31" a="1"/>
  <c r="Z48" i="31" s="1"/>
  <c r="F48" i="31"/>
  <c r="V48" i="31" a="1"/>
  <c r="V48" i="31" s="1"/>
  <c r="Z80" i="31" a="1"/>
  <c r="Z80" i="31" s="1"/>
  <c r="J80" i="31" a="1"/>
  <c r="J80" i="31" s="1"/>
  <c r="AD80" i="31" a="1"/>
  <c r="AD80" i="31" s="1"/>
  <c r="L80" i="31" a="1"/>
  <c r="L80" i="31" s="1"/>
  <c r="P80" i="31" a="1"/>
  <c r="P80" i="31" s="1"/>
  <c r="N80" i="31" a="1"/>
  <c r="N80" i="31" s="1"/>
  <c r="V80" i="31" a="1"/>
  <c r="V80" i="31" s="1"/>
  <c r="H80" i="31" a="1"/>
  <c r="H80" i="31" s="1"/>
  <c r="T80" i="31" a="1"/>
  <c r="T80" i="31" s="1"/>
  <c r="R80" i="31" a="1"/>
  <c r="R80" i="31" s="1"/>
  <c r="T85" i="31" a="1"/>
  <c r="T85" i="31" s="1"/>
  <c r="R85" i="31" a="1"/>
  <c r="R85" i="31" s="1"/>
  <c r="V85" i="31" a="1"/>
  <c r="V85" i="31" s="1"/>
  <c r="P85" i="31" a="1"/>
  <c r="P85" i="31" s="1"/>
  <c r="J85" i="31" a="1"/>
  <c r="J85" i="31" s="1"/>
  <c r="AB85" i="31" a="1"/>
  <c r="AB85" i="31" s="1"/>
  <c r="Z85" i="31" a="1"/>
  <c r="Z85" i="31" s="1"/>
  <c r="H100" i="31" a="1"/>
  <c r="H100" i="31" s="1"/>
  <c r="R105" i="31" a="1"/>
  <c r="R105" i="31" s="1"/>
  <c r="Z105" i="31" a="1"/>
  <c r="Z105" i="31" s="1"/>
  <c r="H105" i="31" a="1"/>
  <c r="H105" i="31" s="1"/>
  <c r="F105" i="31"/>
  <c r="T105" i="31" a="1"/>
  <c r="T105" i="31" s="1"/>
  <c r="P105" i="31" a="1"/>
  <c r="P105" i="31" s="1"/>
  <c r="AB105" i="31" a="1"/>
  <c r="AB105" i="31" s="1"/>
  <c r="X105" i="31" a="1"/>
  <c r="X105" i="31" s="1"/>
  <c r="AD105" i="31" a="1"/>
  <c r="AD105" i="31" s="1"/>
  <c r="E134" i="31"/>
  <c r="T15" i="31" a="1"/>
  <c r="T15" i="31" s="1"/>
  <c r="N15" i="31" a="1"/>
  <c r="N15" i="31" s="1"/>
  <c r="AD15" i="31" a="1"/>
  <c r="AD15" i="31" s="1"/>
  <c r="J15" i="31" a="1"/>
  <c r="J15" i="31" s="1"/>
  <c r="R15" i="31" a="1"/>
  <c r="R15" i="31" s="1"/>
  <c r="H15" i="31" a="1"/>
  <c r="H15" i="31" s="1"/>
  <c r="J17" i="31" a="1"/>
  <c r="J17" i="31" s="1"/>
  <c r="E26" i="31"/>
  <c r="F33" i="31"/>
  <c r="R41" i="31" a="1"/>
  <c r="R41" i="31" s="1"/>
  <c r="L41" i="31" a="1"/>
  <c r="L41" i="31" s="1"/>
  <c r="AD41" i="31" a="1"/>
  <c r="AD41" i="31" s="1"/>
  <c r="J41" i="31" a="1"/>
  <c r="J41" i="31" s="1"/>
  <c r="P41" i="31" a="1"/>
  <c r="P41" i="31" s="1"/>
  <c r="AB41" i="31" a="1"/>
  <c r="AB41" i="31" s="1"/>
  <c r="E41" i="31"/>
  <c r="V41" i="31" a="1"/>
  <c r="V41" i="31" s="1"/>
  <c r="E48" i="31"/>
  <c r="X73" i="31" a="1"/>
  <c r="X73" i="31" s="1"/>
  <c r="H73" i="31" a="1"/>
  <c r="H73" i="31" s="1"/>
  <c r="F73" i="31"/>
  <c r="R73" i="31" a="1"/>
  <c r="R73" i="31" s="1"/>
  <c r="P73" i="31" a="1"/>
  <c r="P73" i="31" s="1"/>
  <c r="L73" i="31" a="1"/>
  <c r="L73" i="31" s="1"/>
  <c r="AB73" i="31" a="1"/>
  <c r="AB73" i="31" s="1"/>
  <c r="J73" i="31" a="1"/>
  <c r="J73" i="31" s="1"/>
  <c r="E80" i="31"/>
  <c r="E85" i="31"/>
  <c r="R88" i="31" a="1"/>
  <c r="R88" i="31" s="1"/>
  <c r="AD88" i="31" a="1"/>
  <c r="AD88" i="31" s="1"/>
  <c r="L88" i="31" a="1"/>
  <c r="L88" i="31" s="1"/>
  <c r="X88" i="31" a="1"/>
  <c r="X88" i="31" s="1"/>
  <c r="V88" i="31" a="1"/>
  <c r="V88" i="31" s="1"/>
  <c r="J88" i="31" a="1"/>
  <c r="J88" i="31" s="1"/>
  <c r="AB88" i="31" a="1"/>
  <c r="AB88" i="31" s="1"/>
  <c r="P88" i="31" a="1"/>
  <c r="P88" i="31" s="1"/>
  <c r="N88" i="31" a="1"/>
  <c r="N88" i="31" s="1"/>
  <c r="N93" i="31" a="1"/>
  <c r="N93" i="31" s="1"/>
  <c r="H93" i="31" a="1"/>
  <c r="H93" i="31" s="1"/>
  <c r="Z93" i="31" a="1"/>
  <c r="Z93" i="31" s="1"/>
  <c r="F93" i="31"/>
  <c r="P93" i="31" a="1"/>
  <c r="P93" i="31" s="1"/>
  <c r="L93" i="31" a="1"/>
  <c r="L93" i="31" s="1"/>
  <c r="E93" i="31"/>
  <c r="J100" i="31" a="1"/>
  <c r="J100" i="31" s="1"/>
  <c r="E105" i="31"/>
  <c r="F122" i="31"/>
  <c r="J122" i="31" a="1"/>
  <c r="J122" i="31" s="1"/>
  <c r="R122" i="31" a="1"/>
  <c r="R122" i="31" s="1"/>
  <c r="L122" i="31" a="1"/>
  <c r="L122" i="31" s="1"/>
  <c r="T122" i="31" a="1"/>
  <c r="T122" i="31" s="1"/>
  <c r="P122" i="31" a="1"/>
  <c r="P122" i="31" s="1"/>
  <c r="N122" i="31" a="1"/>
  <c r="N122" i="31" s="1"/>
  <c r="V122" i="31" a="1"/>
  <c r="V122" i="31" s="1"/>
  <c r="H134" i="31" a="1"/>
  <c r="H134" i="31" s="1"/>
  <c r="AD136" i="31" a="1"/>
  <c r="AD136" i="31" s="1"/>
  <c r="N136" i="31" a="1"/>
  <c r="N136" i="31" s="1"/>
  <c r="T136" i="31" a="1"/>
  <c r="T136" i="31" s="1"/>
  <c r="P136" i="31" a="1"/>
  <c r="P136" i="31" s="1"/>
  <c r="L136" i="31" a="1"/>
  <c r="L136" i="31" s="1"/>
  <c r="R136" i="31" a="1"/>
  <c r="R136" i="31" s="1"/>
  <c r="H136" i="31" a="1"/>
  <c r="H136" i="31" s="1"/>
  <c r="F136" i="31"/>
  <c r="AB139" i="31" a="1"/>
  <c r="AB139" i="31" s="1"/>
  <c r="L139" i="31" a="1"/>
  <c r="L139" i="31" s="1"/>
  <c r="N139" i="31" a="1"/>
  <c r="N139" i="31" s="1"/>
  <c r="J139" i="31" a="1"/>
  <c r="J139" i="31" s="1"/>
  <c r="V139" i="31" a="1"/>
  <c r="V139" i="31" s="1"/>
  <c r="H139" i="31" a="1"/>
  <c r="H139" i="31" s="1"/>
  <c r="F139" i="31"/>
  <c r="R139" i="31" a="1"/>
  <c r="R139" i="31" s="1"/>
  <c r="J19" i="31" a="1"/>
  <c r="J19" i="31" s="1"/>
  <c r="F26" i="31"/>
  <c r="J33" i="31" a="1"/>
  <c r="J33" i="31" s="1"/>
  <c r="F41" i="31"/>
  <c r="R59" i="31" a="1"/>
  <c r="R59" i="31" s="1"/>
  <c r="N59" i="31" a="1"/>
  <c r="N59" i="31" s="1"/>
  <c r="AB59" i="31" a="1"/>
  <c r="AB59" i="31" s="1"/>
  <c r="H59" i="31" a="1"/>
  <c r="H59" i="31" s="1"/>
  <c r="F59" i="31"/>
  <c r="X59" i="31" a="1"/>
  <c r="X59" i="31" s="1"/>
  <c r="P59" i="31" a="1"/>
  <c r="P59" i="31" s="1"/>
  <c r="V59" i="31" a="1"/>
  <c r="V59" i="31" s="1"/>
  <c r="E73" i="31"/>
  <c r="F80" i="31"/>
  <c r="F85" i="31"/>
  <c r="E88" i="31"/>
  <c r="J93" i="31" a="1"/>
  <c r="J93" i="31" s="1"/>
  <c r="J105" i="31" a="1"/>
  <c r="J105" i="31" s="1"/>
  <c r="E122" i="31"/>
  <c r="E136" i="31"/>
  <c r="E139" i="31"/>
  <c r="P15" i="31" a="1"/>
  <c r="P15" i="31" s="1"/>
  <c r="L17" i="31" a="1"/>
  <c r="L17" i="31" s="1"/>
  <c r="H26" i="31" a="1"/>
  <c r="H26" i="31" s="1"/>
  <c r="N33" i="31" a="1"/>
  <c r="N33" i="31" s="1"/>
  <c r="H41" i="31" a="1"/>
  <c r="H41" i="31" s="1"/>
  <c r="N48" i="31" a="1"/>
  <c r="N48" i="31" s="1"/>
  <c r="P65" i="31" a="1"/>
  <c r="P65" i="31" s="1"/>
  <c r="R65" i="31" a="1"/>
  <c r="R65" i="31" s="1"/>
  <c r="AD65" i="31" a="1"/>
  <c r="AD65" i="31" s="1"/>
  <c r="J65" i="31" a="1"/>
  <c r="J65" i="31" s="1"/>
  <c r="AB65" i="31" a="1"/>
  <c r="AB65" i="31" s="1"/>
  <c r="H65" i="31" a="1"/>
  <c r="H65" i="31" s="1"/>
  <c r="F65" i="31"/>
  <c r="X65" i="31" a="1"/>
  <c r="X65" i="31" s="1"/>
  <c r="Z65" i="31" a="1"/>
  <c r="Z65" i="31" s="1"/>
  <c r="N73" i="31" a="1"/>
  <c r="N73" i="31" s="1"/>
  <c r="P78" i="31" a="1"/>
  <c r="P78" i="31" s="1"/>
  <c r="AB78" i="31" a="1"/>
  <c r="AB78" i="31" s="1"/>
  <c r="J78" i="31" a="1"/>
  <c r="J78" i="31" s="1"/>
  <c r="AD78" i="31" a="1"/>
  <c r="AD78" i="31" s="1"/>
  <c r="H78" i="31" a="1"/>
  <c r="H78" i="31" s="1"/>
  <c r="F78" i="31"/>
  <c r="Z78" i="31" a="1"/>
  <c r="Z78" i="31" s="1"/>
  <c r="E78" i="31"/>
  <c r="T78" i="31" a="1"/>
  <c r="T78" i="31" s="1"/>
  <c r="R78" i="31" a="1"/>
  <c r="R78" i="31" s="1"/>
  <c r="H85" i="31" a="1"/>
  <c r="H85" i="31" s="1"/>
  <c r="F88" i="31"/>
  <c r="R93" i="31" a="1"/>
  <c r="R93" i="31" s="1"/>
  <c r="N100" i="31" a="1"/>
  <c r="N100" i="31" s="1"/>
  <c r="L105" i="31" a="1"/>
  <c r="L105" i="31" s="1"/>
  <c r="AB110" i="31" a="1"/>
  <c r="AB110" i="31" s="1"/>
  <c r="J110" i="31" a="1"/>
  <c r="J110" i="31" s="1"/>
  <c r="R110" i="31" a="1"/>
  <c r="R110" i="31" s="1"/>
  <c r="L110" i="31" a="1"/>
  <c r="L110" i="31" s="1"/>
  <c r="Z110" i="31" a="1"/>
  <c r="Z110" i="31" s="1"/>
  <c r="X110" i="31" a="1"/>
  <c r="X110" i="31" s="1"/>
  <c r="N110" i="31" a="1"/>
  <c r="N110" i="31" s="1"/>
  <c r="H122" i="31" a="1"/>
  <c r="H122" i="31" s="1"/>
  <c r="L134" i="31" a="1"/>
  <c r="L134" i="31" s="1"/>
  <c r="J136" i="31" a="1"/>
  <c r="J136" i="31" s="1"/>
  <c r="P139" i="31" a="1"/>
  <c r="P139" i="31" s="1"/>
  <c r="Z148" i="31" a="1"/>
  <c r="Z148" i="31" s="1"/>
  <c r="J148" i="31" a="1"/>
  <c r="J148" i="31" s="1"/>
  <c r="T148" i="31" a="1"/>
  <c r="T148" i="31" s="1"/>
  <c r="P148" i="31" a="1"/>
  <c r="P148" i="31" s="1"/>
  <c r="H148" i="31" a="1"/>
  <c r="H148" i="31" s="1"/>
  <c r="AB148" i="31" a="1"/>
  <c r="AB148" i="31" s="1"/>
  <c r="X148" i="31" a="1"/>
  <c r="X148" i="31" s="1"/>
  <c r="F148" i="31"/>
  <c r="E148" i="31"/>
  <c r="V148" i="31" a="1"/>
  <c r="V148" i="31" s="1"/>
  <c r="R44" i="31" a="1"/>
  <c r="R44" i="31" s="1"/>
  <c r="V44" i="31" a="1"/>
  <c r="V44" i="31" s="1"/>
  <c r="N44" i="31" a="1"/>
  <c r="N44" i="31" s="1"/>
  <c r="AD44" i="31" a="1"/>
  <c r="AD44" i="31" s="1"/>
  <c r="F44" i="31"/>
  <c r="L148" i="31" a="1"/>
  <c r="L148" i="31" s="1"/>
  <c r="E44" i="31"/>
  <c r="H45" i="31" a="1"/>
  <c r="H45" i="31" s="1"/>
  <c r="X45" i="31" a="1"/>
  <c r="X45" i="31" s="1"/>
  <c r="F45" i="31"/>
  <c r="N45" i="31" a="1"/>
  <c r="N45" i="31" s="1"/>
  <c r="L45" i="31" a="1"/>
  <c r="L45" i="31" s="1"/>
  <c r="J45" i="31" a="1"/>
  <c r="J45" i="31" s="1"/>
  <c r="Z45" i="31" a="1"/>
  <c r="Z45" i="31" s="1"/>
  <c r="AD87" i="31" a="1"/>
  <c r="AD87" i="31" s="1"/>
  <c r="N87" i="31" a="1"/>
  <c r="N87" i="31" s="1"/>
  <c r="T87" i="31" a="1"/>
  <c r="T87" i="31" s="1"/>
  <c r="AB87" i="31" a="1"/>
  <c r="AB87" i="31" s="1"/>
  <c r="H87" i="31" a="1"/>
  <c r="H87" i="31" s="1"/>
  <c r="F87" i="31"/>
  <c r="Z87" i="31" a="1"/>
  <c r="Z87" i="31" s="1"/>
  <c r="E87" i="31"/>
  <c r="L87" i="31" a="1"/>
  <c r="L87" i="31" s="1"/>
  <c r="AB107" i="31" a="1"/>
  <c r="AB107" i="31" s="1"/>
  <c r="L107" i="31" a="1"/>
  <c r="L107" i="31" s="1"/>
  <c r="E107" i="31"/>
  <c r="Z107" i="31" a="1"/>
  <c r="Z107" i="31" s="1"/>
  <c r="H107" i="31" a="1"/>
  <c r="H107" i="31" s="1"/>
  <c r="J107" i="31" a="1"/>
  <c r="J107" i="31" s="1"/>
  <c r="AD107" i="31" a="1"/>
  <c r="AD107" i="31" s="1"/>
  <c r="F107" i="31"/>
  <c r="N107" i="31" a="1"/>
  <c r="N107" i="31" s="1"/>
  <c r="T107" i="31" a="1"/>
  <c r="T107" i="31" s="1"/>
  <c r="R118" i="31" a="1"/>
  <c r="R118" i="31" s="1"/>
  <c r="T118" i="31" a="1"/>
  <c r="T118" i="31" s="1"/>
  <c r="N118" i="31" a="1"/>
  <c r="N118" i="31" s="1"/>
  <c r="L118" i="31" a="1"/>
  <c r="L118" i="31" s="1"/>
  <c r="X118" i="31" a="1"/>
  <c r="X118" i="31" s="1"/>
  <c r="H118" i="31" a="1"/>
  <c r="H118" i="31" s="1"/>
  <c r="R121" i="31" a="1"/>
  <c r="R121" i="31" s="1"/>
  <c r="T121" i="31" a="1"/>
  <c r="T121" i="31" s="1"/>
  <c r="Z121" i="31" a="1"/>
  <c r="Z121" i="31" s="1"/>
  <c r="H121" i="31" a="1"/>
  <c r="H121" i="31" s="1"/>
  <c r="P121" i="31" a="1"/>
  <c r="P121" i="31" s="1"/>
  <c r="X121" i="31" a="1"/>
  <c r="X121" i="31" s="1"/>
  <c r="V121" i="31" a="1"/>
  <c r="V121" i="31" s="1"/>
  <c r="L121" i="31" a="1"/>
  <c r="L121" i="31" s="1"/>
  <c r="P127" i="31" a="1"/>
  <c r="P127" i="31" s="1"/>
  <c r="AD127" i="31" a="1"/>
  <c r="AD127" i="31" s="1"/>
  <c r="J127" i="31" a="1"/>
  <c r="J127" i="31" s="1"/>
  <c r="AB127" i="31" a="1"/>
  <c r="AB127" i="31" s="1"/>
  <c r="V127" i="31" a="1"/>
  <c r="V127" i="31" s="1"/>
  <c r="Z127" i="31" a="1"/>
  <c r="Z127" i="31" s="1"/>
  <c r="X127" i="31" a="1"/>
  <c r="X127" i="31" s="1"/>
  <c r="T127" i="31" a="1"/>
  <c r="T127" i="31" s="1"/>
  <c r="L127" i="31" a="1"/>
  <c r="L127" i="31" s="1"/>
  <c r="H44" i="31" a="1"/>
  <c r="H44" i="31" s="1"/>
  <c r="E45" i="31"/>
  <c r="V47" i="31" a="1"/>
  <c r="V47" i="31" s="1"/>
  <c r="E47" i="31"/>
  <c r="T47" i="31" a="1"/>
  <c r="T47" i="31" s="1"/>
  <c r="P47" i="31" a="1"/>
  <c r="P47" i="31" s="1"/>
  <c r="Z47" i="31" a="1"/>
  <c r="Z47" i="31" s="1"/>
  <c r="N47" i="31" a="1"/>
  <c r="N47" i="31" s="1"/>
  <c r="AD71" i="31" a="1"/>
  <c r="AD71" i="31" s="1"/>
  <c r="N71" i="31" a="1"/>
  <c r="N71" i="31" s="1"/>
  <c r="R71" i="31" a="1"/>
  <c r="R71" i="31" s="1"/>
  <c r="AB71" i="31" a="1"/>
  <c r="AB71" i="31" s="1"/>
  <c r="H71" i="31" a="1"/>
  <c r="H71" i="31" s="1"/>
  <c r="F71" i="31"/>
  <c r="P71" i="31" a="1"/>
  <c r="P71" i="31" s="1"/>
  <c r="J87" i="31" a="1"/>
  <c r="J87" i="31" s="1"/>
  <c r="P107" i="31" a="1"/>
  <c r="P107" i="31" s="1"/>
  <c r="E118" i="31"/>
  <c r="E121" i="31"/>
  <c r="E127" i="31"/>
  <c r="N148" i="31" a="1"/>
  <c r="N148" i="31" s="1"/>
  <c r="AD55" i="31" a="1"/>
  <c r="AD55" i="31" s="1"/>
  <c r="N55" i="31" a="1"/>
  <c r="N55" i="31" s="1"/>
  <c r="L55" i="31" a="1"/>
  <c r="L55" i="31" s="1"/>
  <c r="P55" i="31" a="1"/>
  <c r="P55" i="31" s="1"/>
  <c r="AB55" i="31" a="1"/>
  <c r="AB55" i="31" s="1"/>
  <c r="R72" i="31" a="1"/>
  <c r="R72" i="31" s="1"/>
  <c r="Z72" i="31" a="1"/>
  <c r="Z72" i="31" s="1"/>
  <c r="H72" i="31" a="1"/>
  <c r="H72" i="31" s="1"/>
  <c r="X72" i="31" a="1"/>
  <c r="X72" i="31" s="1"/>
  <c r="V72" i="31" a="1"/>
  <c r="V72" i="31" s="1"/>
  <c r="AD72" i="31" a="1"/>
  <c r="AD72" i="31" s="1"/>
  <c r="T99" i="31" a="1"/>
  <c r="T99" i="31" s="1"/>
  <c r="Z99" i="31" a="1"/>
  <c r="Z99" i="31" s="1"/>
  <c r="H99" i="31" a="1"/>
  <c r="H99" i="31" s="1"/>
  <c r="F99" i="31"/>
  <c r="R99" i="31" a="1"/>
  <c r="R99" i="31" s="1"/>
  <c r="V99" i="31" a="1"/>
  <c r="V99" i="31" s="1"/>
  <c r="P99" i="31" a="1"/>
  <c r="P99" i="31" s="1"/>
  <c r="AD117" i="31" a="1"/>
  <c r="AD117" i="31" s="1"/>
  <c r="N117" i="31" a="1"/>
  <c r="N117" i="31" s="1"/>
  <c r="H117" i="31" a="1"/>
  <c r="H117" i="31" s="1"/>
  <c r="Z117" i="31" a="1"/>
  <c r="Z117" i="31" s="1"/>
  <c r="F117" i="31"/>
  <c r="X117" i="31" a="1"/>
  <c r="X117" i="31" s="1"/>
  <c r="R117" i="31" a="1"/>
  <c r="R117" i="31" s="1"/>
  <c r="P117" i="31" a="1"/>
  <c r="P117" i="31" s="1"/>
  <c r="X124" i="31" a="1"/>
  <c r="X124" i="31" s="1"/>
  <c r="F124" i="31"/>
  <c r="R124" i="31" a="1"/>
  <c r="R124" i="31" s="1"/>
  <c r="T124" i="31" a="1"/>
  <c r="T124" i="31" s="1"/>
  <c r="J124" i="31" a="1"/>
  <c r="J124" i="31" s="1"/>
  <c r="AD124" i="31" a="1"/>
  <c r="AD124" i="31" s="1"/>
  <c r="H124" i="31" a="1"/>
  <c r="H124" i="31" s="1"/>
  <c r="R55" i="31" a="1"/>
  <c r="R55" i="31" s="1"/>
  <c r="F76" i="31"/>
  <c r="V76" i="31" a="1"/>
  <c r="V76" i="31" s="1"/>
  <c r="E76" i="31"/>
  <c r="AB76" i="31" a="1"/>
  <c r="AB76" i="31" s="1"/>
  <c r="J76" i="31" a="1"/>
  <c r="J76" i="31" s="1"/>
  <c r="T76" i="31" a="1"/>
  <c r="T76" i="31" s="1"/>
  <c r="R76" i="31" a="1"/>
  <c r="R76" i="31" s="1"/>
  <c r="AB77" i="31" a="1"/>
  <c r="AB77" i="31" s="1"/>
  <c r="L77" i="31" a="1"/>
  <c r="L77" i="31" s="1"/>
  <c r="T77" i="31" a="1"/>
  <c r="T77" i="31" s="1"/>
  <c r="N77" i="31" a="1"/>
  <c r="N77" i="31" s="1"/>
  <c r="AD77" i="31" a="1"/>
  <c r="AD77" i="31" s="1"/>
  <c r="AB92" i="31" a="1"/>
  <c r="AB92" i="31" s="1"/>
  <c r="L92" i="31" a="1"/>
  <c r="L92" i="31" s="1"/>
  <c r="H92" i="31" a="1"/>
  <c r="H92" i="31" s="1"/>
  <c r="X92" i="31" a="1"/>
  <c r="X92" i="31" s="1"/>
  <c r="F92" i="31"/>
  <c r="P92" i="31" a="1"/>
  <c r="P92" i="31" s="1"/>
  <c r="T92" i="31" a="1"/>
  <c r="T92" i="31" s="1"/>
  <c r="R92" i="31" a="1"/>
  <c r="R92" i="31" s="1"/>
  <c r="AD108" i="31" a="1"/>
  <c r="AD108" i="31" s="1"/>
  <c r="R108" i="31" a="1"/>
  <c r="R108" i="31" s="1"/>
  <c r="X108" i="31" a="1"/>
  <c r="X108" i="31" s="1"/>
  <c r="J108" i="31" a="1"/>
  <c r="J108" i="31" s="1"/>
  <c r="H108" i="31" a="1"/>
  <c r="H108" i="31" s="1"/>
  <c r="F108" i="31"/>
  <c r="P124" i="31" a="1"/>
  <c r="P124" i="31" s="1"/>
  <c r="AB22" i="31" a="1"/>
  <c r="AB22" i="31" s="1"/>
  <c r="L22" i="31" a="1"/>
  <c r="L22" i="31" s="1"/>
  <c r="T22" i="31" a="1"/>
  <c r="T22" i="31" s="1"/>
  <c r="R22" i="31" a="1"/>
  <c r="R22" i="31" s="1"/>
  <c r="Z22" i="31" a="1"/>
  <c r="Z22" i="31" s="1"/>
  <c r="Z51" i="31" a="1"/>
  <c r="Z51" i="31" s="1"/>
  <c r="J51" i="31" a="1"/>
  <c r="J51" i="31" s="1"/>
  <c r="N51" i="31" a="1"/>
  <c r="N51" i="31" s="1"/>
  <c r="V51" i="31" a="1"/>
  <c r="V51" i="31" s="1"/>
  <c r="T51" i="31" a="1"/>
  <c r="T51" i="31" s="1"/>
  <c r="AB51" i="31" a="1"/>
  <c r="AB51" i="31" s="1"/>
  <c r="N72" i="31" a="1"/>
  <c r="N72" i="31" s="1"/>
  <c r="E92" i="31"/>
  <c r="AD95" i="31" a="1"/>
  <c r="AD95" i="31" s="1"/>
  <c r="L95" i="31" a="1"/>
  <c r="L95" i="31" s="1"/>
  <c r="J95" i="31" a="1"/>
  <c r="J95" i="31" s="1"/>
  <c r="X95" i="31" a="1"/>
  <c r="X95" i="31" s="1"/>
  <c r="V95" i="31" a="1"/>
  <c r="V95" i="31" s="1"/>
  <c r="N99" i="31" a="1"/>
  <c r="N99" i="31" s="1"/>
  <c r="E108" i="31"/>
  <c r="T117" i="31" a="1"/>
  <c r="T117" i="31" s="1"/>
  <c r="V124" i="31" a="1"/>
  <c r="V124" i="31" s="1"/>
  <c r="R137" i="31" a="1"/>
  <c r="R137" i="31" s="1"/>
  <c r="H137" i="31" a="1"/>
  <c r="H137" i="31" s="1"/>
  <c r="Z137" i="31" a="1"/>
  <c r="Z137" i="31" s="1"/>
  <c r="F137" i="31"/>
  <c r="J137" i="31" a="1"/>
  <c r="J137" i="31" s="1"/>
  <c r="P137" i="31" a="1"/>
  <c r="P137" i="31" s="1"/>
  <c r="N137" i="31" a="1"/>
  <c r="N137" i="31" s="1"/>
  <c r="T53" i="31" a="1"/>
  <c r="T53" i="31" s="1"/>
  <c r="AD53" i="31" a="1"/>
  <c r="AD53" i="31" s="1"/>
  <c r="L53" i="31" a="1"/>
  <c r="L53" i="31" s="1"/>
  <c r="R75" i="31" a="1"/>
  <c r="R75" i="31" s="1"/>
  <c r="T75" i="31" a="1"/>
  <c r="T75" i="31" s="1"/>
  <c r="P114" i="31" a="1"/>
  <c r="P114" i="31" s="1"/>
  <c r="X114" i="31" a="1"/>
  <c r="X114" i="31" s="1"/>
  <c r="X16" i="31" a="1"/>
  <c r="X16" i="31" s="1"/>
  <c r="AB18" i="31" a="1"/>
  <c r="AB18" i="31" s="1"/>
  <c r="L18" i="31" a="1"/>
  <c r="L18" i="31" s="1"/>
  <c r="X18" i="31" a="1"/>
  <c r="X18" i="31" s="1"/>
  <c r="N46" i="31" a="1"/>
  <c r="N46" i="31" s="1"/>
  <c r="AD46" i="31" a="1"/>
  <c r="AD46" i="31" s="1"/>
  <c r="X46" i="31" a="1"/>
  <c r="X46" i="31" s="1"/>
  <c r="E53" i="31"/>
  <c r="Z53" i="31" a="1"/>
  <c r="Z53" i="31" s="1"/>
  <c r="AD68" i="31" a="1"/>
  <c r="AD68" i="31" s="1"/>
  <c r="N68" i="31" a="1"/>
  <c r="N68" i="31" s="1"/>
  <c r="F68" i="31"/>
  <c r="X68" i="31" a="1"/>
  <c r="X68" i="31" s="1"/>
  <c r="E68" i="31"/>
  <c r="E75" i="31"/>
  <c r="Z75" i="31" a="1"/>
  <c r="Z75" i="31" s="1"/>
  <c r="AD84" i="31" a="1"/>
  <c r="AD84" i="31" s="1"/>
  <c r="N84" i="31" a="1"/>
  <c r="N84" i="31" s="1"/>
  <c r="AB84" i="31" a="1"/>
  <c r="AB84" i="31" s="1"/>
  <c r="J84" i="31" a="1"/>
  <c r="J84" i="31" s="1"/>
  <c r="V109" i="31" a="1"/>
  <c r="V109" i="31" s="1"/>
  <c r="E109" i="31"/>
  <c r="T109" i="31" a="1"/>
  <c r="T109" i="31" s="1"/>
  <c r="AB109" i="31" a="1"/>
  <c r="AB109" i="31" s="1"/>
  <c r="J109" i="31" a="1"/>
  <c r="J109" i="31" s="1"/>
  <c r="P109" i="31" a="1"/>
  <c r="P109" i="31" s="1"/>
  <c r="AD109" i="31" a="1"/>
  <c r="AD109" i="31" s="1"/>
  <c r="Z113" i="31" a="1"/>
  <c r="Z113" i="31" s="1"/>
  <c r="J113" i="31" a="1"/>
  <c r="J113" i="31" s="1"/>
  <c r="N113" i="31" a="1"/>
  <c r="N113" i="31" s="1"/>
  <c r="F113" i="31"/>
  <c r="X113" i="31" a="1"/>
  <c r="X113" i="31" s="1"/>
  <c r="E113" i="31"/>
  <c r="AD113" i="31" a="1"/>
  <c r="AD113" i="31" s="1"/>
  <c r="H113" i="31" a="1"/>
  <c r="H113" i="31" s="1"/>
  <c r="E114" i="31"/>
  <c r="AB114" i="31" a="1"/>
  <c r="AB114" i="31" s="1"/>
  <c r="V125" i="31" a="1"/>
  <c r="V125" i="31" s="1"/>
  <c r="E125" i="31"/>
  <c r="N125" i="31" a="1"/>
  <c r="N125" i="31" s="1"/>
  <c r="AB125" i="31" a="1"/>
  <c r="AB125" i="31" s="1"/>
  <c r="J125" i="31" a="1"/>
  <c r="J125" i="31" s="1"/>
  <c r="AD125" i="31" a="1"/>
  <c r="AD125" i="31" s="1"/>
  <c r="F16" i="31"/>
  <c r="F18" i="31"/>
  <c r="X25" i="31" a="1"/>
  <c r="X25" i="31" s="1"/>
  <c r="H25" i="31" a="1"/>
  <c r="H25" i="31" s="1"/>
  <c r="X38" i="31" a="1"/>
  <c r="X38" i="31" s="1"/>
  <c r="E46" i="31"/>
  <c r="F53" i="31"/>
  <c r="H68" i="31" a="1"/>
  <c r="H68" i="31" s="1"/>
  <c r="AB68" i="31" a="1"/>
  <c r="AB68" i="31" s="1"/>
  <c r="F75" i="31"/>
  <c r="E84" i="31"/>
  <c r="Z84" i="31" a="1"/>
  <c r="Z84" i="31" s="1"/>
  <c r="F109" i="31"/>
  <c r="F114" i="31"/>
  <c r="AD120" i="31" a="1"/>
  <c r="AD120" i="31" s="1"/>
  <c r="L120" i="31" a="1"/>
  <c r="L120" i="31" s="1"/>
  <c r="R120" i="31" a="1"/>
  <c r="R120" i="31" s="1"/>
  <c r="X120" i="31" a="1"/>
  <c r="X120" i="31" s="1"/>
  <c r="F125" i="31"/>
  <c r="R126" i="31" a="1"/>
  <c r="R126" i="31" s="1"/>
  <c r="H126" i="31" a="1"/>
  <c r="H126" i="31" s="1"/>
  <c r="AB126" i="31" a="1"/>
  <c r="AB126" i="31" s="1"/>
  <c r="F126" i="31"/>
  <c r="AD126" i="31" a="1"/>
  <c r="AD126" i="31" s="1"/>
  <c r="F141" i="31"/>
  <c r="V141" i="31" a="1"/>
  <c r="V141" i="31" s="1"/>
  <c r="E141" i="31"/>
  <c r="P141" i="31" a="1"/>
  <c r="P141" i="31" s="1"/>
  <c r="J141" i="31" a="1"/>
  <c r="J141" i="31" s="1"/>
  <c r="AD141" i="31" a="1"/>
  <c r="AD141" i="31" s="1"/>
  <c r="P143" i="31" a="1"/>
  <c r="P143" i="31" s="1"/>
  <c r="V143" i="31" a="1"/>
  <c r="V143" i="31" s="1"/>
  <c r="X143" i="31" a="1"/>
  <c r="X143" i="31" s="1"/>
  <c r="AB143" i="31" a="1"/>
  <c r="AB143" i="31" s="1"/>
  <c r="V36" i="31" a="1"/>
  <c r="V36" i="31" s="1"/>
  <c r="AB58" i="31" a="1"/>
  <c r="AB58" i="31" s="1"/>
  <c r="L58" i="31" a="1"/>
  <c r="L58" i="31" s="1"/>
  <c r="F60" i="31"/>
  <c r="V60" i="31" a="1"/>
  <c r="V60" i="31" s="1"/>
  <c r="E60" i="31"/>
  <c r="AD101" i="31" a="1"/>
  <c r="AD101" i="31" s="1"/>
  <c r="N101" i="31" a="1"/>
  <c r="N101" i="31" s="1"/>
  <c r="Z101" i="31" a="1"/>
  <c r="Z101" i="31" s="1"/>
  <c r="H101" i="31" a="1"/>
  <c r="H101" i="31" s="1"/>
  <c r="F101" i="31"/>
  <c r="AD133" i="31" a="1"/>
  <c r="AD133" i="31" s="1"/>
  <c r="N133" i="31" a="1"/>
  <c r="N133" i="31" s="1"/>
  <c r="R133" i="31" a="1"/>
  <c r="R133" i="31" s="1"/>
  <c r="Z133" i="31" a="1"/>
  <c r="Z133" i="31" s="1"/>
  <c r="AB142" i="31" a="1"/>
  <c r="AB142" i="31" s="1"/>
  <c r="L142" i="31" a="1"/>
  <c r="L142" i="31" s="1"/>
  <c r="V142" i="31" a="1"/>
  <c r="V142" i="31" s="1"/>
  <c r="AD142" i="31" a="1"/>
  <c r="AD142" i="31" s="1"/>
  <c r="H142" i="31" a="1"/>
  <c r="H142" i="31" s="1"/>
  <c r="Z142" i="31" a="1"/>
  <c r="Z142" i="31" s="1"/>
  <c r="V52" i="31" a="1"/>
  <c r="V52" i="31" s="1"/>
  <c r="E56" i="31"/>
  <c r="X56" i="31" a="1"/>
  <c r="X56" i="31" s="1"/>
  <c r="E58" i="31"/>
  <c r="X58" i="31" a="1"/>
  <c r="X58" i="31" s="1"/>
  <c r="H60" i="31" a="1"/>
  <c r="H60" i="31" s="1"/>
  <c r="Z60" i="31" a="1"/>
  <c r="Z60" i="31" s="1"/>
  <c r="X91" i="31" a="1"/>
  <c r="X91" i="31" s="1"/>
  <c r="P96" i="31" a="1"/>
  <c r="P96" i="31" s="1"/>
  <c r="T96" i="31" a="1"/>
  <c r="T96" i="31" s="1"/>
  <c r="X96" i="31" a="1"/>
  <c r="X96" i="31" s="1"/>
  <c r="J98" i="31" a="1"/>
  <c r="J98" i="31" s="1"/>
  <c r="P98" i="31" a="1"/>
  <c r="P98" i="31" s="1"/>
  <c r="E101" i="31"/>
  <c r="AB101" i="31" a="1"/>
  <c r="AB101" i="31" s="1"/>
  <c r="P111" i="31" a="1"/>
  <c r="P111" i="31" s="1"/>
  <c r="R111" i="31" a="1"/>
  <c r="R111" i="31" s="1"/>
  <c r="AB111" i="31" a="1"/>
  <c r="AB111" i="31" s="1"/>
  <c r="J111" i="31" a="1"/>
  <c r="J111" i="31" s="1"/>
  <c r="AB123" i="31" a="1"/>
  <c r="AB123" i="31" s="1"/>
  <c r="L123" i="31" a="1"/>
  <c r="L123" i="31" s="1"/>
  <c r="Z123" i="31" a="1"/>
  <c r="Z123" i="31" s="1"/>
  <c r="H123" i="31" a="1"/>
  <c r="H123" i="31" s="1"/>
  <c r="Z129" i="31" a="1"/>
  <c r="Z129" i="31" s="1"/>
  <c r="J129" i="31" a="1"/>
  <c r="J129" i="31" s="1"/>
  <c r="AB129" i="31" a="1"/>
  <c r="AB129" i="31" s="1"/>
  <c r="H129" i="31" a="1"/>
  <c r="H129" i="31" s="1"/>
  <c r="L129" i="31" a="1"/>
  <c r="L129" i="31" s="1"/>
  <c r="AD129" i="31" a="1"/>
  <c r="AD129" i="31" s="1"/>
  <c r="E133" i="31"/>
  <c r="AB133" i="31" a="1"/>
  <c r="AB133" i="31" s="1"/>
  <c r="X138" i="31" a="1"/>
  <c r="X138" i="31" s="1"/>
  <c r="H138" i="31" a="1"/>
  <c r="H138" i="31" s="1"/>
  <c r="F138" i="31"/>
  <c r="T138" i="31" a="1"/>
  <c r="T138" i="31" s="1"/>
  <c r="R138" i="31" a="1"/>
  <c r="R138" i="31" s="1"/>
  <c r="AB138" i="31" a="1"/>
  <c r="AB138" i="31" s="1"/>
  <c r="E142" i="31"/>
  <c r="AD149" i="31" a="1"/>
  <c r="AD149" i="31" s="1"/>
  <c r="N149" i="31" a="1"/>
  <c r="N149" i="31" s="1"/>
  <c r="AB149" i="31" a="1"/>
  <c r="AB149" i="31" s="1"/>
  <c r="H149" i="31" a="1"/>
  <c r="H149" i="31" s="1"/>
  <c r="Z149" i="31" a="1"/>
  <c r="Z149" i="31" s="1"/>
  <c r="Z132" i="31" a="1"/>
  <c r="Z132" i="31" s="1"/>
  <c r="J132" i="31" a="1"/>
  <c r="J132" i="31" s="1"/>
  <c r="R132" i="31" a="1"/>
  <c r="R132" i="31" s="1"/>
  <c r="X132" i="31" a="1"/>
  <c r="X132" i="31" s="1"/>
  <c r="R140" i="31" a="1"/>
  <c r="R140" i="31" s="1"/>
  <c r="V140" i="31" a="1"/>
  <c r="V140" i="31" s="1"/>
  <c r="X140" i="31" a="1"/>
  <c r="X140" i="31" s="1"/>
  <c r="E63" i="31"/>
  <c r="E79" i="31"/>
  <c r="V94" i="31" a="1"/>
  <c r="V94" i="31" s="1"/>
  <c r="E94" i="31"/>
  <c r="E132" i="31"/>
  <c r="E140" i="31"/>
  <c r="X119" i="31" a="1"/>
  <c r="X119" i="31" s="1"/>
  <c r="H119" i="31" a="1"/>
  <c r="H119" i="31" s="1"/>
  <c r="V119" i="31" a="1"/>
  <c r="V119" i="31" s="1"/>
  <c r="AD17" i="30" a="1"/>
  <c r="AD17" i="30" s="1"/>
  <c r="J50" i="30" a="1"/>
  <c r="J50" i="30" s="1"/>
  <c r="P50" i="30" a="1"/>
  <c r="P50" i="30" s="1"/>
  <c r="R66" i="30" a="1"/>
  <c r="R66" i="30" s="1"/>
  <c r="H50" i="30" a="1"/>
  <c r="H50" i="30" s="1"/>
  <c r="E50" i="30"/>
  <c r="V66" i="30" a="1"/>
  <c r="V66" i="30" s="1"/>
  <c r="Z35" i="30" a="1"/>
  <c r="Z35" i="30" s="1"/>
  <c r="N67" i="30" a="1"/>
  <c r="N67" i="30" s="1"/>
  <c r="R82" i="30" a="1"/>
  <c r="R82" i="30" s="1"/>
  <c r="M8" i="1"/>
  <c r="O3" i="1"/>
  <c r="O5" i="1"/>
  <c r="J150" i="30" a="1"/>
  <c r="J150" i="30" s="1"/>
  <c r="Z6" i="30" a="1"/>
  <c r="Z6" i="30" s="1"/>
  <c r="AB49" i="30" a="1"/>
  <c r="AB49" i="30" s="1"/>
  <c r="V49" i="30" a="1"/>
  <c r="V49" i="30" s="1"/>
  <c r="N81" i="30" a="1"/>
  <c r="N81" i="30" s="1"/>
  <c r="Z82" i="30" a="1"/>
  <c r="Z82" i="30" s="1"/>
  <c r="T81" i="30" a="1"/>
  <c r="T81" i="30" s="1"/>
  <c r="AB81" i="30" a="1"/>
  <c r="AB81" i="30" s="1"/>
  <c r="AB112" i="30" a="1"/>
  <c r="AB112" i="30" s="1"/>
  <c r="V82" i="30" a="1"/>
  <c r="V82" i="30" s="1"/>
  <c r="F98" i="30"/>
  <c r="T98" i="30" a="1"/>
  <c r="T98" i="30" s="1"/>
  <c r="R50" i="30" a="1"/>
  <c r="R50" i="30" s="1"/>
  <c r="V98" i="30" a="1"/>
  <c r="V98" i="30" s="1"/>
  <c r="L66" i="30" a="1"/>
  <c r="L66" i="30" s="1"/>
  <c r="Z99" i="30" a="1"/>
  <c r="Z99" i="30" s="1"/>
  <c r="AD14" i="30" a="1"/>
  <c r="AD14" i="30" s="1"/>
  <c r="AB14" i="30" a="1"/>
  <c r="AB14" i="30" s="1"/>
  <c r="J28" i="30" a="1"/>
  <c r="J28" i="30" s="1"/>
  <c r="L28" i="30" a="1"/>
  <c r="L28" i="30" s="1"/>
  <c r="Z28" i="30" a="1"/>
  <c r="Z28" i="30" s="1"/>
  <c r="R62" i="30" a="1"/>
  <c r="R62" i="30" s="1"/>
  <c r="H98" i="30" a="1"/>
  <c r="H98" i="30" s="1"/>
  <c r="F44" i="30"/>
  <c r="X76" i="30" a="1"/>
  <c r="X76" i="30" s="1"/>
  <c r="J126" i="30" a="1"/>
  <c r="J126" i="30" s="1"/>
  <c r="P126" i="30" a="1"/>
  <c r="P126" i="30" s="1"/>
  <c r="F18" i="30"/>
  <c r="J83" i="30" a="1"/>
  <c r="J83" i="30" s="1"/>
  <c r="P68" i="30" a="1"/>
  <c r="P68" i="30" s="1"/>
  <c r="J15" i="30" a="1"/>
  <c r="J15" i="30" s="1"/>
  <c r="AB20" i="30" a="1"/>
  <c r="AB20" i="30" s="1"/>
  <c r="N36" i="30" a="1"/>
  <c r="N36" i="30" s="1"/>
  <c r="V68" i="30" a="1"/>
  <c r="V68" i="30" s="1"/>
  <c r="H84" i="30" a="1"/>
  <c r="H84" i="30" s="1"/>
  <c r="X36" i="30" a="1"/>
  <c r="X36" i="30" s="1"/>
  <c r="J114" i="30" a="1"/>
  <c r="J114" i="30" s="1"/>
  <c r="L20" i="30" a="1"/>
  <c r="L20" i="30" s="1"/>
  <c r="J36" i="30" a="1"/>
  <c r="J36" i="30" s="1"/>
  <c r="N68" i="30" a="1"/>
  <c r="N68" i="30" s="1"/>
  <c r="P83" i="30" a="1"/>
  <c r="P83" i="30" s="1"/>
  <c r="V15" i="30" a="1"/>
  <c r="V15" i="30" s="1"/>
  <c r="L15" i="30" a="1"/>
  <c r="L15" i="30" s="1"/>
  <c r="P36" i="30" a="1"/>
  <c r="P36" i="30" s="1"/>
  <c r="L64" i="30" a="1"/>
  <c r="L64" i="30" s="1"/>
  <c r="J69" i="30" a="1"/>
  <c r="J69" i="30" s="1"/>
  <c r="L84" i="30" a="1"/>
  <c r="L84" i="30" s="1"/>
  <c r="Z20" i="30" a="1"/>
  <c r="Z20" i="30" s="1"/>
  <c r="J116" i="30" a="1"/>
  <c r="J116" i="30" s="1"/>
  <c r="R15" i="30" a="1"/>
  <c r="R15" i="30" s="1"/>
  <c r="P33" i="30" a="1"/>
  <c r="P33" i="30" s="1"/>
  <c r="Z36" i="30" a="1"/>
  <c r="Z36" i="30" s="1"/>
  <c r="J49" i="30" a="1"/>
  <c r="J49" i="30" s="1"/>
  <c r="P64" i="30" a="1"/>
  <c r="P64" i="30" s="1"/>
  <c r="L69" i="30" a="1"/>
  <c r="L69" i="30" s="1"/>
  <c r="P97" i="30" a="1"/>
  <c r="P97" i="30" s="1"/>
  <c r="E132" i="30"/>
  <c r="L36" i="30" a="1"/>
  <c r="L36" i="30" s="1"/>
  <c r="X84" i="30" a="1"/>
  <c r="X84" i="30" s="1"/>
  <c r="Z15" i="30" a="1"/>
  <c r="Z15" i="30" s="1"/>
  <c r="AB36" i="30" a="1"/>
  <c r="AB36" i="30" s="1"/>
  <c r="E49" i="30"/>
  <c r="R64" i="30" a="1"/>
  <c r="R64" i="30" s="1"/>
  <c r="P69" i="30" a="1"/>
  <c r="P69" i="30" s="1"/>
  <c r="R97" i="30" a="1"/>
  <c r="R97" i="30" s="1"/>
  <c r="H132" i="30" a="1"/>
  <c r="H132" i="30" s="1"/>
  <c r="R68" i="30" a="1"/>
  <c r="R68" i="30" s="1"/>
  <c r="X34" i="30" a="1"/>
  <c r="X34" i="30" s="1"/>
  <c r="P49" i="30" a="1"/>
  <c r="P49" i="30" s="1"/>
  <c r="T64" i="30" a="1"/>
  <c r="T64" i="30" s="1"/>
  <c r="AD97" i="30" a="1"/>
  <c r="AD97" i="30" s="1"/>
  <c r="T137" i="30" a="1"/>
  <c r="T137" i="30" s="1"/>
  <c r="E68" i="30"/>
  <c r="F68" i="30"/>
  <c r="N98" i="30" a="1"/>
  <c r="N98" i="30" s="1"/>
  <c r="P146" i="30" a="1"/>
  <c r="P146" i="30" s="1"/>
  <c r="R79" i="30" a="1"/>
  <c r="R79" i="30" s="1"/>
  <c r="X91" i="30" a="1"/>
  <c r="X91" i="30" s="1"/>
  <c r="X126" i="30" a="1"/>
  <c r="X126" i="30" s="1"/>
  <c r="X15" i="30" a="1"/>
  <c r="X15" i="30" s="1"/>
  <c r="L44" i="30" a="1"/>
  <c r="L44" i="30" s="1"/>
  <c r="AD67" i="30" a="1"/>
  <c r="AD67" i="30" s="1"/>
  <c r="AB79" i="30" a="1"/>
  <c r="AB79" i="30" s="1"/>
  <c r="F96" i="30"/>
  <c r="AB99" i="30" a="1"/>
  <c r="AB99" i="30" s="1"/>
  <c r="AD126" i="30" a="1"/>
  <c r="AD126" i="30" s="1"/>
  <c r="P150" i="30" a="1"/>
  <c r="P150" i="30" s="1"/>
  <c r="H96" i="30" a="1"/>
  <c r="H96" i="30" s="1"/>
  <c r="AD109" i="30" a="1"/>
  <c r="AD109" i="30" s="1"/>
  <c r="Z128" i="30" a="1"/>
  <c r="Z128" i="30" s="1"/>
  <c r="F128" i="30"/>
  <c r="AB15" i="30" a="1"/>
  <c r="AB15" i="30" s="1"/>
  <c r="L96" i="30" a="1"/>
  <c r="L96" i="30" s="1"/>
  <c r="J109" i="30" a="1"/>
  <c r="J109" i="30" s="1"/>
  <c r="N14" i="30" a="1"/>
  <c r="N14" i="30" s="1"/>
  <c r="AD15" i="30" a="1"/>
  <c r="AD15" i="30" s="1"/>
  <c r="X62" i="30" a="1"/>
  <c r="X62" i="30" s="1"/>
  <c r="P96" i="30" a="1"/>
  <c r="P96" i="30" s="1"/>
  <c r="J112" i="30" a="1"/>
  <c r="J112" i="30" s="1"/>
  <c r="J128" i="30" a="1"/>
  <c r="J128" i="30" s="1"/>
  <c r="P14" i="30" a="1"/>
  <c r="P14" i="30" s="1"/>
  <c r="N112" i="30" a="1"/>
  <c r="N112" i="30" s="1"/>
  <c r="X14" i="30" a="1"/>
  <c r="X14" i="30" s="1"/>
  <c r="R112" i="30" a="1"/>
  <c r="R112" i="30" s="1"/>
  <c r="AB128" i="30" a="1"/>
  <c r="AB128" i="30" s="1"/>
  <c r="N128" i="30" a="1"/>
  <c r="N128" i="30" s="1"/>
  <c r="P82" i="30" a="1"/>
  <c r="P82" i="30" s="1"/>
  <c r="AD128" i="30" a="1"/>
  <c r="AD128" i="30" s="1"/>
  <c r="X144" i="30" a="1"/>
  <c r="X144" i="30" s="1"/>
  <c r="Z144" i="30" a="1"/>
  <c r="Z144" i="30" s="1"/>
  <c r="N15" i="30" a="1"/>
  <c r="N15" i="30" s="1"/>
  <c r="H79" i="30" a="1"/>
  <c r="H79" i="30" s="1"/>
  <c r="T126" i="30" a="1"/>
  <c r="T126" i="30" s="1"/>
  <c r="Z29" i="30" a="1"/>
  <c r="Z29" i="30" s="1"/>
  <c r="L79" i="30" a="1"/>
  <c r="L79" i="30" s="1"/>
  <c r="V126" i="30" a="1"/>
  <c r="V126" i="30" s="1"/>
  <c r="AD147" i="30" a="1"/>
  <c r="AD147" i="30" s="1"/>
  <c r="AD44" i="30" a="1"/>
  <c r="AD44" i="30" s="1"/>
  <c r="Z118" i="30" a="1"/>
  <c r="Z118" i="30" s="1"/>
  <c r="R135" i="30" a="1"/>
  <c r="R135" i="30" s="1"/>
  <c r="V138" i="30" a="1"/>
  <c r="V138" i="30" s="1"/>
  <c r="N106" i="30" a="1"/>
  <c r="N106" i="30" s="1"/>
  <c r="F146" i="30"/>
  <c r="H69" i="30" a="1"/>
  <c r="H69" i="30" s="1"/>
  <c r="L111" i="30" a="1"/>
  <c r="L111" i="30" s="1"/>
  <c r="X127" i="30" a="1"/>
  <c r="X127" i="30" s="1"/>
  <c r="N146" i="30" a="1"/>
  <c r="N146" i="30" s="1"/>
  <c r="R76" i="30" a="1"/>
  <c r="R76" i="30" s="1"/>
  <c r="V89" i="30" a="1"/>
  <c r="V89" i="30" s="1"/>
  <c r="F141" i="30"/>
  <c r="F45" i="30"/>
  <c r="R109" i="30" a="1"/>
  <c r="R109" i="30" s="1"/>
  <c r="R124" i="30" a="1"/>
  <c r="R124" i="30" s="1"/>
  <c r="AB28" i="30" a="1"/>
  <c r="AB28" i="30" s="1"/>
  <c r="R55" i="30" a="1"/>
  <c r="R55" i="30" s="1"/>
  <c r="T73" i="30" a="1"/>
  <c r="T73" i="30" s="1"/>
  <c r="R110" i="30" a="1"/>
  <c r="R110" i="30" s="1"/>
  <c r="V125" i="30" a="1"/>
  <c r="V125" i="30" s="1"/>
  <c r="N142" i="30" a="1"/>
  <c r="N142" i="30" s="1"/>
  <c r="AD28" i="30" a="1"/>
  <c r="AD28" i="30" s="1"/>
  <c r="N109" i="30" a="1"/>
  <c r="N109" i="30" s="1"/>
  <c r="AB141" i="30" a="1"/>
  <c r="AB141" i="30" s="1"/>
  <c r="T110" i="30" a="1"/>
  <c r="T110" i="30" s="1"/>
  <c r="F55" i="30"/>
  <c r="L142" i="30" a="1"/>
  <c r="L142" i="30" s="1"/>
  <c r="Z58" i="30" a="1"/>
  <c r="Z58" i="30" s="1"/>
  <c r="AD76" i="30" a="1"/>
  <c r="AD76" i="30" s="1"/>
  <c r="E105" i="30"/>
  <c r="V111" i="30" a="1"/>
  <c r="V111" i="30" s="1"/>
  <c r="J125" i="30" a="1"/>
  <c r="J125" i="30" s="1"/>
  <c r="R142" i="30" a="1"/>
  <c r="R142" i="30" s="1"/>
  <c r="J142" i="30" a="1"/>
  <c r="J142" i="30" s="1"/>
  <c r="V73" i="30" a="1"/>
  <c r="V73" i="30" s="1"/>
  <c r="V105" i="30" a="1"/>
  <c r="V105" i="30" s="1"/>
  <c r="H125" i="30" a="1"/>
  <c r="H125" i="30" s="1"/>
  <c r="P142" i="30" a="1"/>
  <c r="P142" i="30" s="1"/>
  <c r="N29" i="30" a="1"/>
  <c r="N29" i="30" s="1"/>
  <c r="V41" i="30" a="1"/>
  <c r="V41" i="30" s="1"/>
  <c r="F58" i="30"/>
  <c r="H76" i="30" a="1"/>
  <c r="H76" i="30" s="1"/>
  <c r="F105" i="30"/>
  <c r="AD111" i="30" a="1"/>
  <c r="AD111" i="30" s="1"/>
  <c r="R125" i="30" a="1"/>
  <c r="R125" i="30" s="1"/>
  <c r="AB142" i="30" a="1"/>
  <c r="AB142" i="30" s="1"/>
  <c r="P29" i="30" a="1"/>
  <c r="P29" i="30" s="1"/>
  <c r="J41" i="30" a="1"/>
  <c r="J41" i="30" s="1"/>
  <c r="J58" i="30" a="1"/>
  <c r="J58" i="30" s="1"/>
  <c r="J76" i="30" a="1"/>
  <c r="J76" i="30" s="1"/>
  <c r="N105" i="30" a="1"/>
  <c r="N105" i="30" s="1"/>
  <c r="F126" i="30"/>
  <c r="X29" i="30" a="1"/>
  <c r="X29" i="30" s="1"/>
  <c r="AD58" i="30" a="1"/>
  <c r="AD58" i="30" s="1"/>
  <c r="AD83" i="30" a="1"/>
  <c r="AD83" i="30" s="1"/>
  <c r="T105" i="30" a="1"/>
  <c r="T105" i="30" s="1"/>
  <c r="Z134" i="30" a="1"/>
  <c r="Z134" i="30" s="1"/>
  <c r="T106" i="30" a="1"/>
  <c r="T106" i="30" s="1"/>
  <c r="E137" i="30"/>
  <c r="AD137" i="30" a="1"/>
  <c r="AD137" i="30" s="1"/>
  <c r="X56" i="30" a="1"/>
  <c r="X56" i="30" s="1"/>
  <c r="AB69" i="30" a="1"/>
  <c r="AB69" i="30" s="1"/>
  <c r="AB104" i="30" a="1"/>
  <c r="AB104" i="30" s="1"/>
  <c r="T119" i="30" a="1"/>
  <c r="T119" i="30" s="1"/>
  <c r="L119" i="30" a="1"/>
  <c r="L119" i="30" s="1"/>
  <c r="V55" i="30" a="1"/>
  <c r="V55" i="30" s="1"/>
  <c r="L85" i="30" a="1"/>
  <c r="L85" i="30" s="1"/>
  <c r="N119" i="30" a="1"/>
  <c r="N119" i="30" s="1"/>
  <c r="P132" i="30" a="1"/>
  <c r="P132" i="30" s="1"/>
  <c r="X138" i="30" a="1"/>
  <c r="X138" i="30" s="1"/>
  <c r="R104" i="30" a="1"/>
  <c r="R104" i="30" s="1"/>
  <c r="F21" i="30"/>
  <c r="J72" i="30" a="1"/>
  <c r="J72" i="30" s="1"/>
  <c r="R85" i="30" a="1"/>
  <c r="R85" i="30" s="1"/>
  <c r="V132" i="30" a="1"/>
  <c r="V132" i="30" s="1"/>
  <c r="R139" i="30" a="1"/>
  <c r="R139" i="30" s="1"/>
  <c r="L146" i="30" a="1"/>
  <c r="L146" i="30" s="1"/>
  <c r="T21" i="30" a="1"/>
  <c r="T21" i="30" s="1"/>
  <c r="T72" i="30" a="1"/>
  <c r="T72" i="30" s="1"/>
  <c r="AB85" i="30" a="1"/>
  <c r="AB85" i="30" s="1"/>
  <c r="T120" i="30" a="1"/>
  <c r="T120" i="30" s="1"/>
  <c r="X132" i="30" a="1"/>
  <c r="X132" i="30" s="1"/>
  <c r="J139" i="30" a="1"/>
  <c r="J139" i="30" s="1"/>
  <c r="J120" i="30" a="1"/>
  <c r="J120" i="30" s="1"/>
  <c r="Z132" i="30" a="1"/>
  <c r="Z132" i="30" s="1"/>
  <c r="X54" i="30" a="1"/>
  <c r="X54" i="30" s="1"/>
  <c r="L120" i="30" a="1"/>
  <c r="L120" i="30" s="1"/>
  <c r="T133" i="30" a="1"/>
  <c r="T133" i="30" s="1"/>
  <c r="E141" i="30"/>
  <c r="R146" i="30" a="1"/>
  <c r="R146" i="30" s="1"/>
  <c r="V40" i="30" a="1"/>
  <c r="V40" i="30" s="1"/>
  <c r="F54" i="30"/>
  <c r="H91" i="30" a="1"/>
  <c r="H91" i="30" s="1"/>
  <c r="R120" i="30" a="1"/>
  <c r="R120" i="30" s="1"/>
  <c r="H54" i="30" a="1"/>
  <c r="H54" i="30" s="1"/>
  <c r="P106" i="30" a="1"/>
  <c r="P106" i="30" s="1"/>
  <c r="AD120" i="30" a="1"/>
  <c r="AD120" i="30" s="1"/>
  <c r="X134" i="30" a="1"/>
  <c r="X134" i="30" s="1"/>
  <c r="L141" i="30" a="1"/>
  <c r="L141" i="30" s="1"/>
  <c r="J134" i="30" a="1"/>
  <c r="J134" i="30" s="1"/>
  <c r="Z54" i="30" a="1"/>
  <c r="Z54" i="30" s="1"/>
  <c r="R107" i="30" a="1"/>
  <c r="R107" i="30" s="1"/>
  <c r="E123" i="30"/>
  <c r="P134" i="30" a="1"/>
  <c r="P134" i="30" s="1"/>
  <c r="N55" i="30" a="1"/>
  <c r="N55" i="30" s="1"/>
  <c r="F83" i="30"/>
  <c r="R99" i="30" a="1"/>
  <c r="R99" i="30" s="1"/>
  <c r="F150" i="30"/>
  <c r="F19" i="30"/>
  <c r="T19" i="30" a="1"/>
  <c r="T19" i="30" s="1"/>
  <c r="X6" i="30" a="1"/>
  <c r="X6" i="30" s="1"/>
  <c r="P6" i="30" a="1"/>
  <c r="P6" i="30" s="1"/>
  <c r="J6" i="30" a="1"/>
  <c r="J6" i="30" s="1"/>
  <c r="F17" i="30"/>
  <c r="J17" i="30" a="1"/>
  <c r="J17" i="30" s="1"/>
  <c r="L17" i="30" a="1"/>
  <c r="L17" i="30" s="1"/>
  <c r="N17" i="30" a="1"/>
  <c r="N17" i="30" s="1"/>
  <c r="H17" i="30" a="1"/>
  <c r="H17" i="30" s="1"/>
  <c r="P17" i="30" a="1"/>
  <c r="P17" i="30" s="1"/>
  <c r="R17" i="30" a="1"/>
  <c r="R17" i="30" s="1"/>
  <c r="Z17" i="30" a="1"/>
  <c r="Z17" i="30" s="1"/>
  <c r="P45" i="30" a="1"/>
  <c r="P45" i="30" s="1"/>
  <c r="P75" i="30" a="1"/>
  <c r="P75" i="30" s="1"/>
  <c r="J101" i="30" a="1"/>
  <c r="J101" i="30" s="1"/>
  <c r="L116" i="30" a="1"/>
  <c r="L116" i="30" s="1"/>
  <c r="T130" i="30" a="1"/>
  <c r="T130" i="30" s="1"/>
  <c r="J141" i="30" a="1"/>
  <c r="J141" i="30" s="1"/>
  <c r="H149" i="30" a="1"/>
  <c r="H149" i="30" s="1"/>
  <c r="F116" i="30"/>
  <c r="R130" i="30" a="1"/>
  <c r="R130" i="30" s="1"/>
  <c r="R45" i="30" a="1"/>
  <c r="R45" i="30" s="1"/>
  <c r="E87" i="30"/>
  <c r="L101" i="30" a="1"/>
  <c r="L101" i="30" s="1"/>
  <c r="N116" i="30" a="1"/>
  <c r="N116" i="30" s="1"/>
  <c r="V130" i="30" a="1"/>
  <c r="V130" i="30" s="1"/>
  <c r="AB145" i="30" a="1"/>
  <c r="AB145" i="30" s="1"/>
  <c r="AB45" i="30" a="1"/>
  <c r="AB45" i="30" s="1"/>
  <c r="H55" i="30" a="1"/>
  <c r="H55" i="30" s="1"/>
  <c r="P81" i="30" a="1"/>
  <c r="P81" i="30" s="1"/>
  <c r="H83" i="30" a="1"/>
  <c r="H83" i="30" s="1"/>
  <c r="F87" i="30"/>
  <c r="N101" i="30" a="1"/>
  <c r="N101" i="30" s="1"/>
  <c r="P109" i="30" a="1"/>
  <c r="P109" i="30" s="1"/>
  <c r="P116" i="30" a="1"/>
  <c r="P116" i="30" s="1"/>
  <c r="L125" i="30" a="1"/>
  <c r="L125" i="30" s="1"/>
  <c r="E128" i="30"/>
  <c r="N141" i="30" a="1"/>
  <c r="N141" i="30" s="1"/>
  <c r="X142" i="30" a="1"/>
  <c r="X142" i="30" s="1"/>
  <c r="R33" i="30" a="1"/>
  <c r="R33" i="30" s="1"/>
  <c r="AB144" i="30" a="1"/>
  <c r="AB144" i="30" s="1"/>
  <c r="L87" i="30" a="1"/>
  <c r="L87" i="30" s="1"/>
  <c r="P101" i="30" a="1"/>
  <c r="P101" i="30" s="1"/>
  <c r="R116" i="30" a="1"/>
  <c r="R116" i="30" s="1"/>
  <c r="N131" i="30" a="1"/>
  <c r="N131" i="30" s="1"/>
  <c r="L31" i="30" a="1"/>
  <c r="L31" i="30" s="1"/>
  <c r="P55" i="30" a="1"/>
  <c r="P55" i="30" s="1"/>
  <c r="R60" i="30" a="1"/>
  <c r="R60" i="30" s="1"/>
  <c r="E72" i="30"/>
  <c r="V81" i="30" a="1"/>
  <c r="V81" i="30" s="1"/>
  <c r="P87" i="30" a="1"/>
  <c r="P87" i="30" s="1"/>
  <c r="R101" i="30" a="1"/>
  <c r="R101" i="30" s="1"/>
  <c r="V116" i="30" a="1"/>
  <c r="V116" i="30" s="1"/>
  <c r="H128" i="30" a="1"/>
  <c r="H128" i="30" s="1"/>
  <c r="J131" i="30" a="1"/>
  <c r="J131" i="30" s="1"/>
  <c r="T141" i="30" a="1"/>
  <c r="T141" i="30" s="1"/>
  <c r="F144" i="30"/>
  <c r="N31" i="30" a="1"/>
  <c r="N31" i="30" s="1"/>
  <c r="E60" i="30"/>
  <c r="X101" i="30" a="1"/>
  <c r="X101" i="30" s="1"/>
  <c r="P131" i="30" a="1"/>
  <c r="P131" i="30" s="1"/>
  <c r="E144" i="30"/>
  <c r="R31" i="30" a="1"/>
  <c r="R31" i="30" s="1"/>
  <c r="T55" i="30" a="1"/>
  <c r="T55" i="30" s="1"/>
  <c r="F60" i="30"/>
  <c r="N72" i="30" a="1"/>
  <c r="N72" i="30" s="1"/>
  <c r="P88" i="30" a="1"/>
  <c r="P88" i="30" s="1"/>
  <c r="T114" i="30" a="1"/>
  <c r="T114" i="30" s="1"/>
  <c r="V123" i="30" a="1"/>
  <c r="V123" i="30" s="1"/>
  <c r="L128" i="30" a="1"/>
  <c r="L128" i="30" s="1"/>
  <c r="R131" i="30" a="1"/>
  <c r="R131" i="30" s="1"/>
  <c r="F139" i="30"/>
  <c r="H144" i="30" a="1"/>
  <c r="H144" i="30" s="1"/>
  <c r="AB131" i="30" a="1"/>
  <c r="AB131" i="30" s="1"/>
  <c r="L144" i="30" a="1"/>
  <c r="L144" i="30" s="1"/>
  <c r="AB39" i="30" a="1"/>
  <c r="AB39" i="30" s="1"/>
  <c r="X55" i="30" a="1"/>
  <c r="X55" i="30" s="1"/>
  <c r="T60" i="30" a="1"/>
  <c r="T60" i="30" s="1"/>
  <c r="AD79" i="30" a="1"/>
  <c r="AD79" i="30" s="1"/>
  <c r="Z88" i="30" a="1"/>
  <c r="Z88" i="30" s="1"/>
  <c r="F99" i="30"/>
  <c r="F102" i="30"/>
  <c r="R111" i="30" a="1"/>
  <c r="R111" i="30" s="1"/>
  <c r="N114" i="30" a="1"/>
  <c r="N114" i="30" s="1"/>
  <c r="X123" i="30" a="1"/>
  <c r="X123" i="30" s="1"/>
  <c r="P128" i="30" a="1"/>
  <c r="P128" i="30" s="1"/>
  <c r="X139" i="30" a="1"/>
  <c r="X139" i="30" s="1"/>
  <c r="AD142" i="30" a="1"/>
  <c r="AD142" i="30" s="1"/>
  <c r="R144" i="30" a="1"/>
  <c r="R144" i="30" s="1"/>
  <c r="P60" i="30" a="1"/>
  <c r="P60" i="30" s="1"/>
  <c r="H88" i="30" a="1"/>
  <c r="H88" i="30" s="1"/>
  <c r="R102" i="30" a="1"/>
  <c r="R102" i="30" s="1"/>
  <c r="N44" i="30" a="1"/>
  <c r="N44" i="30" s="1"/>
  <c r="V60" i="30" a="1"/>
  <c r="V60" i="30" s="1"/>
  <c r="R73" i="30" a="1"/>
  <c r="R73" i="30" s="1"/>
  <c r="E79" i="30"/>
  <c r="J97" i="30" a="1"/>
  <c r="J97" i="30" s="1"/>
  <c r="H99" i="30" a="1"/>
  <c r="H99" i="30" s="1"/>
  <c r="T102" i="30" a="1"/>
  <c r="T102" i="30" s="1"/>
  <c r="F111" i="30"/>
  <c r="Z114" i="30" a="1"/>
  <c r="Z114" i="30" s="1"/>
  <c r="AB123" i="30" a="1"/>
  <c r="AB123" i="30" s="1"/>
  <c r="R128" i="30" a="1"/>
  <c r="R128" i="30" s="1"/>
  <c r="T135" i="30" a="1"/>
  <c r="T135" i="30" s="1"/>
  <c r="E142" i="30"/>
  <c r="T144" i="30" a="1"/>
  <c r="T144" i="30" s="1"/>
  <c r="X47" i="30" a="1"/>
  <c r="X47" i="30" s="1"/>
  <c r="R47" i="30" a="1"/>
  <c r="R47" i="30" s="1"/>
  <c r="P47" i="30" a="1"/>
  <c r="P47" i="30" s="1"/>
  <c r="N47" i="30" a="1"/>
  <c r="N47" i="30" s="1"/>
  <c r="Z136" i="30" a="1"/>
  <c r="Z136" i="30" s="1"/>
  <c r="AB136" i="30" a="1"/>
  <c r="AB136" i="30" s="1"/>
  <c r="X136" i="30" a="1"/>
  <c r="X136" i="30" s="1"/>
  <c r="V136" i="30" a="1"/>
  <c r="V136" i="30" s="1"/>
  <c r="H136" i="30" a="1"/>
  <c r="H136" i="30" s="1"/>
  <c r="F136" i="30"/>
  <c r="E136" i="30"/>
  <c r="F25" i="30"/>
  <c r="R25" i="30" a="1"/>
  <c r="R25" i="30" s="1"/>
  <c r="AD59" i="30" a="1"/>
  <c r="AD59" i="30" s="1"/>
  <c r="R59" i="30" a="1"/>
  <c r="R59" i="30" s="1"/>
  <c r="L59" i="30" a="1"/>
  <c r="L59" i="30" s="1"/>
  <c r="F59" i="30"/>
  <c r="Z80" i="30" a="1"/>
  <c r="Z80" i="30" s="1"/>
  <c r="AB80" i="30" a="1"/>
  <c r="AB80" i="30" s="1"/>
  <c r="J80" i="30" a="1"/>
  <c r="J80" i="30" s="1"/>
  <c r="L80" i="30" a="1"/>
  <c r="L80" i="30" s="1"/>
  <c r="N80" i="30" a="1"/>
  <c r="N80" i="30" s="1"/>
  <c r="H80" i="30" a="1"/>
  <c r="H80" i="30" s="1"/>
  <c r="F80" i="30"/>
  <c r="Z122" i="30" a="1"/>
  <c r="Z122" i="30" s="1"/>
  <c r="X122" i="30" a="1"/>
  <c r="X122" i="30" s="1"/>
  <c r="V122" i="30" a="1"/>
  <c r="V122" i="30" s="1"/>
  <c r="T122" i="30" a="1"/>
  <c r="T122" i="30" s="1"/>
  <c r="F122" i="30"/>
  <c r="Z143" i="30" a="1"/>
  <c r="Z143" i="30" s="1"/>
  <c r="V143" i="30" a="1"/>
  <c r="V143" i="30" s="1"/>
  <c r="N143" i="30" a="1"/>
  <c r="N143" i="30" s="1"/>
  <c r="L143" i="30" a="1"/>
  <c r="L143" i="30" s="1"/>
  <c r="F143" i="30"/>
  <c r="P25" i="30" a="1"/>
  <c r="P25" i="30" s="1"/>
  <c r="V95" i="30" a="1"/>
  <c r="V95" i="30" s="1"/>
  <c r="X95" i="30" a="1"/>
  <c r="X95" i="30" s="1"/>
  <c r="AD95" i="30" a="1"/>
  <c r="AD95" i="30" s="1"/>
  <c r="AB95" i="30" a="1"/>
  <c r="AB95" i="30" s="1"/>
  <c r="T95" i="30" a="1"/>
  <c r="T95" i="30" s="1"/>
  <c r="L95" i="30" a="1"/>
  <c r="L95" i="30" s="1"/>
  <c r="N95" i="30" a="1"/>
  <c r="N95" i="30" s="1"/>
  <c r="J95" i="30" a="1"/>
  <c r="J95" i="30" s="1"/>
  <c r="H95" i="30" a="1"/>
  <c r="H95" i="30" s="1"/>
  <c r="V53" i="30" a="1"/>
  <c r="V53" i="30" s="1"/>
  <c r="AD53" i="30" a="1"/>
  <c r="AD53" i="30" s="1"/>
  <c r="AB53" i="30" a="1"/>
  <c r="AB53" i="30" s="1"/>
  <c r="P53" i="30" a="1"/>
  <c r="P53" i="30" s="1"/>
  <c r="Z53" i="30" a="1"/>
  <c r="Z53" i="30" s="1"/>
  <c r="L53" i="30" a="1"/>
  <c r="L53" i="30" s="1"/>
  <c r="J53" i="30" a="1"/>
  <c r="J53" i="30" s="1"/>
  <c r="H53" i="30" a="1"/>
  <c r="H53" i="30" s="1"/>
  <c r="F53" i="30"/>
  <c r="F24" i="30"/>
  <c r="AD24" i="30" a="1"/>
  <c r="AD24" i="30" s="1"/>
  <c r="AB24" i="30" a="1"/>
  <c r="AB24" i="30" s="1"/>
  <c r="Z24" i="30" a="1"/>
  <c r="Z24" i="30" s="1"/>
  <c r="R24" i="30" a="1"/>
  <c r="R24" i="30" s="1"/>
  <c r="P24" i="30" a="1"/>
  <c r="P24" i="30" s="1"/>
  <c r="L24" i="30" a="1"/>
  <c r="L24" i="30" s="1"/>
  <c r="N24" i="30" a="1"/>
  <c r="N24" i="30" s="1"/>
  <c r="J24" i="30" a="1"/>
  <c r="J24" i="30" s="1"/>
  <c r="X42" i="30" a="1"/>
  <c r="X42" i="30" s="1"/>
  <c r="AB42" i="30" a="1"/>
  <c r="AB42" i="30" s="1"/>
  <c r="R42" i="30" a="1"/>
  <c r="R42" i="30" s="1"/>
  <c r="L42" i="30" a="1"/>
  <c r="L42" i="30" s="1"/>
  <c r="H24" i="30" a="1"/>
  <c r="H24" i="30" s="1"/>
  <c r="Z38" i="30" a="1"/>
  <c r="Z38" i="30" s="1"/>
  <c r="R38" i="30" a="1"/>
  <c r="R38" i="30" s="1"/>
  <c r="P38" i="30" a="1"/>
  <c r="P38" i="30" s="1"/>
  <c r="N38" i="30" a="1"/>
  <c r="N38" i="30" s="1"/>
  <c r="L38" i="30" a="1"/>
  <c r="L38" i="30" s="1"/>
  <c r="J42" i="30" a="1"/>
  <c r="J42" i="30" s="1"/>
  <c r="X57" i="30" a="1"/>
  <c r="X57" i="30" s="1"/>
  <c r="Z57" i="30" a="1"/>
  <c r="Z57" i="30" s="1"/>
  <c r="R57" i="30" a="1"/>
  <c r="R57" i="30" s="1"/>
  <c r="AD93" i="30" a="1"/>
  <c r="AD93" i="30" s="1"/>
  <c r="Z93" i="30" a="1"/>
  <c r="Z93" i="30" s="1"/>
  <c r="X93" i="30" a="1"/>
  <c r="X93" i="30" s="1"/>
  <c r="R93" i="30" a="1"/>
  <c r="R93" i="30" s="1"/>
  <c r="V93" i="30" a="1"/>
  <c r="V93" i="30" s="1"/>
  <c r="T93" i="30" a="1"/>
  <c r="T93" i="30" s="1"/>
  <c r="N93" i="30" a="1"/>
  <c r="N93" i="30" s="1"/>
  <c r="L93" i="30" a="1"/>
  <c r="L93" i="30" s="1"/>
  <c r="J93" i="30" a="1"/>
  <c r="J93" i="30" s="1"/>
  <c r="H93" i="30" a="1"/>
  <c r="H93" i="30" s="1"/>
  <c r="F93" i="30"/>
  <c r="AB93" i="30" a="1"/>
  <c r="AB93" i="30" s="1"/>
  <c r="E93" i="30"/>
  <c r="AD118" i="30" a="1"/>
  <c r="AD118" i="30" s="1"/>
  <c r="P28" i="30" a="1"/>
  <c r="P28" i="30" s="1"/>
  <c r="R29" i="30" a="1"/>
  <c r="R29" i="30" s="1"/>
  <c r="P31" i="30" a="1"/>
  <c r="P31" i="30" s="1"/>
  <c r="Z33" i="30" a="1"/>
  <c r="Z33" i="30" s="1"/>
  <c r="P44" i="30" a="1"/>
  <c r="P44" i="30" s="1"/>
  <c r="Z45" i="30" a="1"/>
  <c r="Z45" i="30" s="1"/>
  <c r="R49" i="30" a="1"/>
  <c r="R49" i="30" s="1"/>
  <c r="L50" i="30" a="1"/>
  <c r="L50" i="30" s="1"/>
  <c r="Z60" i="30" a="1"/>
  <c r="Z60" i="30" s="1"/>
  <c r="V62" i="30" a="1"/>
  <c r="V62" i="30" s="1"/>
  <c r="T68" i="30" a="1"/>
  <c r="T68" i="30" s="1"/>
  <c r="N69" i="30" a="1"/>
  <c r="N69" i="30" s="1"/>
  <c r="AD69" i="30" a="1"/>
  <c r="AD69" i="30" s="1"/>
  <c r="R72" i="30" a="1"/>
  <c r="R72" i="30" s="1"/>
  <c r="N76" i="30" a="1"/>
  <c r="N76" i="30" s="1"/>
  <c r="J79" i="30" a="1"/>
  <c r="J79" i="30" s="1"/>
  <c r="X81" i="30" a="1"/>
  <c r="X81" i="30" s="1"/>
  <c r="T82" i="30" a="1"/>
  <c r="T82" i="30" s="1"/>
  <c r="L83" i="30" a="1"/>
  <c r="L83" i="30" s="1"/>
  <c r="N84" i="30" a="1"/>
  <c r="N84" i="30" s="1"/>
  <c r="N85" i="30" a="1"/>
  <c r="N85" i="30" s="1"/>
  <c r="N87" i="30" a="1"/>
  <c r="N87" i="30" s="1"/>
  <c r="N96" i="30" a="1"/>
  <c r="N96" i="30" s="1"/>
  <c r="E100" i="30"/>
  <c r="R106" i="30" a="1"/>
  <c r="R106" i="30" s="1"/>
  <c r="E118" i="30"/>
  <c r="E121" i="30"/>
  <c r="T124" i="30" a="1"/>
  <c r="T124" i="30" s="1"/>
  <c r="R134" i="30" a="1"/>
  <c r="R134" i="30" s="1"/>
  <c r="Z138" i="30" a="1"/>
  <c r="Z138" i="30" s="1"/>
  <c r="F148" i="30"/>
  <c r="H100" i="30" a="1"/>
  <c r="H100" i="30" s="1"/>
  <c r="H118" i="30" a="1"/>
  <c r="H118" i="30" s="1"/>
  <c r="F121" i="30"/>
  <c r="AB138" i="30" a="1"/>
  <c r="AB138" i="30" s="1"/>
  <c r="J148" i="30" a="1"/>
  <c r="J148" i="30" s="1"/>
  <c r="F94" i="30"/>
  <c r="L121" i="30" a="1"/>
  <c r="L121" i="30" s="1"/>
  <c r="V124" i="30" a="1"/>
  <c r="V124" i="30" s="1"/>
  <c r="Z130" i="30" a="1"/>
  <c r="Z130" i="30" s="1"/>
  <c r="E133" i="30"/>
  <c r="E138" i="30"/>
  <c r="AD138" i="30" a="1"/>
  <c r="AD138" i="30" s="1"/>
  <c r="L148" i="30" a="1"/>
  <c r="L148" i="30" s="1"/>
  <c r="J118" i="30" a="1"/>
  <c r="J118" i="30" s="1"/>
  <c r="T22" i="30" a="1"/>
  <c r="T22" i="30" s="1"/>
  <c r="T26" i="30" a="1"/>
  <c r="T26" i="30" s="1"/>
  <c r="X28" i="30" a="1"/>
  <c r="X28" i="30" s="1"/>
  <c r="AB29" i="30" a="1"/>
  <c r="AB29" i="30" s="1"/>
  <c r="Z31" i="30" a="1"/>
  <c r="Z31" i="30" s="1"/>
  <c r="J34" i="30" a="1"/>
  <c r="J34" i="30" s="1"/>
  <c r="P35" i="30" a="1"/>
  <c r="P35" i="30" s="1"/>
  <c r="R36" i="30" a="1"/>
  <c r="R36" i="30" s="1"/>
  <c r="Z44" i="30" a="1"/>
  <c r="Z44" i="30" s="1"/>
  <c r="X49" i="30" a="1"/>
  <c r="X49" i="30" s="1"/>
  <c r="V50" i="30" a="1"/>
  <c r="V50" i="30" s="1"/>
  <c r="Z55" i="30" a="1"/>
  <c r="Z55" i="30" s="1"/>
  <c r="AD60" i="30" a="1"/>
  <c r="AD60" i="30" s="1"/>
  <c r="R63" i="30" a="1"/>
  <c r="R63" i="30" s="1"/>
  <c r="Z64" i="30" a="1"/>
  <c r="Z64" i="30" s="1"/>
  <c r="R69" i="30" a="1"/>
  <c r="R69" i="30" s="1"/>
  <c r="J71" i="30" a="1"/>
  <c r="J71" i="30" s="1"/>
  <c r="X72" i="30" a="1"/>
  <c r="X72" i="30" s="1"/>
  <c r="AB73" i="30" a="1"/>
  <c r="AB73" i="30" s="1"/>
  <c r="T76" i="30" a="1"/>
  <c r="T76" i="30" s="1"/>
  <c r="X82" i="30" a="1"/>
  <c r="X82" i="30" s="1"/>
  <c r="R83" i="30" a="1"/>
  <c r="R83" i="30" s="1"/>
  <c r="R84" i="30" a="1"/>
  <c r="R84" i="30" s="1"/>
  <c r="R89" i="30" a="1"/>
  <c r="R89" i="30" s="1"/>
  <c r="F92" i="30"/>
  <c r="H94" i="30" a="1"/>
  <c r="H94" i="30" s="1"/>
  <c r="R96" i="30" a="1"/>
  <c r="R96" i="30" s="1"/>
  <c r="T97" i="30" a="1"/>
  <c r="T97" i="30" s="1"/>
  <c r="Z101" i="30" a="1"/>
  <c r="Z101" i="30" s="1"/>
  <c r="F104" i="30"/>
  <c r="H105" i="30" a="1"/>
  <c r="H105" i="30" s="1"/>
  <c r="Z105" i="30" a="1"/>
  <c r="Z105" i="30" s="1"/>
  <c r="V110" i="30" a="1"/>
  <c r="V110" i="30" s="1"/>
  <c r="P111" i="30" a="1"/>
  <c r="P111" i="30" s="1"/>
  <c r="V115" i="30" a="1"/>
  <c r="V115" i="30" s="1"/>
  <c r="T116" i="30" a="1"/>
  <c r="T116" i="30" s="1"/>
  <c r="P120" i="30" a="1"/>
  <c r="P120" i="30" s="1"/>
  <c r="N121" i="30" a="1"/>
  <c r="N121" i="30" s="1"/>
  <c r="E124" i="30"/>
  <c r="X124" i="30" a="1"/>
  <c r="X124" i="30" s="1"/>
  <c r="Z126" i="30" a="1"/>
  <c r="Z126" i="30" s="1"/>
  <c r="E130" i="30"/>
  <c r="AB130" i="30" a="1"/>
  <c r="AB130" i="30" s="1"/>
  <c r="L133" i="30" a="1"/>
  <c r="L133" i="30" s="1"/>
  <c r="F138" i="30"/>
  <c r="E140" i="30"/>
  <c r="N148" i="30" a="1"/>
  <c r="N148" i="30" s="1"/>
  <c r="L150" i="30" a="1"/>
  <c r="L150" i="30" s="1"/>
  <c r="R22" i="30" a="1"/>
  <c r="R22" i="30" s="1"/>
  <c r="L63" i="30" a="1"/>
  <c r="L63" i="30" s="1"/>
  <c r="E92" i="30"/>
  <c r="J100" i="30" a="1"/>
  <c r="J100" i="30" s="1"/>
  <c r="E104" i="30"/>
  <c r="T115" i="30" a="1"/>
  <c r="T115" i="30" s="1"/>
  <c r="J20" i="30" a="1"/>
  <c r="J20" i="30" s="1"/>
  <c r="AD29" i="30" a="1"/>
  <c r="AD29" i="30" s="1"/>
  <c r="AD31" i="30" a="1"/>
  <c r="AD31" i="30" s="1"/>
  <c r="R35" i="30" a="1"/>
  <c r="R35" i="30" s="1"/>
  <c r="AB44" i="30" a="1"/>
  <c r="AB44" i="30" s="1"/>
  <c r="Z49" i="30" a="1"/>
  <c r="Z49" i="30" s="1"/>
  <c r="X50" i="30" a="1"/>
  <c r="X50" i="30" s="1"/>
  <c r="E55" i="30"/>
  <c r="Z63" i="30" a="1"/>
  <c r="Z63" i="30" s="1"/>
  <c r="AD64" i="30" a="1"/>
  <c r="AD64" i="30" s="1"/>
  <c r="Z68" i="30" a="1"/>
  <c r="Z68" i="30" s="1"/>
  <c r="T69" i="30" a="1"/>
  <c r="T69" i="30" s="1"/>
  <c r="P71" i="30" a="1"/>
  <c r="P71" i="30" s="1"/>
  <c r="Z72" i="30" a="1"/>
  <c r="Z72" i="30" s="1"/>
  <c r="AD73" i="30" a="1"/>
  <c r="AD73" i="30" s="1"/>
  <c r="N79" i="30" a="1"/>
  <c r="N79" i="30" s="1"/>
  <c r="E82" i="30"/>
  <c r="T83" i="30" a="1"/>
  <c r="T83" i="30" s="1"/>
  <c r="V84" i="30" a="1"/>
  <c r="V84" i="30" s="1"/>
  <c r="R87" i="30" a="1"/>
  <c r="R87" i="30" s="1"/>
  <c r="T89" i="30" a="1"/>
  <c r="T89" i="30" s="1"/>
  <c r="J92" i="30" a="1"/>
  <c r="J92" i="30" s="1"/>
  <c r="J94" i="30" a="1"/>
  <c r="J94" i="30" s="1"/>
  <c r="V96" i="30" a="1"/>
  <c r="V96" i="30" s="1"/>
  <c r="Z97" i="30" a="1"/>
  <c r="Z97" i="30" s="1"/>
  <c r="E99" i="30"/>
  <c r="L100" i="30" a="1"/>
  <c r="L100" i="30" s="1"/>
  <c r="AB101" i="30" a="1"/>
  <c r="AB101" i="30" s="1"/>
  <c r="H104" i="30" a="1"/>
  <c r="H104" i="30" s="1"/>
  <c r="J105" i="30" a="1"/>
  <c r="J105" i="30" s="1"/>
  <c r="AB105" i="30" a="1"/>
  <c r="AB105" i="30" s="1"/>
  <c r="AD106" i="30" a="1"/>
  <c r="AD106" i="30" s="1"/>
  <c r="X110" i="30" a="1"/>
  <c r="X110" i="30" s="1"/>
  <c r="T111" i="30" a="1"/>
  <c r="T111" i="30" s="1"/>
  <c r="X115" i="30" a="1"/>
  <c r="X115" i="30" s="1"/>
  <c r="L118" i="30" a="1"/>
  <c r="L118" i="30" s="1"/>
  <c r="P119" i="30" a="1"/>
  <c r="P119" i="30" s="1"/>
  <c r="F124" i="30"/>
  <c r="AB126" i="30" a="1"/>
  <c r="AB126" i="30" s="1"/>
  <c r="F130" i="30"/>
  <c r="AD130" i="30" a="1"/>
  <c r="AD130" i="30" s="1"/>
  <c r="P133" i="30" a="1"/>
  <c r="P133" i="30" s="1"/>
  <c r="H138" i="30" a="1"/>
  <c r="H138" i="30" s="1"/>
  <c r="H140" i="30" a="1"/>
  <c r="H140" i="30" s="1"/>
  <c r="P148" i="30" a="1"/>
  <c r="P148" i="30" s="1"/>
  <c r="N150" i="30" a="1"/>
  <c r="N150" i="30" s="1"/>
  <c r="P121" i="30" a="1"/>
  <c r="P121" i="30" s="1"/>
  <c r="H124" i="30" a="1"/>
  <c r="H124" i="30" s="1"/>
  <c r="Z124" i="30" a="1"/>
  <c r="Z124" i="30" s="1"/>
  <c r="H130" i="30" a="1"/>
  <c r="H130" i="30" s="1"/>
  <c r="J138" i="30" a="1"/>
  <c r="J138" i="30" s="1"/>
  <c r="L140" i="30" a="1"/>
  <c r="L140" i="30" s="1"/>
  <c r="R148" i="30" a="1"/>
  <c r="R148" i="30" s="1"/>
  <c r="T71" i="30" a="1"/>
  <c r="T71" i="30" s="1"/>
  <c r="E23" i="30"/>
  <c r="L27" i="30" a="1"/>
  <c r="L27" i="30" s="1"/>
  <c r="N34" i="30" a="1"/>
  <c r="N34" i="30" s="1"/>
  <c r="N46" i="30" a="1"/>
  <c r="N46" i="30" s="1"/>
  <c r="F49" i="30"/>
  <c r="AD49" i="30" a="1"/>
  <c r="AD49" i="30" s="1"/>
  <c r="AD55" i="30" a="1"/>
  <c r="AD55" i="30" s="1"/>
  <c r="E65" i="30"/>
  <c r="AB68" i="30" a="1"/>
  <c r="AB68" i="30" s="1"/>
  <c r="V69" i="30" a="1"/>
  <c r="V69" i="30" s="1"/>
  <c r="Z71" i="30" a="1"/>
  <c r="Z71" i="30" s="1"/>
  <c r="T79" i="30" a="1"/>
  <c r="T79" i="30" s="1"/>
  <c r="H82" i="30" a="1"/>
  <c r="H82" i="30" s="1"/>
  <c r="AB82" i="30" a="1"/>
  <c r="AB82" i="30" s="1"/>
  <c r="V83" i="30" a="1"/>
  <c r="V83" i="30" s="1"/>
  <c r="Z84" i="30" a="1"/>
  <c r="Z84" i="30" s="1"/>
  <c r="T86" i="30" a="1"/>
  <c r="T86" i="30" s="1"/>
  <c r="P92" i="30" a="1"/>
  <c r="P92" i="30" s="1"/>
  <c r="R94" i="30" a="1"/>
  <c r="R94" i="30" s="1"/>
  <c r="AB96" i="30" a="1"/>
  <c r="AB96" i="30" s="1"/>
  <c r="X100" i="30" a="1"/>
  <c r="X100" i="30" s="1"/>
  <c r="L104" i="30" a="1"/>
  <c r="L104" i="30" s="1"/>
  <c r="L105" i="30" a="1"/>
  <c r="L105" i="30" s="1"/>
  <c r="AD105" i="30" a="1"/>
  <c r="AD105" i="30" s="1"/>
  <c r="E110" i="30"/>
  <c r="AB110" i="30" a="1"/>
  <c r="AB110" i="30" s="1"/>
  <c r="X111" i="30" a="1"/>
  <c r="X111" i="30" s="1"/>
  <c r="L114" i="30" a="1"/>
  <c r="L114" i="30" s="1"/>
  <c r="X116" i="30" a="1"/>
  <c r="X116" i="30" s="1"/>
  <c r="P118" i="30" a="1"/>
  <c r="P118" i="30" s="1"/>
  <c r="F123" i="30"/>
  <c r="AB124" i="30" a="1"/>
  <c r="AB124" i="30" s="1"/>
  <c r="H126" i="30" a="1"/>
  <c r="H126" i="30" s="1"/>
  <c r="T128" i="30" a="1"/>
  <c r="T128" i="30" s="1"/>
  <c r="J132" i="30" a="1"/>
  <c r="J132" i="30" s="1"/>
  <c r="AD133" i="30" a="1"/>
  <c r="AD133" i="30" s="1"/>
  <c r="H135" i="30" a="1"/>
  <c r="H135" i="30" s="1"/>
  <c r="L138" i="30" a="1"/>
  <c r="L138" i="30" s="1"/>
  <c r="H139" i="30" a="1"/>
  <c r="H139" i="30" s="1"/>
  <c r="N140" i="30" a="1"/>
  <c r="N140" i="30" s="1"/>
  <c r="T142" i="30" a="1"/>
  <c r="T142" i="30" s="1"/>
  <c r="AD144" i="30" a="1"/>
  <c r="AD144" i="30" s="1"/>
  <c r="AD146" i="30" a="1"/>
  <c r="AD146" i="30" s="1"/>
  <c r="T148" i="30" a="1"/>
  <c r="T148" i="30" s="1"/>
  <c r="R150" i="30" a="1"/>
  <c r="R150" i="30" s="1"/>
  <c r="L34" i="30" a="1"/>
  <c r="L34" i="30" s="1"/>
  <c r="N94" i="30" a="1"/>
  <c r="N94" i="30" s="1"/>
  <c r="H23" i="30" a="1"/>
  <c r="H23" i="30" s="1"/>
  <c r="N27" i="30" a="1"/>
  <c r="N27" i="30" s="1"/>
  <c r="P34" i="30" a="1"/>
  <c r="P34" i="30" s="1"/>
  <c r="P46" i="30" a="1"/>
  <c r="P46" i="30" s="1"/>
  <c r="H49" i="30" a="1"/>
  <c r="H49" i="30" s="1"/>
  <c r="AD50" i="30" a="1"/>
  <c r="AD50" i="30" s="1"/>
  <c r="P58" i="30" a="1"/>
  <c r="P58" i="30" s="1"/>
  <c r="H60" i="30" a="1"/>
  <c r="H60" i="30" s="1"/>
  <c r="H62" i="30" a="1"/>
  <c r="H62" i="30" s="1"/>
  <c r="E64" i="30"/>
  <c r="H68" i="30" a="1"/>
  <c r="H68" i="30" s="1"/>
  <c r="AD68" i="30" a="1"/>
  <c r="AD68" i="30" s="1"/>
  <c r="E73" i="30"/>
  <c r="F75" i="30"/>
  <c r="V79" i="30" a="1"/>
  <c r="V79" i="30" s="1"/>
  <c r="E81" i="30"/>
  <c r="AD82" i="30" a="1"/>
  <c r="AD82" i="30" s="1"/>
  <c r="X83" i="30" a="1"/>
  <c r="X83" i="30" s="1"/>
  <c r="X86" i="30" a="1"/>
  <c r="X86" i="30" s="1"/>
  <c r="AB87" i="30" a="1"/>
  <c r="AB87" i="30" s="1"/>
  <c r="AB89" i="30" a="1"/>
  <c r="AB89" i="30" s="1"/>
  <c r="T92" i="30" a="1"/>
  <c r="T92" i="30" s="1"/>
  <c r="AD96" i="30" a="1"/>
  <c r="AD96" i="30" s="1"/>
  <c r="E98" i="30"/>
  <c r="Z100" i="30" a="1"/>
  <c r="Z100" i="30" s="1"/>
  <c r="E102" i="30"/>
  <c r="H107" i="30" a="1"/>
  <c r="H107" i="30" s="1"/>
  <c r="F110" i="30"/>
  <c r="Z111" i="30" a="1"/>
  <c r="Z111" i="30" s="1"/>
  <c r="E116" i="30"/>
  <c r="T118" i="30" a="1"/>
  <c r="T118" i="30" s="1"/>
  <c r="R121" i="30" a="1"/>
  <c r="R121" i="30" s="1"/>
  <c r="H123" i="30" a="1"/>
  <c r="H123" i="30" s="1"/>
  <c r="J124" i="30" a="1"/>
  <c r="J124" i="30" s="1"/>
  <c r="J127" i="30" a="1"/>
  <c r="J127" i="30" s="1"/>
  <c r="V128" i="30" a="1"/>
  <c r="V128" i="30" s="1"/>
  <c r="J130" i="30" a="1"/>
  <c r="J130" i="30" s="1"/>
  <c r="F131" i="30"/>
  <c r="N135" i="30" a="1"/>
  <c r="N135" i="30" s="1"/>
  <c r="N138" i="30" a="1"/>
  <c r="N138" i="30" s="1"/>
  <c r="P140" i="30" a="1"/>
  <c r="P140" i="30" s="1"/>
  <c r="Z141" i="30" a="1"/>
  <c r="Z141" i="30" s="1"/>
  <c r="V142" i="30" a="1"/>
  <c r="V142" i="30" s="1"/>
  <c r="J144" i="30" a="1"/>
  <c r="J144" i="30" s="1"/>
  <c r="Z148" i="30" a="1"/>
  <c r="Z148" i="30" s="1"/>
  <c r="T150" i="30" a="1"/>
  <c r="T150" i="30" s="1"/>
  <c r="L92" i="30" a="1"/>
  <c r="L92" i="30" s="1"/>
  <c r="P100" i="30" a="1"/>
  <c r="P100" i="30" s="1"/>
  <c r="J104" i="30" a="1"/>
  <c r="J104" i="30" s="1"/>
  <c r="J23" i="30" a="1"/>
  <c r="J23" i="30" s="1"/>
  <c r="P27" i="30" a="1"/>
  <c r="P27" i="30" s="1"/>
  <c r="R34" i="30" a="1"/>
  <c r="R34" i="30" s="1"/>
  <c r="AB35" i="30" a="1"/>
  <c r="AB35" i="30" s="1"/>
  <c r="E39" i="30"/>
  <c r="R41" i="30" a="1"/>
  <c r="R41" i="30" s="1"/>
  <c r="H44" i="30" a="1"/>
  <c r="H44" i="30" s="1"/>
  <c r="J55" i="30" a="1"/>
  <c r="J55" i="30" s="1"/>
  <c r="H56" i="30" a="1"/>
  <c r="H56" i="30" s="1"/>
  <c r="R58" i="30" a="1"/>
  <c r="R58" i="30" s="1"/>
  <c r="J62" i="30" a="1"/>
  <c r="J62" i="30" s="1"/>
  <c r="F64" i="30"/>
  <c r="J68" i="30" a="1"/>
  <c r="J68" i="30" s="1"/>
  <c r="X69" i="30" a="1"/>
  <c r="X69" i="30" s="1"/>
  <c r="F73" i="30"/>
  <c r="H75" i="30" a="1"/>
  <c r="H75" i="30" s="1"/>
  <c r="X79" i="30" a="1"/>
  <c r="X79" i="30" s="1"/>
  <c r="H81" i="30" a="1"/>
  <c r="H81" i="30" s="1"/>
  <c r="J82" i="30" a="1"/>
  <c r="J82" i="30" s="1"/>
  <c r="Z83" i="30" a="1"/>
  <c r="Z83" i="30" s="1"/>
  <c r="AB84" i="30" a="1"/>
  <c r="AB84" i="30" s="1"/>
  <c r="AB86" i="30" a="1"/>
  <c r="AB86" i="30" s="1"/>
  <c r="V94" i="30" a="1"/>
  <c r="V94" i="30" s="1"/>
  <c r="AD100" i="30" a="1"/>
  <c r="AD100" i="30" s="1"/>
  <c r="N104" i="30" a="1"/>
  <c r="N104" i="30" s="1"/>
  <c r="H110" i="30" a="1"/>
  <c r="H110" i="30" s="1"/>
  <c r="AD110" i="30" a="1"/>
  <c r="AD110" i="30" s="1"/>
  <c r="V118" i="30" a="1"/>
  <c r="V118" i="30" s="1"/>
  <c r="V120" i="30" a="1"/>
  <c r="V120" i="30" s="1"/>
  <c r="T121" i="30" a="1"/>
  <c r="T121" i="30" s="1"/>
  <c r="L124" i="30" a="1"/>
  <c r="L124" i="30" s="1"/>
  <c r="AD124" i="30" a="1"/>
  <c r="AD124" i="30" s="1"/>
  <c r="L130" i="30" a="1"/>
  <c r="L130" i="30" s="1"/>
  <c r="P138" i="30" a="1"/>
  <c r="P138" i="30" s="1"/>
  <c r="X140" i="30" a="1"/>
  <c r="X140" i="30" s="1"/>
  <c r="AB148" i="30" a="1"/>
  <c r="AB148" i="30" s="1"/>
  <c r="X150" i="30" a="1"/>
  <c r="X150" i="30" s="1"/>
  <c r="X23" i="30" a="1"/>
  <c r="X23" i="30" s="1"/>
  <c r="AD27" i="30" a="1"/>
  <c r="AD27" i="30" s="1"/>
  <c r="J29" i="30" a="1"/>
  <c r="J29" i="30" s="1"/>
  <c r="N33" i="30" a="1"/>
  <c r="N33" i="30" s="1"/>
  <c r="Z34" i="30" a="1"/>
  <c r="Z34" i="30" s="1"/>
  <c r="L39" i="30" a="1"/>
  <c r="L39" i="30" s="1"/>
  <c r="T41" i="30" a="1"/>
  <c r="T41" i="30" s="1"/>
  <c r="J45" i="30" a="1"/>
  <c r="J45" i="30" s="1"/>
  <c r="R46" i="30" a="1"/>
  <c r="R46" i="30" s="1"/>
  <c r="L49" i="30" a="1"/>
  <c r="L49" i="30" s="1"/>
  <c r="F50" i="30"/>
  <c r="AB51" i="30" a="1"/>
  <c r="AB51" i="30" s="1"/>
  <c r="L55" i="30" a="1"/>
  <c r="L55" i="30" s="1"/>
  <c r="J56" i="30" a="1"/>
  <c r="J56" i="30" s="1"/>
  <c r="T58" i="30" a="1"/>
  <c r="T58" i="30" s="1"/>
  <c r="L60" i="30" a="1"/>
  <c r="L60" i="30" s="1"/>
  <c r="J64" i="30" a="1"/>
  <c r="J64" i="30" s="1"/>
  <c r="J66" i="30" a="1"/>
  <c r="J66" i="30" s="1"/>
  <c r="E69" i="30"/>
  <c r="L73" i="30" a="1"/>
  <c r="L73" i="30" s="1"/>
  <c r="Z79" i="30" a="1"/>
  <c r="Z79" i="30" s="1"/>
  <c r="J81" i="30" a="1"/>
  <c r="J81" i="30" s="1"/>
  <c r="L82" i="30" a="1"/>
  <c r="L82" i="30" s="1"/>
  <c r="AB83" i="30" a="1"/>
  <c r="AB83" i="30" s="1"/>
  <c r="V92" i="30" a="1"/>
  <c r="V92" i="30" s="1"/>
  <c r="L102" i="30" a="1"/>
  <c r="L102" i="30" s="1"/>
  <c r="J106" i="30" a="1"/>
  <c r="J106" i="30" s="1"/>
  <c r="J110" i="30" a="1"/>
  <c r="J110" i="30" s="1"/>
  <c r="H116" i="30" a="1"/>
  <c r="H116" i="30" s="1"/>
  <c r="AB116" i="30" a="1"/>
  <c r="AB116" i="30" s="1"/>
  <c r="X118" i="30" a="1"/>
  <c r="X118" i="30" s="1"/>
  <c r="E120" i="30"/>
  <c r="X120" i="30" a="1"/>
  <c r="X120" i="30" s="1"/>
  <c r="Z121" i="30" a="1"/>
  <c r="Z121" i="30" s="1"/>
  <c r="J123" i="30" a="1"/>
  <c r="J123" i="30" s="1"/>
  <c r="N124" i="30" a="1"/>
  <c r="N124" i="30" s="1"/>
  <c r="L126" i="30" a="1"/>
  <c r="L126" i="30" s="1"/>
  <c r="T127" i="30" a="1"/>
  <c r="T127" i="30" s="1"/>
  <c r="N130" i="30" a="1"/>
  <c r="N130" i="30" s="1"/>
  <c r="R132" i="30" a="1"/>
  <c r="R132" i="30" s="1"/>
  <c r="E134" i="30"/>
  <c r="H137" i="30" a="1"/>
  <c r="H137" i="30" s="1"/>
  <c r="Z142" i="30" a="1"/>
  <c r="Z142" i="30" s="1"/>
  <c r="N144" i="30" a="1"/>
  <c r="N144" i="30" s="1"/>
  <c r="E147" i="30"/>
  <c r="AD148" i="30" a="1"/>
  <c r="AD148" i="30" s="1"/>
  <c r="AB150" i="30" a="1"/>
  <c r="AB150" i="30" s="1"/>
  <c r="Z110" i="30" a="1"/>
  <c r="Z110" i="30" s="1"/>
  <c r="N21" i="30" a="1"/>
  <c r="N21" i="30" s="1"/>
  <c r="Z23" i="30" a="1"/>
  <c r="Z23" i="30" s="1"/>
  <c r="AB34" i="30" a="1"/>
  <c r="AB34" i="30" s="1"/>
  <c r="N39" i="30" a="1"/>
  <c r="N39" i="30" s="1"/>
  <c r="X41" i="30" a="1"/>
  <c r="X41" i="30" s="1"/>
  <c r="J44" i="30" a="1"/>
  <c r="J44" i="30" s="1"/>
  <c r="L45" i="30" a="1"/>
  <c r="L45" i="30" s="1"/>
  <c r="T46" i="30" a="1"/>
  <c r="T46" i="30" s="1"/>
  <c r="N49" i="30" a="1"/>
  <c r="N49" i="30" s="1"/>
  <c r="AD51" i="30" a="1"/>
  <c r="AD51" i="30" s="1"/>
  <c r="V56" i="30" a="1"/>
  <c r="V56" i="30" s="1"/>
  <c r="AB58" i="30" a="1"/>
  <c r="AB58" i="30" s="1"/>
  <c r="N60" i="30" a="1"/>
  <c r="N60" i="30" s="1"/>
  <c r="P62" i="30" a="1"/>
  <c r="P62" i="30" s="1"/>
  <c r="L68" i="30" a="1"/>
  <c r="L68" i="30" s="1"/>
  <c r="F69" i="30"/>
  <c r="N73" i="30" a="1"/>
  <c r="N73" i="30" s="1"/>
  <c r="E83" i="30"/>
  <c r="AD84" i="30" a="1"/>
  <c r="AD84" i="30" s="1"/>
  <c r="L88" i="30" a="1"/>
  <c r="L88" i="30" s="1"/>
  <c r="X92" i="30" a="1"/>
  <c r="X92" i="30" s="1"/>
  <c r="Z94" i="30" a="1"/>
  <c r="Z94" i="30" s="1"/>
  <c r="E96" i="30"/>
  <c r="E97" i="30"/>
  <c r="X99" i="30" a="1"/>
  <c r="X99" i="30" s="1"/>
  <c r="H101" i="30" a="1"/>
  <c r="H101" i="30" s="1"/>
  <c r="N102" i="30" a="1"/>
  <c r="N102" i="30" s="1"/>
  <c r="V104" i="30" a="1"/>
  <c r="V104" i="30" s="1"/>
  <c r="P105" i="30" a="1"/>
  <c r="P105" i="30" s="1"/>
  <c r="L110" i="30" a="1"/>
  <c r="L110" i="30" s="1"/>
  <c r="P114" i="30" a="1"/>
  <c r="P114" i="30" s="1"/>
  <c r="AD116" i="30" a="1"/>
  <c r="AD116" i="30" s="1"/>
  <c r="F120" i="30"/>
  <c r="Z120" i="30" a="1"/>
  <c r="Z120" i="30" s="1"/>
  <c r="N123" i="30" a="1"/>
  <c r="N123" i="30" s="1"/>
  <c r="P130" i="30" a="1"/>
  <c r="P130" i="30" s="1"/>
  <c r="F134" i="30"/>
  <c r="AB135" i="30" a="1"/>
  <c r="AB135" i="30" s="1"/>
  <c r="R138" i="30" a="1"/>
  <c r="R138" i="30" s="1"/>
  <c r="L139" i="30" a="1"/>
  <c r="L139" i="30" s="1"/>
  <c r="P144" i="30" a="1"/>
  <c r="P144" i="30" s="1"/>
  <c r="L147" i="30" a="1"/>
  <c r="L147" i="30" s="1"/>
  <c r="P18" i="30" a="1"/>
  <c r="P18" i="30" s="1"/>
  <c r="P21" i="30" a="1"/>
  <c r="P21" i="30" s="1"/>
  <c r="P39" i="30" a="1"/>
  <c r="P39" i="30" s="1"/>
  <c r="N45" i="30" a="1"/>
  <c r="N45" i="30" s="1"/>
  <c r="AB46" i="30" a="1"/>
  <c r="AB46" i="30" s="1"/>
  <c r="X104" i="30" a="1"/>
  <c r="X104" i="30" s="1"/>
  <c r="R105" i="30" a="1"/>
  <c r="R105" i="30" s="1"/>
  <c r="N110" i="30" a="1"/>
  <c r="N110" i="30" s="1"/>
  <c r="E111" i="30"/>
  <c r="H120" i="30" a="1"/>
  <c r="H120" i="30" s="1"/>
  <c r="AB120" i="30" a="1"/>
  <c r="AB120" i="30" s="1"/>
  <c r="P123" i="30" a="1"/>
  <c r="P123" i="30" s="1"/>
  <c r="F125" i="30"/>
  <c r="N126" i="30" a="1"/>
  <c r="N126" i="30" s="1"/>
  <c r="T132" i="30" a="1"/>
  <c r="T132" i="30" s="1"/>
  <c r="H134" i="30" a="1"/>
  <c r="H134" i="30" s="1"/>
  <c r="J137" i="30" a="1"/>
  <c r="J137" i="30" s="1"/>
  <c r="V139" i="30" a="1"/>
  <c r="V139" i="30" s="1"/>
  <c r="F142" i="30"/>
  <c r="H146" i="30" a="1"/>
  <c r="H146" i="30" s="1"/>
  <c r="T147" i="30" a="1"/>
  <c r="T147" i="30" s="1"/>
  <c r="AD150" i="30" a="1"/>
  <c r="AD150" i="30" s="1"/>
  <c r="F10" i="30"/>
  <c r="F12" i="30"/>
  <c r="F13" i="30"/>
  <c r="F8" i="30"/>
  <c r="Y6" i="30" a="1"/>
  <c r="Y6" i="30" s="1"/>
  <c r="K6" i="30" a="1"/>
  <c r="K6" i="30" s="1"/>
  <c r="M6" i="30" a="1"/>
  <c r="M6" i="30" s="1"/>
  <c r="Q6" i="30" a="1"/>
  <c r="Q6" i="30" s="1"/>
  <c r="I6" i="30" a="1"/>
  <c r="I6" i="30" s="1"/>
  <c r="O6" i="30" a="1"/>
  <c r="O6" i="30" s="1"/>
  <c r="S6" i="30" a="1"/>
  <c r="S6" i="30" s="1"/>
  <c r="W6" i="30" a="1"/>
  <c r="W6" i="30" s="1"/>
  <c r="AC6" i="30" a="1"/>
  <c r="AC6" i="30" s="1"/>
  <c r="U6" i="30" a="1"/>
  <c r="U6" i="30" s="1"/>
  <c r="G6" i="30" a="1"/>
  <c r="G6" i="30" s="1"/>
  <c r="AA6" i="30" a="1"/>
  <c r="AA6" i="30" s="1"/>
  <c r="F9" i="30"/>
  <c r="J16" i="30" a="1"/>
  <c r="J16" i="30" s="1"/>
  <c r="X19" i="30" a="1"/>
  <c r="X19" i="30" s="1"/>
  <c r="E26" i="30"/>
  <c r="X26" i="30" a="1"/>
  <c r="X26" i="30" s="1"/>
  <c r="V30" i="30" a="1"/>
  <c r="V30" i="30" s="1"/>
  <c r="H30" i="30" a="1"/>
  <c r="H30" i="30" s="1"/>
  <c r="F30" i="30"/>
  <c r="T30" i="30" a="1"/>
  <c r="T30" i="30" s="1"/>
  <c r="E30" i="30"/>
  <c r="V37" i="30" a="1"/>
  <c r="V37" i="30" s="1"/>
  <c r="H37" i="30" a="1"/>
  <c r="H37" i="30" s="1"/>
  <c r="F37" i="30"/>
  <c r="T37" i="30" a="1"/>
  <c r="T37" i="30" s="1"/>
  <c r="E37" i="30"/>
  <c r="F43" i="30"/>
  <c r="R43" i="30" a="1"/>
  <c r="R43" i="30" s="1"/>
  <c r="P43" i="30" a="1"/>
  <c r="P43" i="30" s="1"/>
  <c r="F48" i="30"/>
  <c r="E51" i="30"/>
  <c r="J70" i="30" a="1"/>
  <c r="J70" i="30" s="1"/>
  <c r="F108" i="30"/>
  <c r="Z48" i="30" a="1"/>
  <c r="Z48" i="30" s="1"/>
  <c r="V48" i="30" a="1"/>
  <c r="V48" i="30" s="1"/>
  <c r="H48" i="30" a="1"/>
  <c r="H48" i="30" s="1"/>
  <c r="P48" i="30" a="1"/>
  <c r="P48" i="30" s="1"/>
  <c r="AD48" i="30" a="1"/>
  <c r="AD48" i="30" s="1"/>
  <c r="N48" i="30" a="1"/>
  <c r="N48" i="30" s="1"/>
  <c r="R78" i="30" a="1"/>
  <c r="R78" i="30" s="1"/>
  <c r="AB78" i="30" a="1"/>
  <c r="AB78" i="30" s="1"/>
  <c r="N78" i="30" a="1"/>
  <c r="N78" i="30" s="1"/>
  <c r="E78" i="30"/>
  <c r="T78" i="30" a="1"/>
  <c r="T78" i="30" s="1"/>
  <c r="P78" i="30" a="1"/>
  <c r="P78" i="30" s="1"/>
  <c r="X78" i="30" a="1"/>
  <c r="X78" i="30" s="1"/>
  <c r="V78" i="30" a="1"/>
  <c r="V78" i="30" s="1"/>
  <c r="J78" i="30" a="1"/>
  <c r="J78" i="30" s="1"/>
  <c r="H78" i="30" a="1"/>
  <c r="H78" i="30" s="1"/>
  <c r="N6" i="30" a="1"/>
  <c r="N6" i="30" s="1"/>
  <c r="AB6" i="30" a="1"/>
  <c r="AB6" i="30" s="1"/>
  <c r="H19" i="30" a="1"/>
  <c r="H19" i="30" s="1"/>
  <c r="V22" i="30" a="1"/>
  <c r="V22" i="30" s="1"/>
  <c r="H26" i="30" a="1"/>
  <c r="H26" i="30" s="1"/>
  <c r="J30" i="30" a="1"/>
  <c r="J30" i="30" s="1"/>
  <c r="AB30" i="30" a="1"/>
  <c r="AB30" i="30" s="1"/>
  <c r="L32" i="30" a="1"/>
  <c r="L32" i="30" s="1"/>
  <c r="AD32" i="30" a="1"/>
  <c r="AD32" i="30" s="1"/>
  <c r="J37" i="30" a="1"/>
  <c r="J37" i="30" s="1"/>
  <c r="AB37" i="30" a="1"/>
  <c r="AB37" i="30" s="1"/>
  <c r="F40" i="30"/>
  <c r="AB40" i="30" a="1"/>
  <c r="AB40" i="30" s="1"/>
  <c r="L40" i="30" a="1"/>
  <c r="L40" i="30" s="1"/>
  <c r="Z40" i="30" a="1"/>
  <c r="Z40" i="30" s="1"/>
  <c r="J40" i="30" a="1"/>
  <c r="J40" i="30" s="1"/>
  <c r="E43" i="30"/>
  <c r="Z43" i="30" a="1"/>
  <c r="Z43" i="30" s="1"/>
  <c r="F51" i="30"/>
  <c r="AD52" i="30" a="1"/>
  <c r="AD52" i="30" s="1"/>
  <c r="P52" i="30" a="1"/>
  <c r="P52" i="30" s="1"/>
  <c r="N52" i="30" a="1"/>
  <c r="N52" i="30" s="1"/>
  <c r="Z52" i="30" a="1"/>
  <c r="Z52" i="30" s="1"/>
  <c r="L52" i="30" a="1"/>
  <c r="L52" i="30" s="1"/>
  <c r="J52" i="30" a="1"/>
  <c r="J52" i="30" s="1"/>
  <c r="AB52" i="30" a="1"/>
  <c r="AB52" i="30" s="1"/>
  <c r="H52" i="30" a="1"/>
  <c r="H52" i="30" s="1"/>
  <c r="P103" i="30" a="1"/>
  <c r="P103" i="30" s="1"/>
  <c r="N103" i="30" a="1"/>
  <c r="N103" i="30" s="1"/>
  <c r="AB103" i="30" a="1"/>
  <c r="AB103" i="30" s="1"/>
  <c r="L103" i="30" a="1"/>
  <c r="L103" i="30" s="1"/>
  <c r="Z103" i="30" a="1"/>
  <c r="Z103" i="30" s="1"/>
  <c r="X103" i="30" a="1"/>
  <c r="X103" i="30" s="1"/>
  <c r="V103" i="30" a="1"/>
  <c r="V103" i="30" s="1"/>
  <c r="T103" i="30" a="1"/>
  <c r="T103" i="30" s="1"/>
  <c r="R103" i="30" a="1"/>
  <c r="R103" i="30" s="1"/>
  <c r="J103" i="30" a="1"/>
  <c r="J103" i="30" s="1"/>
  <c r="H103" i="30" a="1"/>
  <c r="H103" i="30" s="1"/>
  <c r="AD103" i="30" a="1"/>
  <c r="AD103" i="30" s="1"/>
  <c r="F103" i="30"/>
  <c r="E103" i="30"/>
  <c r="Z108" i="30" a="1"/>
  <c r="Z108" i="30" s="1"/>
  <c r="R14" i="30" a="1"/>
  <c r="R14" i="30" s="1"/>
  <c r="L16" i="30" a="1"/>
  <c r="L16" i="30" s="1"/>
  <c r="AB16" i="30" a="1"/>
  <c r="AB16" i="30" s="1"/>
  <c r="T18" i="30" a="1"/>
  <c r="T18" i="30" s="1"/>
  <c r="J19" i="30" a="1"/>
  <c r="J19" i="30" s="1"/>
  <c r="Z19" i="30" a="1"/>
  <c r="Z19" i="30" s="1"/>
  <c r="N20" i="30" a="1"/>
  <c r="N20" i="30" s="1"/>
  <c r="AD20" i="30" a="1"/>
  <c r="AD20" i="30" s="1"/>
  <c r="R21" i="30" a="1"/>
  <c r="R21" i="30" s="1"/>
  <c r="E22" i="30"/>
  <c r="X22" i="30" a="1"/>
  <c r="X22" i="30" s="1"/>
  <c r="L23" i="30" a="1"/>
  <c r="L23" i="30" s="1"/>
  <c r="AB23" i="30" a="1"/>
  <c r="AB23" i="30" s="1"/>
  <c r="T25" i="30" a="1"/>
  <c r="T25" i="30" s="1"/>
  <c r="J26" i="30" a="1"/>
  <c r="J26" i="30" s="1"/>
  <c r="Z26" i="30" a="1"/>
  <c r="Z26" i="30" s="1"/>
  <c r="V28" i="30" a="1"/>
  <c r="V28" i="30" s="1"/>
  <c r="H28" i="30" a="1"/>
  <c r="H28" i="30" s="1"/>
  <c r="F28" i="30"/>
  <c r="T28" i="30" a="1"/>
  <c r="T28" i="30" s="1"/>
  <c r="E28" i="30"/>
  <c r="V35" i="30" a="1"/>
  <c r="V35" i="30" s="1"/>
  <c r="H35" i="30" a="1"/>
  <c r="H35" i="30" s="1"/>
  <c r="F35" i="30"/>
  <c r="T35" i="30" a="1"/>
  <c r="T35" i="30" s="1"/>
  <c r="E35" i="30"/>
  <c r="E40" i="30"/>
  <c r="AD40" i="30" a="1"/>
  <c r="AD40" i="30" s="1"/>
  <c r="H43" i="30" a="1"/>
  <c r="H43" i="30" s="1"/>
  <c r="J48" i="30" a="1"/>
  <c r="J48" i="30" s="1"/>
  <c r="E52" i="30"/>
  <c r="R54" i="30" a="1"/>
  <c r="R54" i="30" s="1"/>
  <c r="E54" i="30"/>
  <c r="AB54" i="30" a="1"/>
  <c r="AB54" i="30" s="1"/>
  <c r="N54" i="30" a="1"/>
  <c r="N54" i="30" s="1"/>
  <c r="AD54" i="30" a="1"/>
  <c r="AD54" i="30" s="1"/>
  <c r="L54" i="30" a="1"/>
  <c r="L54" i="30" s="1"/>
  <c r="X59" i="30" a="1"/>
  <c r="X59" i="30" s="1"/>
  <c r="J59" i="30" a="1"/>
  <c r="J59" i="30" s="1"/>
  <c r="P59" i="30" a="1"/>
  <c r="P59" i="30" s="1"/>
  <c r="Z59" i="30" a="1"/>
  <c r="Z59" i="30" s="1"/>
  <c r="H59" i="30" a="1"/>
  <c r="H59" i="30" s="1"/>
  <c r="AB59" i="30" a="1"/>
  <c r="AB59" i="30" s="1"/>
  <c r="E59" i="30"/>
  <c r="V59" i="30" a="1"/>
  <c r="V59" i="30" s="1"/>
  <c r="T59" i="30" a="1"/>
  <c r="T59" i="30" s="1"/>
  <c r="Z61" i="30" a="1"/>
  <c r="Z61" i="30" s="1"/>
  <c r="L61" i="30" a="1"/>
  <c r="L61" i="30" s="1"/>
  <c r="AB61" i="30" a="1"/>
  <c r="AB61" i="30" s="1"/>
  <c r="J61" i="30" a="1"/>
  <c r="J61" i="30" s="1"/>
  <c r="F61" i="30"/>
  <c r="T61" i="30" a="1"/>
  <c r="T61" i="30" s="1"/>
  <c r="R61" i="30" a="1"/>
  <c r="R61" i="30" s="1"/>
  <c r="P61" i="30" a="1"/>
  <c r="P61" i="30" s="1"/>
  <c r="H61" i="30" a="1"/>
  <c r="H61" i="30" s="1"/>
  <c r="AD61" i="30" a="1"/>
  <c r="AD61" i="30" s="1"/>
  <c r="E61" i="30"/>
  <c r="AD65" i="30" a="1"/>
  <c r="AD65" i="30" s="1"/>
  <c r="P65" i="30" a="1"/>
  <c r="P65" i="30" s="1"/>
  <c r="R65" i="30" a="1"/>
  <c r="R65" i="30" s="1"/>
  <c r="Z65" i="30" a="1"/>
  <c r="Z65" i="30" s="1"/>
  <c r="J65" i="30" a="1"/>
  <c r="J65" i="30" s="1"/>
  <c r="AB65" i="30" a="1"/>
  <c r="AB65" i="30" s="1"/>
  <c r="H65" i="30" a="1"/>
  <c r="H65" i="30" s="1"/>
  <c r="T65" i="30" a="1"/>
  <c r="T65" i="30" s="1"/>
  <c r="L65" i="30" a="1"/>
  <c r="L65" i="30" s="1"/>
  <c r="F65" i="30"/>
  <c r="P70" i="30" a="1"/>
  <c r="P70" i="30" s="1"/>
  <c r="V26" i="30" a="1"/>
  <c r="V26" i="30" s="1"/>
  <c r="V6" i="30" a="1"/>
  <c r="V6" i="30" s="1"/>
  <c r="V18" i="30" a="1"/>
  <c r="V18" i="30" s="1"/>
  <c r="H22" i="30" a="1"/>
  <c r="H22" i="30" s="1"/>
  <c r="V25" i="30" a="1"/>
  <c r="V25" i="30" s="1"/>
  <c r="L30" i="30" a="1"/>
  <c r="L30" i="30" s="1"/>
  <c r="AD30" i="30" a="1"/>
  <c r="AD30" i="30" s="1"/>
  <c r="N32" i="30" a="1"/>
  <c r="N32" i="30" s="1"/>
  <c r="L37" i="30" a="1"/>
  <c r="L37" i="30" s="1"/>
  <c r="AD37" i="30" a="1"/>
  <c r="AD37" i="30" s="1"/>
  <c r="H40" i="30" a="1"/>
  <c r="H40" i="30" s="1"/>
  <c r="AB43" i="30" a="1"/>
  <c r="AB43" i="30" s="1"/>
  <c r="J51" i="30" a="1"/>
  <c r="J51" i="30" s="1"/>
  <c r="F52" i="30"/>
  <c r="X74" i="30" a="1"/>
  <c r="X74" i="30" s="1"/>
  <c r="J74" i="30" a="1"/>
  <c r="J74" i="30" s="1"/>
  <c r="AB74" i="30" a="1"/>
  <c r="AB74" i="30" s="1"/>
  <c r="L74" i="30" a="1"/>
  <c r="L74" i="30" s="1"/>
  <c r="F74" i="30"/>
  <c r="R74" i="30" a="1"/>
  <c r="R74" i="30" s="1"/>
  <c r="H74" i="30" a="1"/>
  <c r="H74" i="30" s="1"/>
  <c r="E74" i="30"/>
  <c r="Z74" i="30" a="1"/>
  <c r="Z74" i="30" s="1"/>
  <c r="V74" i="30" a="1"/>
  <c r="V74" i="30" s="1"/>
  <c r="T74" i="30" a="1"/>
  <c r="T74" i="30" s="1"/>
  <c r="Z78" i="30" a="1"/>
  <c r="Z78" i="30" s="1"/>
  <c r="T14" i="30" a="1"/>
  <c r="T14" i="30" s="1"/>
  <c r="N16" i="30" a="1"/>
  <c r="N16" i="30" s="1"/>
  <c r="AD16" i="30" a="1"/>
  <c r="AD16" i="30" s="1"/>
  <c r="X18" i="30" a="1"/>
  <c r="X18" i="30" s="1"/>
  <c r="L19" i="30" a="1"/>
  <c r="L19" i="30" s="1"/>
  <c r="AB19" i="30" a="1"/>
  <c r="AB19" i="30" s="1"/>
  <c r="P20" i="30" a="1"/>
  <c r="P20" i="30" s="1"/>
  <c r="J22" i="30" a="1"/>
  <c r="J22" i="30" s="1"/>
  <c r="Z22" i="30" a="1"/>
  <c r="Z22" i="30" s="1"/>
  <c r="N23" i="30" a="1"/>
  <c r="N23" i="30" s="1"/>
  <c r="AD23" i="30" a="1"/>
  <c r="AD23" i="30" s="1"/>
  <c r="E25" i="30"/>
  <c r="X25" i="30" a="1"/>
  <c r="X25" i="30" s="1"/>
  <c r="L26" i="30" a="1"/>
  <c r="L26" i="30" s="1"/>
  <c r="AB26" i="30" a="1"/>
  <c r="AB26" i="30" s="1"/>
  <c r="V33" i="30" a="1"/>
  <c r="V33" i="30" s="1"/>
  <c r="H33" i="30" a="1"/>
  <c r="H33" i="30" s="1"/>
  <c r="F33" i="30"/>
  <c r="T33" i="30" a="1"/>
  <c r="T33" i="30" s="1"/>
  <c r="E33" i="30"/>
  <c r="J43" i="30" a="1"/>
  <c r="J43" i="30" s="1"/>
  <c r="L48" i="30" a="1"/>
  <c r="L48" i="30" s="1"/>
  <c r="L51" i="30" a="1"/>
  <c r="L51" i="30" s="1"/>
  <c r="AB77" i="30" a="1"/>
  <c r="AB77" i="30" s="1"/>
  <c r="N77" i="30" a="1"/>
  <c r="N77" i="30" s="1"/>
  <c r="P77" i="30" a="1"/>
  <c r="P77" i="30" s="1"/>
  <c r="X77" i="30" a="1"/>
  <c r="X77" i="30" s="1"/>
  <c r="H77" i="30" a="1"/>
  <c r="H77" i="30" s="1"/>
  <c r="T77" i="30" a="1"/>
  <c r="T77" i="30" s="1"/>
  <c r="V77" i="30" a="1"/>
  <c r="V77" i="30" s="1"/>
  <c r="R77" i="30" a="1"/>
  <c r="R77" i="30" s="1"/>
  <c r="L77" i="30" a="1"/>
  <c r="L77" i="30" s="1"/>
  <c r="J77" i="30" a="1"/>
  <c r="J77" i="30" s="1"/>
  <c r="H6" i="30" a="1"/>
  <c r="H6" i="30" s="1"/>
  <c r="AD6" i="30" a="1"/>
  <c r="AD6" i="30" s="1"/>
  <c r="V14" i="30" a="1"/>
  <c r="V14" i="30" s="1"/>
  <c r="H18" i="30" a="1"/>
  <c r="H18" i="30" s="1"/>
  <c r="V21" i="30" a="1"/>
  <c r="V21" i="30" s="1"/>
  <c r="H25" i="30" a="1"/>
  <c r="H25" i="30" s="1"/>
  <c r="R27" i="30" a="1"/>
  <c r="R27" i="30" s="1"/>
  <c r="N30" i="30" a="1"/>
  <c r="N30" i="30" s="1"/>
  <c r="J33" i="30" a="1"/>
  <c r="J33" i="30" s="1"/>
  <c r="AB33" i="30" a="1"/>
  <c r="AB33" i="30" s="1"/>
  <c r="N37" i="30" a="1"/>
  <c r="N37" i="30" s="1"/>
  <c r="R39" i="30" a="1"/>
  <c r="R39" i="30" s="1"/>
  <c r="N40" i="30" a="1"/>
  <c r="N40" i="30" s="1"/>
  <c r="F41" i="30"/>
  <c r="AD41" i="30" a="1"/>
  <c r="AD41" i="30" s="1"/>
  <c r="N41" i="30" a="1"/>
  <c r="N41" i="30" s="1"/>
  <c r="AB41" i="30" a="1"/>
  <c r="AB41" i="30" s="1"/>
  <c r="L41" i="30" a="1"/>
  <c r="L41" i="30" s="1"/>
  <c r="T42" i="30" a="1"/>
  <c r="T42" i="30" s="1"/>
  <c r="AD43" i="30" a="1"/>
  <c r="AD43" i="30" s="1"/>
  <c r="F46" i="30"/>
  <c r="Z46" i="30" a="1"/>
  <c r="Z46" i="30" s="1"/>
  <c r="J46" i="30" a="1"/>
  <c r="J46" i="30" s="1"/>
  <c r="X46" i="30" a="1"/>
  <c r="X46" i="30" s="1"/>
  <c r="H46" i="30" a="1"/>
  <c r="H46" i="30" s="1"/>
  <c r="T47" i="30" a="1"/>
  <c r="T47" i="30" s="1"/>
  <c r="E77" i="30"/>
  <c r="AD78" i="30" a="1"/>
  <c r="AD78" i="30" s="1"/>
  <c r="H14" i="30" a="1"/>
  <c r="H14" i="30" s="1"/>
  <c r="P16" i="30" a="1"/>
  <c r="P16" i="30" s="1"/>
  <c r="T17" i="30" a="1"/>
  <c r="T17" i="30" s="1"/>
  <c r="J18" i="30" a="1"/>
  <c r="J18" i="30" s="1"/>
  <c r="Z18" i="30" a="1"/>
  <c r="Z18" i="30" s="1"/>
  <c r="N19" i="30" a="1"/>
  <c r="N19" i="30" s="1"/>
  <c r="AD19" i="30" a="1"/>
  <c r="AD19" i="30" s="1"/>
  <c r="R20" i="30" a="1"/>
  <c r="R20" i="30" s="1"/>
  <c r="E21" i="30"/>
  <c r="X21" i="30" a="1"/>
  <c r="X21" i="30" s="1"/>
  <c r="L22" i="30" a="1"/>
  <c r="L22" i="30" s="1"/>
  <c r="AB22" i="30" a="1"/>
  <c r="AB22" i="30" s="1"/>
  <c r="P23" i="30" a="1"/>
  <c r="P23" i="30" s="1"/>
  <c r="T24" i="30" a="1"/>
  <c r="T24" i="30" s="1"/>
  <c r="J25" i="30" a="1"/>
  <c r="J25" i="30" s="1"/>
  <c r="Z25" i="30" a="1"/>
  <c r="Z25" i="30" s="1"/>
  <c r="N26" i="30" a="1"/>
  <c r="N26" i="30" s="1"/>
  <c r="AD26" i="30" a="1"/>
  <c r="AD26" i="30" s="1"/>
  <c r="V31" i="30" a="1"/>
  <c r="V31" i="30" s="1"/>
  <c r="H31" i="30" a="1"/>
  <c r="H31" i="30" s="1"/>
  <c r="F31" i="30"/>
  <c r="T31" i="30" a="1"/>
  <c r="T31" i="30" s="1"/>
  <c r="E31" i="30"/>
  <c r="X38" i="30" a="1"/>
  <c r="X38" i="30" s="1"/>
  <c r="H38" i="30" a="1"/>
  <c r="H38" i="30" s="1"/>
  <c r="V38" i="30" a="1"/>
  <c r="V38" i="30" s="1"/>
  <c r="F38" i="30"/>
  <c r="T38" i="30" a="1"/>
  <c r="T38" i="30" s="1"/>
  <c r="E38" i="30"/>
  <c r="AB38" i="30" a="1"/>
  <c r="AB38" i="30" s="1"/>
  <c r="E41" i="30"/>
  <c r="Z41" i="30" a="1"/>
  <c r="Z41" i="30" s="1"/>
  <c r="V42" i="30" a="1"/>
  <c r="V42" i="30" s="1"/>
  <c r="L43" i="30" a="1"/>
  <c r="L43" i="30" s="1"/>
  <c r="E46" i="30"/>
  <c r="AD46" i="30" a="1"/>
  <c r="AD46" i="30" s="1"/>
  <c r="V47" i="30" a="1"/>
  <c r="V47" i="30" s="1"/>
  <c r="R48" i="30" a="1"/>
  <c r="R48" i="30" s="1"/>
  <c r="R52" i="30" a="1"/>
  <c r="R52" i="30" s="1"/>
  <c r="J54" i="30" a="1"/>
  <c r="J54" i="30" s="1"/>
  <c r="N59" i="30" a="1"/>
  <c r="N59" i="30" s="1"/>
  <c r="V61" i="30" a="1"/>
  <c r="V61" i="30" s="1"/>
  <c r="AB63" i="30" a="1"/>
  <c r="AB63" i="30" s="1"/>
  <c r="N63" i="30" a="1"/>
  <c r="N63" i="30" s="1"/>
  <c r="V63" i="30" a="1"/>
  <c r="V63" i="30" s="1"/>
  <c r="E63" i="30"/>
  <c r="P63" i="30" a="1"/>
  <c r="P63" i="30" s="1"/>
  <c r="J63" i="30" a="1"/>
  <c r="J63" i="30" s="1"/>
  <c r="F63" i="30"/>
  <c r="X63" i="30" a="1"/>
  <c r="X63" i="30" s="1"/>
  <c r="T63" i="30" a="1"/>
  <c r="T63" i="30" s="1"/>
  <c r="V65" i="30" a="1"/>
  <c r="V65" i="30" s="1"/>
  <c r="R67" i="30" a="1"/>
  <c r="R67" i="30" s="1"/>
  <c r="AB67" i="30" a="1"/>
  <c r="AB67" i="30" s="1"/>
  <c r="L67" i="30" a="1"/>
  <c r="L67" i="30" s="1"/>
  <c r="V67" i="30" a="1"/>
  <c r="V67" i="30" s="1"/>
  <c r="E67" i="30"/>
  <c r="P67" i="30" a="1"/>
  <c r="P67" i="30" s="1"/>
  <c r="J67" i="30" a="1"/>
  <c r="J67" i="30" s="1"/>
  <c r="F67" i="30"/>
  <c r="Z67" i="30" a="1"/>
  <c r="Z67" i="30" s="1"/>
  <c r="X67" i="30" a="1"/>
  <c r="X67" i="30" s="1"/>
  <c r="N74" i="30" a="1"/>
  <c r="N74" i="30" s="1"/>
  <c r="F77" i="30"/>
  <c r="V32" i="30" a="1"/>
  <c r="V32" i="30" s="1"/>
  <c r="H32" i="30" a="1"/>
  <c r="H32" i="30" s="1"/>
  <c r="F32" i="30"/>
  <c r="T32" i="30" a="1"/>
  <c r="T32" i="30" s="1"/>
  <c r="E32" i="30"/>
  <c r="F70" i="30"/>
  <c r="T70" i="30" a="1"/>
  <c r="T70" i="30" s="1"/>
  <c r="E70" i="30"/>
  <c r="V70" i="30" a="1"/>
  <c r="V70" i="30" s="1"/>
  <c r="Z70" i="30" a="1"/>
  <c r="Z70" i="30" s="1"/>
  <c r="X70" i="30" a="1"/>
  <c r="X70" i="30" s="1"/>
  <c r="R70" i="30" a="1"/>
  <c r="R70" i="30" s="1"/>
  <c r="N70" i="30" a="1"/>
  <c r="N70" i="30" s="1"/>
  <c r="L70" i="30" a="1"/>
  <c r="L70" i="30" s="1"/>
  <c r="H16" i="30" a="1"/>
  <c r="H16" i="30" s="1"/>
  <c r="F16" i="30" s="1"/>
  <c r="J32" i="30" a="1"/>
  <c r="J32" i="30" s="1"/>
  <c r="E48" i="30"/>
  <c r="Z51" i="30" a="1"/>
  <c r="Z51" i="30" s="1"/>
  <c r="H51" i="30" a="1"/>
  <c r="H51" i="30" s="1"/>
  <c r="T51" i="30" a="1"/>
  <c r="T51" i="30" s="1"/>
  <c r="R51" i="30" a="1"/>
  <c r="R51" i="30" s="1"/>
  <c r="V17" i="30" a="1"/>
  <c r="V17" i="30" s="1"/>
  <c r="H21" i="30" a="1"/>
  <c r="H21" i="30" s="1"/>
  <c r="V24" i="30" a="1"/>
  <c r="V24" i="30" s="1"/>
  <c r="N28" i="30" a="1"/>
  <c r="N28" i="30" s="1"/>
  <c r="P30" i="30" a="1"/>
  <c r="P30" i="30" s="1"/>
  <c r="J31" i="30" a="1"/>
  <c r="J31" i="30" s="1"/>
  <c r="AB31" i="30" a="1"/>
  <c r="AB31" i="30" s="1"/>
  <c r="R32" i="30" a="1"/>
  <c r="R32" i="30" s="1"/>
  <c r="L33" i="30" a="1"/>
  <c r="L33" i="30" s="1"/>
  <c r="AD33" i="30" a="1"/>
  <c r="AD33" i="30" s="1"/>
  <c r="N35" i="30" a="1"/>
  <c r="N35" i="30" s="1"/>
  <c r="P37" i="30" a="1"/>
  <c r="P37" i="30" s="1"/>
  <c r="J38" i="30" a="1"/>
  <c r="J38" i="30" s="1"/>
  <c r="T39" i="30" a="1"/>
  <c r="T39" i="30" s="1"/>
  <c r="P40" i="30" a="1"/>
  <c r="P40" i="30" s="1"/>
  <c r="H41" i="30" a="1"/>
  <c r="H41" i="30" s="1"/>
  <c r="L46" i="30" a="1"/>
  <c r="L46" i="30" s="1"/>
  <c r="P51" i="30" a="1"/>
  <c r="P51" i="30" s="1"/>
  <c r="P54" i="30" a="1"/>
  <c r="P54" i="30" s="1"/>
  <c r="V57" i="30" a="1"/>
  <c r="V57" i="30" s="1"/>
  <c r="H57" i="30" a="1"/>
  <c r="H57" i="30" s="1"/>
  <c r="F57" i="30"/>
  <c r="T57" i="30" a="1"/>
  <c r="T57" i="30" s="1"/>
  <c r="AD57" i="30" a="1"/>
  <c r="AD57" i="30" s="1"/>
  <c r="N57" i="30" a="1"/>
  <c r="N57" i="30" s="1"/>
  <c r="J57" i="30" a="1"/>
  <c r="J57" i="30" s="1"/>
  <c r="AB57" i="30" a="1"/>
  <c r="AB57" i="30" s="1"/>
  <c r="E57" i="30"/>
  <c r="X61" i="30" a="1"/>
  <c r="X61" i="30" s="1"/>
  <c r="H63" i="30" a="1"/>
  <c r="H63" i="30" s="1"/>
  <c r="H67" i="30" a="1"/>
  <c r="H67" i="30" s="1"/>
  <c r="AD70" i="30" a="1"/>
  <c r="AD70" i="30" s="1"/>
  <c r="P74" i="30" a="1"/>
  <c r="P74" i="30" s="1"/>
  <c r="AD90" i="30" a="1"/>
  <c r="AD90" i="30" s="1"/>
  <c r="P90" i="30" a="1"/>
  <c r="P90" i="30" s="1"/>
  <c r="Z90" i="30" a="1"/>
  <c r="Z90" i="30" s="1"/>
  <c r="L90" i="30" a="1"/>
  <c r="L90" i="30" s="1"/>
  <c r="H90" i="30" a="1"/>
  <c r="H90" i="30" s="1"/>
  <c r="AB90" i="30" a="1"/>
  <c r="AB90" i="30" s="1"/>
  <c r="F90" i="30"/>
  <c r="X90" i="30" a="1"/>
  <c r="X90" i="30" s="1"/>
  <c r="E90" i="30"/>
  <c r="V90" i="30" a="1"/>
  <c r="V90" i="30" s="1"/>
  <c r="N90" i="30" a="1"/>
  <c r="N90" i="30" s="1"/>
  <c r="J90" i="30" a="1"/>
  <c r="J90" i="30" s="1"/>
  <c r="T90" i="30" a="1"/>
  <c r="T90" i="30" s="1"/>
  <c r="R90" i="30" a="1"/>
  <c r="R90" i="30" s="1"/>
  <c r="V19" i="30" a="1"/>
  <c r="V19" i="30" s="1"/>
  <c r="AB32" i="30" a="1"/>
  <c r="AB32" i="30" s="1"/>
  <c r="H70" i="30" a="1"/>
  <c r="H70" i="30" s="1"/>
  <c r="F78" i="30"/>
  <c r="N108" i="30" a="1"/>
  <c r="N108" i="30" s="1"/>
  <c r="V108" i="30" a="1"/>
  <c r="V108" i="30" s="1"/>
  <c r="E108" i="30"/>
  <c r="T108" i="30" a="1"/>
  <c r="T108" i="30" s="1"/>
  <c r="R108" i="30" a="1"/>
  <c r="R108" i="30" s="1"/>
  <c r="P108" i="30" a="1"/>
  <c r="P108" i="30" s="1"/>
  <c r="X108" i="30" a="1"/>
  <c r="X108" i="30" s="1"/>
  <c r="L108" i="30" a="1"/>
  <c r="L108" i="30" s="1"/>
  <c r="J108" i="30" a="1"/>
  <c r="J108" i="30" s="1"/>
  <c r="H108" i="30" a="1"/>
  <c r="H108" i="30" s="1"/>
  <c r="AD108" i="30" a="1"/>
  <c r="AD108" i="30" s="1"/>
  <c r="AD113" i="30" a="1"/>
  <c r="AD113" i="30" s="1"/>
  <c r="P113" i="30" a="1"/>
  <c r="P113" i="30" s="1"/>
  <c r="N113" i="30" a="1"/>
  <c r="N113" i="30" s="1"/>
  <c r="R113" i="30" a="1"/>
  <c r="R113" i="30" s="1"/>
  <c r="L113" i="30" a="1"/>
  <c r="L113" i="30" s="1"/>
  <c r="H113" i="30" a="1"/>
  <c r="H113" i="30" s="1"/>
  <c r="F113" i="30"/>
  <c r="E113" i="30"/>
  <c r="X113" i="30" a="1"/>
  <c r="X113" i="30" s="1"/>
  <c r="Z113" i="30" a="1"/>
  <c r="Z113" i="30" s="1"/>
  <c r="V113" i="30" a="1"/>
  <c r="V113" i="30" s="1"/>
  <c r="AB113" i="30" a="1"/>
  <c r="AB113" i="30" s="1"/>
  <c r="T113" i="30" a="1"/>
  <c r="T113" i="30" s="1"/>
  <c r="J113" i="30" a="1"/>
  <c r="J113" i="30" s="1"/>
  <c r="J14" i="30" a="1"/>
  <c r="J14" i="30" s="1"/>
  <c r="R16" i="30" a="1"/>
  <c r="R16" i="30" s="1"/>
  <c r="X17" i="30" a="1"/>
  <c r="X17" i="30" s="1"/>
  <c r="L18" i="30" a="1"/>
  <c r="L18" i="30" s="1"/>
  <c r="AB18" i="30" a="1"/>
  <c r="AB18" i="30" s="1"/>
  <c r="P19" i="30" a="1"/>
  <c r="P19" i="30" s="1"/>
  <c r="T20" i="30" a="1"/>
  <c r="T20" i="30" s="1"/>
  <c r="J21" i="30" a="1"/>
  <c r="J21" i="30" s="1"/>
  <c r="Z21" i="30" a="1"/>
  <c r="Z21" i="30" s="1"/>
  <c r="N22" i="30" a="1"/>
  <c r="N22" i="30" s="1"/>
  <c r="AD22" i="30" a="1"/>
  <c r="AD22" i="30" s="1"/>
  <c r="R23" i="30" a="1"/>
  <c r="R23" i="30" s="1"/>
  <c r="E24" i="30"/>
  <c r="X24" i="30" a="1"/>
  <c r="X24" i="30" s="1"/>
  <c r="L25" i="30" a="1"/>
  <c r="L25" i="30" s="1"/>
  <c r="AB25" i="30" a="1"/>
  <c r="AB25" i="30" s="1"/>
  <c r="P26" i="30" a="1"/>
  <c r="P26" i="30" s="1"/>
  <c r="V29" i="30" a="1"/>
  <c r="V29" i="30" s="1"/>
  <c r="H29" i="30" a="1"/>
  <c r="H29" i="30" s="1"/>
  <c r="F29" i="30"/>
  <c r="T29" i="30" a="1"/>
  <c r="T29" i="30" s="1"/>
  <c r="E29" i="30"/>
  <c r="V36" i="30" a="1"/>
  <c r="V36" i="30" s="1"/>
  <c r="H36" i="30" a="1"/>
  <c r="H36" i="30" s="1"/>
  <c r="F36" i="30"/>
  <c r="T36" i="30" a="1"/>
  <c r="T36" i="30" s="1"/>
  <c r="E36" i="30"/>
  <c r="AD38" i="30" a="1"/>
  <c r="AD38" i="30" s="1"/>
  <c r="V39" i="30" a="1"/>
  <c r="V39" i="30" s="1"/>
  <c r="N43" i="30" a="1"/>
  <c r="N43" i="30" s="1"/>
  <c r="T48" i="30" a="1"/>
  <c r="T48" i="30" s="1"/>
  <c r="V51" i="30" a="1"/>
  <c r="V51" i="30" s="1"/>
  <c r="T52" i="30" a="1"/>
  <c r="T52" i="30" s="1"/>
  <c r="T54" i="30" a="1"/>
  <c r="T54" i="30" s="1"/>
  <c r="L57" i="30" a="1"/>
  <c r="L57" i="30" s="1"/>
  <c r="X65" i="30" a="1"/>
  <c r="X65" i="30" s="1"/>
  <c r="V20" i="30" a="1"/>
  <c r="V20" i="30" s="1"/>
  <c r="V27" i="30" a="1"/>
  <c r="V27" i="30" s="1"/>
  <c r="F27" i="30"/>
  <c r="T27" i="30" a="1"/>
  <c r="T27" i="30" s="1"/>
  <c r="E27" i="30"/>
  <c r="Z27" i="30" a="1"/>
  <c r="Z27" i="30" s="1"/>
  <c r="R30" i="30" a="1"/>
  <c r="R30" i="30" s="1"/>
  <c r="X32" i="30" a="1"/>
  <c r="X32" i="30" s="1"/>
  <c r="R37" i="30" a="1"/>
  <c r="R37" i="30" s="1"/>
  <c r="R40" i="30" a="1"/>
  <c r="R40" i="30" s="1"/>
  <c r="F42" i="30"/>
  <c r="P42" i="30" a="1"/>
  <c r="P42" i="30" s="1"/>
  <c r="AD42" i="30" a="1"/>
  <c r="AD42" i="30" s="1"/>
  <c r="N42" i="30" a="1"/>
  <c r="N42" i="30" s="1"/>
  <c r="F47" i="30"/>
  <c r="AB47" i="30" a="1"/>
  <c r="AB47" i="30" s="1"/>
  <c r="L47" i="30" a="1"/>
  <c r="L47" i="30" s="1"/>
  <c r="Z47" i="30" a="1"/>
  <c r="Z47" i="30" s="1"/>
  <c r="J47" i="30" a="1"/>
  <c r="J47" i="30" s="1"/>
  <c r="X51" i="30" a="1"/>
  <c r="X51" i="30" s="1"/>
  <c r="X16" i="30" a="1"/>
  <c r="X16" i="30" s="1"/>
  <c r="R6" i="30" a="1"/>
  <c r="R6" i="30" s="1"/>
  <c r="T16" i="30" a="1"/>
  <c r="T16" i="30" s="1"/>
  <c r="N18" i="30" a="1"/>
  <c r="N18" i="30" s="1"/>
  <c r="AD18" i="30" a="1"/>
  <c r="AD18" i="30" s="1"/>
  <c r="R19" i="30" a="1"/>
  <c r="R19" i="30" s="1"/>
  <c r="E20" i="30"/>
  <c r="X20" i="30" a="1"/>
  <c r="X20" i="30" s="1"/>
  <c r="L21" i="30" a="1"/>
  <c r="L21" i="30" s="1"/>
  <c r="AB21" i="30" a="1"/>
  <c r="AB21" i="30" s="1"/>
  <c r="P22" i="30" a="1"/>
  <c r="P22" i="30" s="1"/>
  <c r="T23" i="30" a="1"/>
  <c r="T23" i="30" s="1"/>
  <c r="N25" i="30" a="1"/>
  <c r="N25" i="30" s="1"/>
  <c r="AD25" i="30" a="1"/>
  <c r="AD25" i="30" s="1"/>
  <c r="R26" i="30" a="1"/>
  <c r="R26" i="30" s="1"/>
  <c r="H27" i="30" a="1"/>
  <c r="H27" i="30" s="1"/>
  <c r="V34" i="30" a="1"/>
  <c r="V34" i="30" s="1"/>
  <c r="H34" i="30" a="1"/>
  <c r="H34" i="30" s="1"/>
  <c r="F34" i="30"/>
  <c r="T34" i="30" a="1"/>
  <c r="T34" i="30" s="1"/>
  <c r="E34" i="30"/>
  <c r="E42" i="30"/>
  <c r="Z42" i="30" a="1"/>
  <c r="Z42" i="30" s="1"/>
  <c r="T43" i="30" a="1"/>
  <c r="T43" i="30" s="1"/>
  <c r="E47" i="30"/>
  <c r="AD47" i="30" a="1"/>
  <c r="AD47" i="30" s="1"/>
  <c r="V52" i="30" a="1"/>
  <c r="V52" i="30" s="1"/>
  <c r="F56" i="30"/>
  <c r="T56" i="30" a="1"/>
  <c r="T56" i="30" s="1"/>
  <c r="E56" i="30"/>
  <c r="AB56" i="30" a="1"/>
  <c r="AB56" i="30" s="1"/>
  <c r="L56" i="30" a="1"/>
  <c r="L56" i="30" s="1"/>
  <c r="Z56" i="30" a="1"/>
  <c r="Z56" i="30" s="1"/>
  <c r="R56" i="30" a="1"/>
  <c r="R56" i="30" s="1"/>
  <c r="P56" i="30" a="1"/>
  <c r="P56" i="30" s="1"/>
  <c r="N56" i="30" a="1"/>
  <c r="N56" i="30" s="1"/>
  <c r="AD74" i="30" a="1"/>
  <c r="AD74" i="30" s="1"/>
  <c r="Z77" i="30" a="1"/>
  <c r="Z77" i="30" s="1"/>
  <c r="AB91" i="30" a="1"/>
  <c r="AB91" i="30" s="1"/>
  <c r="N91" i="30" a="1"/>
  <c r="N91" i="30" s="1"/>
  <c r="Z91" i="30" a="1"/>
  <c r="Z91" i="30" s="1"/>
  <c r="L91" i="30" a="1"/>
  <c r="L91" i="30" s="1"/>
  <c r="T91" i="30" a="1"/>
  <c r="T91" i="30" s="1"/>
  <c r="P91" i="30" a="1"/>
  <c r="P91" i="30" s="1"/>
  <c r="J91" i="30" a="1"/>
  <c r="J91" i="30" s="1"/>
  <c r="R91" i="30" a="1"/>
  <c r="R91" i="30" s="1"/>
  <c r="F91" i="30"/>
  <c r="E91" i="30"/>
  <c r="AD91" i="30" a="1"/>
  <c r="AD91" i="30" s="1"/>
  <c r="V16" i="30" a="1"/>
  <c r="V16" i="30" s="1"/>
  <c r="H20" i="30" a="1"/>
  <c r="H20" i="30" s="1"/>
  <c r="V23" i="30" a="1"/>
  <c r="V23" i="30" s="1"/>
  <c r="J27" i="30" a="1"/>
  <c r="J27" i="30" s="1"/>
  <c r="AB27" i="30" a="1"/>
  <c r="AB27" i="30" s="1"/>
  <c r="X30" i="30" a="1"/>
  <c r="X30" i="30" s="1"/>
  <c r="Z32" i="30" a="1"/>
  <c r="Z32" i="30" s="1"/>
  <c r="X37" i="30" a="1"/>
  <c r="X37" i="30" s="1"/>
  <c r="F39" i="30"/>
  <c r="Z39" i="30" a="1"/>
  <c r="Z39" i="30" s="1"/>
  <c r="J39" i="30" a="1"/>
  <c r="J39" i="30" s="1"/>
  <c r="X39" i="30" a="1"/>
  <c r="X39" i="30" s="1"/>
  <c r="H39" i="30" a="1"/>
  <c r="H39" i="30" s="1"/>
  <c r="T40" i="30" a="1"/>
  <c r="T40" i="30" s="1"/>
  <c r="H42" i="30" a="1"/>
  <c r="H42" i="30" s="1"/>
  <c r="V43" i="30" a="1"/>
  <c r="V43" i="30" s="1"/>
  <c r="H47" i="30" a="1"/>
  <c r="H47" i="30" s="1"/>
  <c r="X48" i="30" a="1"/>
  <c r="X48" i="30" s="1"/>
  <c r="AD77" i="30" a="1"/>
  <c r="AD77" i="30" s="1"/>
  <c r="T117" i="30" a="1"/>
  <c r="T117" i="30" s="1"/>
  <c r="E117" i="30"/>
  <c r="AD117" i="30" a="1"/>
  <c r="AD117" i="30" s="1"/>
  <c r="Z117" i="30" a="1"/>
  <c r="Z117" i="30" s="1"/>
  <c r="N117" i="30" a="1"/>
  <c r="N117" i="30" s="1"/>
  <c r="L117" i="30" a="1"/>
  <c r="L117" i="30" s="1"/>
  <c r="AB117" i="30" a="1"/>
  <c r="AB117" i="30" s="1"/>
  <c r="J117" i="30" a="1"/>
  <c r="J117" i="30" s="1"/>
  <c r="H117" i="30" a="1"/>
  <c r="H117" i="30" s="1"/>
  <c r="X117" i="30" a="1"/>
  <c r="X117" i="30" s="1"/>
  <c r="F117" i="30"/>
  <c r="V117" i="30" a="1"/>
  <c r="V117" i="30" s="1"/>
  <c r="P117" i="30" a="1"/>
  <c r="P117" i="30" s="1"/>
  <c r="R44" i="30" a="1"/>
  <c r="R44" i="30" s="1"/>
  <c r="T45" i="30" a="1"/>
  <c r="T45" i="30" s="1"/>
  <c r="T53" i="30" a="1"/>
  <c r="T53" i="30" s="1"/>
  <c r="AD66" i="30" a="1"/>
  <c r="AD66" i="30" s="1"/>
  <c r="P66" i="30" a="1"/>
  <c r="P66" i="30" s="1"/>
  <c r="F66" i="30"/>
  <c r="T66" i="30" a="1"/>
  <c r="T66" i="30" s="1"/>
  <c r="X66" i="30" a="1"/>
  <c r="X66" i="30" s="1"/>
  <c r="Z66" i="30" a="1"/>
  <c r="Z66" i="30" s="1"/>
  <c r="V71" i="30" a="1"/>
  <c r="V71" i="30" s="1"/>
  <c r="H71" i="30" a="1"/>
  <c r="H71" i="30" s="1"/>
  <c r="F71" i="30"/>
  <c r="AD71" i="30" a="1"/>
  <c r="AD71" i="30" s="1"/>
  <c r="N71" i="30" a="1"/>
  <c r="N71" i="30" s="1"/>
  <c r="X71" i="30" a="1"/>
  <c r="X71" i="30" s="1"/>
  <c r="E71" i="30"/>
  <c r="R71" i="30" a="1"/>
  <c r="R71" i="30" s="1"/>
  <c r="R75" i="30" a="1"/>
  <c r="R75" i="30" s="1"/>
  <c r="T15" i="30" a="1"/>
  <c r="T15" i="30" s="1"/>
  <c r="E45" i="30"/>
  <c r="V45" i="30" a="1"/>
  <c r="V45" i="30" s="1"/>
  <c r="E66" i="30"/>
  <c r="V72" i="30" a="1"/>
  <c r="V72" i="30" s="1"/>
  <c r="H72" i="30" a="1"/>
  <c r="H72" i="30" s="1"/>
  <c r="P72" i="30" a="1"/>
  <c r="P72" i="30" s="1"/>
  <c r="L72" i="30" a="1"/>
  <c r="L72" i="30" s="1"/>
  <c r="AB72" i="30" a="1"/>
  <c r="AB72" i="30" s="1"/>
  <c r="T44" i="30" a="1"/>
  <c r="T44" i="30" s="1"/>
  <c r="H45" i="30" a="1"/>
  <c r="H45" i="30" s="1"/>
  <c r="R53" i="30" a="1"/>
  <c r="R53" i="30" s="1"/>
  <c r="N53" i="30" a="1"/>
  <c r="N53" i="30" s="1"/>
  <c r="Z62" i="30" a="1"/>
  <c r="Z62" i="30" s="1"/>
  <c r="L62" i="30" a="1"/>
  <c r="L62" i="30" s="1"/>
  <c r="AD62" i="30" a="1"/>
  <c r="AD62" i="30" s="1"/>
  <c r="N62" i="30" a="1"/>
  <c r="N62" i="30" s="1"/>
  <c r="F62" i="30"/>
  <c r="AB62" i="30" a="1"/>
  <c r="AB62" i="30" s="1"/>
  <c r="H66" i="30" a="1"/>
  <c r="H66" i="30" s="1"/>
  <c r="AB66" i="30" a="1"/>
  <c r="AB66" i="30" s="1"/>
  <c r="X107" i="30" a="1"/>
  <c r="X107" i="30" s="1"/>
  <c r="J107" i="30" a="1"/>
  <c r="J107" i="30" s="1"/>
  <c r="Z107" i="30" a="1"/>
  <c r="Z107" i="30" s="1"/>
  <c r="AD107" i="30" a="1"/>
  <c r="AD107" i="30" s="1"/>
  <c r="N107" i="30" a="1"/>
  <c r="N107" i="30" s="1"/>
  <c r="AB107" i="30" a="1"/>
  <c r="AB107" i="30" s="1"/>
  <c r="L107" i="30" a="1"/>
  <c r="L107" i="30" s="1"/>
  <c r="T107" i="30" a="1"/>
  <c r="T107" i="30" s="1"/>
  <c r="P107" i="30" a="1"/>
  <c r="P107" i="30" s="1"/>
  <c r="E107" i="30"/>
  <c r="R115" i="30" a="1"/>
  <c r="R115" i="30" s="1"/>
  <c r="J115" i="30" a="1"/>
  <c r="J115" i="30" s="1"/>
  <c r="E115" i="30"/>
  <c r="P115" i="30" a="1"/>
  <c r="P115" i="30" s="1"/>
  <c r="N115" i="30" a="1"/>
  <c r="N115" i="30" s="1"/>
  <c r="AD115" i="30" a="1"/>
  <c r="AD115" i="30" s="1"/>
  <c r="L115" i="30" a="1"/>
  <c r="L115" i="30" s="1"/>
  <c r="H115" i="30" a="1"/>
  <c r="H115" i="30" s="1"/>
  <c r="F115" i="30"/>
  <c r="Z115" i="30" a="1"/>
  <c r="Z115" i="30" s="1"/>
  <c r="H15" i="30" a="1"/>
  <c r="H15" i="30" s="1"/>
  <c r="E44" i="30"/>
  <c r="V44" i="30" a="1"/>
  <c r="V44" i="30" s="1"/>
  <c r="X45" i="30" a="1"/>
  <c r="X45" i="30" s="1"/>
  <c r="E53" i="30"/>
  <c r="X53" i="30" a="1"/>
  <c r="X53" i="30" s="1"/>
  <c r="V58" i="30" a="1"/>
  <c r="V58" i="30" s="1"/>
  <c r="H58" i="30" a="1"/>
  <c r="H58" i="30" s="1"/>
  <c r="X58" i="30" a="1"/>
  <c r="X58" i="30" s="1"/>
  <c r="E58" i="30"/>
  <c r="N58" i="30" a="1"/>
  <c r="N58" i="30" s="1"/>
  <c r="E62" i="30"/>
  <c r="L71" i="30" a="1"/>
  <c r="L71" i="30" s="1"/>
  <c r="F72" i="30"/>
  <c r="V75" i="30" a="1"/>
  <c r="V75" i="30" s="1"/>
  <c r="F107" i="30"/>
  <c r="T80" i="30" a="1"/>
  <c r="T80" i="30" s="1"/>
  <c r="E80" i="30"/>
  <c r="AD80" i="30" a="1"/>
  <c r="AD80" i="30" s="1"/>
  <c r="P80" i="30" a="1"/>
  <c r="P80" i="30" s="1"/>
  <c r="V80" i="30" a="1"/>
  <c r="V80" i="30" s="1"/>
  <c r="R80" i="30" a="1"/>
  <c r="R80" i="30" s="1"/>
  <c r="X80" i="30" a="1"/>
  <c r="X80" i="30" s="1"/>
  <c r="AD149" i="30" a="1"/>
  <c r="AD149" i="30" s="1"/>
  <c r="P149" i="30" a="1"/>
  <c r="P149" i="30" s="1"/>
  <c r="Z149" i="30" a="1"/>
  <c r="Z149" i="30" s="1"/>
  <c r="L149" i="30" a="1"/>
  <c r="L149" i="30" s="1"/>
  <c r="X149" i="30" a="1"/>
  <c r="X149" i="30" s="1"/>
  <c r="J149" i="30" a="1"/>
  <c r="J149" i="30" s="1"/>
  <c r="R149" i="30" a="1"/>
  <c r="R149" i="30" s="1"/>
  <c r="N149" i="30" a="1"/>
  <c r="N149" i="30" s="1"/>
  <c r="V149" i="30" a="1"/>
  <c r="V149" i="30" s="1"/>
  <c r="T149" i="30" a="1"/>
  <c r="T149" i="30" s="1"/>
  <c r="F149" i="30"/>
  <c r="E149" i="30"/>
  <c r="Z75" i="30" a="1"/>
  <c r="Z75" i="30" s="1"/>
  <c r="L75" i="30" a="1"/>
  <c r="L75" i="30" s="1"/>
  <c r="T75" i="30" a="1"/>
  <c r="T75" i="30" s="1"/>
  <c r="AD75" i="30" a="1"/>
  <c r="AD75" i="30" s="1"/>
  <c r="N75" i="30" a="1"/>
  <c r="N75" i="30" s="1"/>
  <c r="J75" i="30" a="1"/>
  <c r="J75" i="30" s="1"/>
  <c r="AB75" i="30" a="1"/>
  <c r="AB75" i="30" s="1"/>
  <c r="E75" i="30"/>
  <c r="V85" i="30" a="1"/>
  <c r="V85" i="30" s="1"/>
  <c r="H85" i="30" a="1"/>
  <c r="H85" i="30" s="1"/>
  <c r="F85" i="30"/>
  <c r="T85" i="30" a="1"/>
  <c r="T85" i="30" s="1"/>
  <c r="E85" i="30"/>
  <c r="Z85" i="30" a="1"/>
  <c r="Z85" i="30" s="1"/>
  <c r="X85" i="30" a="1"/>
  <c r="X85" i="30" s="1"/>
  <c r="P85" i="30" a="1"/>
  <c r="P85" i="30" s="1"/>
  <c r="AB88" i="30" a="1"/>
  <c r="AB88" i="30" s="1"/>
  <c r="N88" i="30" a="1"/>
  <c r="N88" i="30" s="1"/>
  <c r="X88" i="30" a="1"/>
  <c r="X88" i="30" s="1"/>
  <c r="J88" i="30" a="1"/>
  <c r="J88" i="30" s="1"/>
  <c r="V88" i="30" a="1"/>
  <c r="V88" i="30" s="1"/>
  <c r="T88" i="30" a="1"/>
  <c r="T88" i="30" s="1"/>
  <c r="R88" i="30" a="1"/>
  <c r="R88" i="30" s="1"/>
  <c r="Z89" i="30" a="1"/>
  <c r="Z89" i="30" s="1"/>
  <c r="L89" i="30" a="1"/>
  <c r="L89" i="30" s="1"/>
  <c r="X89" i="30" a="1"/>
  <c r="X89" i="30" s="1"/>
  <c r="J89" i="30" a="1"/>
  <c r="J89" i="30" s="1"/>
  <c r="P89" i="30" a="1"/>
  <c r="P89" i="30" s="1"/>
  <c r="N89" i="30" a="1"/>
  <c r="N89" i="30" s="1"/>
  <c r="E89" i="30"/>
  <c r="Z76" i="30" a="1"/>
  <c r="Z76" i="30" s="1"/>
  <c r="L76" i="30" a="1"/>
  <c r="L76" i="30" s="1"/>
  <c r="V76" i="30" a="1"/>
  <c r="V76" i="30" s="1"/>
  <c r="E76" i="30"/>
  <c r="AB76" i="30" a="1"/>
  <c r="AB76" i="30" s="1"/>
  <c r="Z86" i="30" a="1"/>
  <c r="Z86" i="30" s="1"/>
  <c r="L86" i="30" a="1"/>
  <c r="L86" i="30" s="1"/>
  <c r="V86" i="30" a="1"/>
  <c r="V86" i="30" s="1"/>
  <c r="H86" i="30" a="1"/>
  <c r="H86" i="30" s="1"/>
  <c r="F86" i="30"/>
  <c r="R86" i="30" a="1"/>
  <c r="R86" i="30" s="1"/>
  <c r="P86" i="30" a="1"/>
  <c r="P86" i="30" s="1"/>
  <c r="N86" i="30" a="1"/>
  <c r="N86" i="30" s="1"/>
  <c r="J86" i="30" a="1"/>
  <c r="J86" i="30" s="1"/>
  <c r="E88" i="30"/>
  <c r="F89" i="30"/>
  <c r="X129" i="30" a="1"/>
  <c r="X129" i="30" s="1"/>
  <c r="J129" i="30" a="1"/>
  <c r="J129" i="30" s="1"/>
  <c r="T129" i="30" a="1"/>
  <c r="T129" i="30" s="1"/>
  <c r="E129" i="30"/>
  <c r="R129" i="30" a="1"/>
  <c r="R129" i="30" s="1"/>
  <c r="L129" i="30" a="1"/>
  <c r="L129" i="30" s="1"/>
  <c r="Z129" i="30" a="1"/>
  <c r="Z129" i="30" s="1"/>
  <c r="H129" i="30" a="1"/>
  <c r="H129" i="30" s="1"/>
  <c r="F129" i="30"/>
  <c r="AB129" i="30" a="1"/>
  <c r="AB129" i="30" s="1"/>
  <c r="V129" i="30" a="1"/>
  <c r="V129" i="30" s="1"/>
  <c r="P129" i="30" a="1"/>
  <c r="P129" i="30" s="1"/>
  <c r="AD129" i="30" a="1"/>
  <c r="AD129" i="30" s="1"/>
  <c r="F76" i="30"/>
  <c r="J85" i="30" a="1"/>
  <c r="J85" i="30" s="1"/>
  <c r="E86" i="30"/>
  <c r="F88" i="30"/>
  <c r="H89" i="30" a="1"/>
  <c r="H89" i="30" s="1"/>
  <c r="P99" i="30" a="1"/>
  <c r="P99" i="30" s="1"/>
  <c r="AD99" i="30" a="1"/>
  <c r="AD99" i="30" s="1"/>
  <c r="N99" i="30" a="1"/>
  <c r="N99" i="30" s="1"/>
  <c r="V99" i="30" a="1"/>
  <c r="V99" i="30" s="1"/>
  <c r="T99" i="30" a="1"/>
  <c r="T99" i="30" s="1"/>
  <c r="J99" i="30" a="1"/>
  <c r="J99" i="30" s="1"/>
  <c r="N129" i="30" a="1"/>
  <c r="N129" i="30" s="1"/>
  <c r="AB50" i="30" a="1"/>
  <c r="AB50" i="30" s="1"/>
  <c r="N50" i="30" a="1"/>
  <c r="N50" i="30" s="1"/>
  <c r="T50" i="30" a="1"/>
  <c r="T50" i="30" s="1"/>
  <c r="AB64" i="30" a="1"/>
  <c r="AB64" i="30" s="1"/>
  <c r="N64" i="30" a="1"/>
  <c r="N64" i="30" s="1"/>
  <c r="F81" i="30"/>
  <c r="R81" i="30" a="1"/>
  <c r="R81" i="30" s="1"/>
  <c r="R92" i="30" a="1"/>
  <c r="R92" i="30" s="1"/>
  <c r="AB92" i="30" a="1"/>
  <c r="AB92" i="30" s="1"/>
  <c r="N92" i="30" a="1"/>
  <c r="N92" i="30" s="1"/>
  <c r="T94" i="30" a="1"/>
  <c r="T94" i="30" s="1"/>
  <c r="E94" i="30"/>
  <c r="AD94" i="30" a="1"/>
  <c r="AD94" i="30" s="1"/>
  <c r="P94" i="30" a="1"/>
  <c r="P94" i="30" s="1"/>
  <c r="X94" i="30" a="1"/>
  <c r="X94" i="30" s="1"/>
  <c r="P122" i="30" a="1"/>
  <c r="P122" i="30" s="1"/>
  <c r="L122" i="30" a="1"/>
  <c r="L122" i="30" s="1"/>
  <c r="R122" i="30" a="1"/>
  <c r="R122" i="30" s="1"/>
  <c r="N122" i="30" a="1"/>
  <c r="N122" i="30" s="1"/>
  <c r="AD122" i="30" a="1"/>
  <c r="AD122" i="30" s="1"/>
  <c r="J122" i="30" a="1"/>
  <c r="J122" i="30" s="1"/>
  <c r="AB122" i="30" a="1"/>
  <c r="AB122" i="30" s="1"/>
  <c r="H64" i="30" a="1"/>
  <c r="H64" i="30" s="1"/>
  <c r="X64" i="30" a="1"/>
  <c r="X64" i="30" s="1"/>
  <c r="X73" i="30" a="1"/>
  <c r="X73" i="30" s="1"/>
  <c r="J73" i="30" a="1"/>
  <c r="J73" i="30" s="1"/>
  <c r="Z81" i="30" a="1"/>
  <c r="Z81" i="30" s="1"/>
  <c r="X87" i="30" a="1"/>
  <c r="X87" i="30" s="1"/>
  <c r="J87" i="30" a="1"/>
  <c r="J87" i="30" s="1"/>
  <c r="V87" i="30" a="1"/>
  <c r="V87" i="30" s="1"/>
  <c r="H87" i="30" a="1"/>
  <c r="H87" i="30" s="1"/>
  <c r="Z87" i="30" a="1"/>
  <c r="Z87" i="30" s="1"/>
  <c r="H92" i="30" a="1"/>
  <c r="H92" i="30" s="1"/>
  <c r="Z92" i="30" a="1"/>
  <c r="Z92" i="30" s="1"/>
  <c r="AB97" i="30" a="1"/>
  <c r="AB97" i="30" s="1"/>
  <c r="X97" i="30" a="1"/>
  <c r="X97" i="30" s="1"/>
  <c r="H97" i="30" a="1"/>
  <c r="H97" i="30" s="1"/>
  <c r="V97" i="30" a="1"/>
  <c r="V97" i="30" s="1"/>
  <c r="F97" i="30"/>
  <c r="E122" i="30"/>
  <c r="F95" i="30"/>
  <c r="R95" i="30" a="1"/>
  <c r="R95" i="30" s="1"/>
  <c r="P95" i="30" a="1"/>
  <c r="P95" i="30" s="1"/>
  <c r="H122" i="30" a="1"/>
  <c r="H122" i="30" s="1"/>
  <c r="X60" i="30" a="1"/>
  <c r="X60" i="30" s="1"/>
  <c r="J60" i="30" a="1"/>
  <c r="J60" i="30" s="1"/>
  <c r="H73" i="30" a="1"/>
  <c r="H73" i="30" s="1"/>
  <c r="Z73" i="30" a="1"/>
  <c r="Z73" i="30" s="1"/>
  <c r="L81" i="30" a="1"/>
  <c r="L81" i="30" s="1"/>
  <c r="AD87" i="30" a="1"/>
  <c r="AD87" i="30" s="1"/>
  <c r="L94" i="30" a="1"/>
  <c r="L94" i="30" s="1"/>
  <c r="E95" i="30"/>
  <c r="Z95" i="30" a="1"/>
  <c r="Z95" i="30" s="1"/>
  <c r="L97" i="30" a="1"/>
  <c r="L97" i="30" s="1"/>
  <c r="Z98" i="30" a="1"/>
  <c r="Z98" i="30" s="1"/>
  <c r="L98" i="30" a="1"/>
  <c r="L98" i="30" s="1"/>
  <c r="P98" i="30" a="1"/>
  <c r="P98" i="30" s="1"/>
  <c r="AB98" i="30" a="1"/>
  <c r="AB98" i="30" s="1"/>
  <c r="J98" i="30" a="1"/>
  <c r="J98" i="30" s="1"/>
  <c r="X98" i="30" a="1"/>
  <c r="X98" i="30" s="1"/>
  <c r="P136" i="30" a="1"/>
  <c r="P136" i="30" s="1"/>
  <c r="N136" i="30" a="1"/>
  <c r="N136" i="30" s="1"/>
  <c r="AD136" i="30" a="1"/>
  <c r="AD136" i="30" s="1"/>
  <c r="L136" i="30" a="1"/>
  <c r="L136" i="30" s="1"/>
  <c r="J136" i="30" a="1"/>
  <c r="J136" i="30" s="1"/>
  <c r="T136" i="30" a="1"/>
  <c r="T136" i="30" s="1"/>
  <c r="R136" i="30" a="1"/>
  <c r="R136" i="30" s="1"/>
  <c r="F140" i="30"/>
  <c r="AB140" i="30" a="1"/>
  <c r="AB140" i="30" s="1"/>
  <c r="J140" i="30" a="1"/>
  <c r="J140" i="30" s="1"/>
  <c r="Z140" i="30" a="1"/>
  <c r="Z140" i="30" s="1"/>
  <c r="V140" i="30" a="1"/>
  <c r="V140" i="30" s="1"/>
  <c r="T140" i="30" a="1"/>
  <c r="T140" i="30" s="1"/>
  <c r="R140" i="30" a="1"/>
  <c r="R140" i="30" s="1"/>
  <c r="AD102" i="30" a="1"/>
  <c r="AD102" i="30" s="1"/>
  <c r="P102" i="30" a="1"/>
  <c r="P102" i="30" s="1"/>
  <c r="AB102" i="30" a="1"/>
  <c r="AB102" i="30" s="1"/>
  <c r="Z102" i="30" a="1"/>
  <c r="Z102" i="30" s="1"/>
  <c r="J102" i="30" a="1"/>
  <c r="J102" i="30" s="1"/>
  <c r="X102" i="30" a="1"/>
  <c r="X102" i="30" s="1"/>
  <c r="H102" i="30" a="1"/>
  <c r="H102" i="30" s="1"/>
  <c r="Z109" i="30" a="1"/>
  <c r="Z109" i="30" s="1"/>
  <c r="L109" i="30" a="1"/>
  <c r="L109" i="30" s="1"/>
  <c r="P112" i="30" a="1"/>
  <c r="P112" i="30" s="1"/>
  <c r="Z112" i="30" a="1"/>
  <c r="Z112" i="30" s="1"/>
  <c r="V112" i="30" a="1"/>
  <c r="V112" i="30" s="1"/>
  <c r="V119" i="30" a="1"/>
  <c r="V119" i="30" s="1"/>
  <c r="H119" i="30" a="1"/>
  <c r="H119" i="30" s="1"/>
  <c r="E119" i="30"/>
  <c r="X119" i="30" a="1"/>
  <c r="X119" i="30" s="1"/>
  <c r="T101" i="30" a="1"/>
  <c r="T101" i="30" s="1"/>
  <c r="V106" i="30" a="1"/>
  <c r="V106" i="30" s="1"/>
  <c r="F106" i="30"/>
  <c r="E109" i="30"/>
  <c r="V109" i="30" a="1"/>
  <c r="V109" i="30" s="1"/>
  <c r="E112" i="30"/>
  <c r="V114" i="30" a="1"/>
  <c r="V114" i="30" s="1"/>
  <c r="F114" i="30"/>
  <c r="R114" i="30" a="1"/>
  <c r="R114" i="30" s="1"/>
  <c r="F119" i="30"/>
  <c r="V127" i="30" a="1"/>
  <c r="V127" i="30" s="1"/>
  <c r="H127" i="30" a="1"/>
  <c r="H127" i="30" s="1"/>
  <c r="R127" i="30" a="1"/>
  <c r="R127" i="30" s="1"/>
  <c r="AD127" i="30" a="1"/>
  <c r="AD127" i="30" s="1"/>
  <c r="P127" i="30" a="1"/>
  <c r="P127" i="30" s="1"/>
  <c r="AB127" i="30" a="1"/>
  <c r="AB127" i="30" s="1"/>
  <c r="Z127" i="30" a="1"/>
  <c r="Z127" i="30" s="1"/>
  <c r="Z145" i="30" a="1"/>
  <c r="Z145" i="30" s="1"/>
  <c r="L145" i="30" a="1"/>
  <c r="L145" i="30" s="1"/>
  <c r="V145" i="30" a="1"/>
  <c r="V145" i="30" s="1"/>
  <c r="H145" i="30" a="1"/>
  <c r="H145" i="30" s="1"/>
  <c r="T145" i="30" a="1"/>
  <c r="T145" i="30" s="1"/>
  <c r="E145" i="30"/>
  <c r="R145" i="30" a="1"/>
  <c r="R145" i="30" s="1"/>
  <c r="P145" i="30" a="1"/>
  <c r="P145" i="30" s="1"/>
  <c r="N145" i="30" a="1"/>
  <c r="N145" i="30" s="1"/>
  <c r="E84" i="30"/>
  <c r="T84" i="30" a="1"/>
  <c r="T84" i="30" s="1"/>
  <c r="X96" i="30" a="1"/>
  <c r="X96" i="30" s="1"/>
  <c r="J96" i="30" a="1"/>
  <c r="J96" i="30" s="1"/>
  <c r="T96" i="30" a="1"/>
  <c r="T96" i="30" s="1"/>
  <c r="E101" i="30"/>
  <c r="AD104" i="30" a="1"/>
  <c r="AD104" i="30" s="1"/>
  <c r="E106" i="30"/>
  <c r="X106" i="30" a="1"/>
  <c r="X106" i="30" s="1"/>
  <c r="F109" i="30"/>
  <c r="F112" i="30"/>
  <c r="X112" i="30" a="1"/>
  <c r="X112" i="30" s="1"/>
  <c r="E114" i="30"/>
  <c r="X114" i="30" a="1"/>
  <c r="X114" i="30" s="1"/>
  <c r="Z119" i="30" a="1"/>
  <c r="Z119" i="30" s="1"/>
  <c r="E127" i="30"/>
  <c r="V134" i="30" a="1"/>
  <c r="V134" i="30" s="1"/>
  <c r="F145" i="30"/>
  <c r="AD145" i="30" a="1"/>
  <c r="AD145" i="30" s="1"/>
  <c r="P79" i="30" a="1"/>
  <c r="P79" i="30" s="1"/>
  <c r="F84" i="30"/>
  <c r="P93" i="30" a="1"/>
  <c r="P93" i="30" s="1"/>
  <c r="F101" i="30"/>
  <c r="V101" i="30" a="1"/>
  <c r="V101" i="30" s="1"/>
  <c r="P104" i="30" a="1"/>
  <c r="P104" i="30" s="1"/>
  <c r="H106" i="30" a="1"/>
  <c r="H106" i="30" s="1"/>
  <c r="H109" i="30" a="1"/>
  <c r="H109" i="30" s="1"/>
  <c r="X109" i="30" a="1"/>
  <c r="X109" i="30" s="1"/>
  <c r="H112" i="30" a="1"/>
  <c r="H112" i="30" s="1"/>
  <c r="H114" i="30" a="1"/>
  <c r="H114" i="30" s="1"/>
  <c r="J119" i="30" a="1"/>
  <c r="J119" i="30" s="1"/>
  <c r="X121" i="30" a="1"/>
  <c r="X121" i="30" s="1"/>
  <c r="J121" i="30" a="1"/>
  <c r="J121" i="30" s="1"/>
  <c r="AB121" i="30" a="1"/>
  <c r="AB121" i="30" s="1"/>
  <c r="H121" i="30" a="1"/>
  <c r="H121" i="30" s="1"/>
  <c r="V121" i="30" a="1"/>
  <c r="V121" i="30" s="1"/>
  <c r="R123" i="30" a="1"/>
  <c r="R123" i="30" s="1"/>
  <c r="Z123" i="30" a="1"/>
  <c r="Z123" i="30" s="1"/>
  <c r="L123" i="30" a="1"/>
  <c r="L123" i="30" s="1"/>
  <c r="T123" i="30" a="1"/>
  <c r="T123" i="30" s="1"/>
  <c r="F127" i="30"/>
  <c r="F132" i="30"/>
  <c r="N132" i="30" a="1"/>
  <c r="N132" i="30" s="1"/>
  <c r="AD132" i="30" a="1"/>
  <c r="AD132" i="30" s="1"/>
  <c r="L132" i="30" a="1"/>
  <c r="L132" i="30" s="1"/>
  <c r="AB100" i="30" a="1"/>
  <c r="AB100" i="30" s="1"/>
  <c r="N100" i="30" a="1"/>
  <c r="N100" i="30" s="1"/>
  <c r="T100" i="30" a="1"/>
  <c r="T100" i="30" s="1"/>
  <c r="AB119" i="30" a="1"/>
  <c r="AB119" i="30" s="1"/>
  <c r="X143" i="30" a="1"/>
  <c r="X143" i="30" s="1"/>
  <c r="J143" i="30" a="1"/>
  <c r="J143" i="30" s="1"/>
  <c r="T143" i="30" a="1"/>
  <c r="T143" i="30" s="1"/>
  <c r="E143" i="30"/>
  <c r="R143" i="30" a="1"/>
  <c r="R143" i="30" s="1"/>
  <c r="P143" i="30" a="1"/>
  <c r="P143" i="30" s="1"/>
  <c r="AB143" i="30" a="1"/>
  <c r="AB143" i="30" s="1"/>
  <c r="J145" i="30" a="1"/>
  <c r="J145" i="30" s="1"/>
  <c r="AB147" i="30" a="1"/>
  <c r="AB147" i="30" s="1"/>
  <c r="N147" i="30" a="1"/>
  <c r="N147" i="30" s="1"/>
  <c r="X147" i="30" a="1"/>
  <c r="X147" i="30" s="1"/>
  <c r="J147" i="30" a="1"/>
  <c r="J147" i="30" s="1"/>
  <c r="V147" i="30" a="1"/>
  <c r="V147" i="30" s="1"/>
  <c r="H147" i="30" a="1"/>
  <c r="H147" i="30" s="1"/>
  <c r="R147" i="30" a="1"/>
  <c r="R147" i="30" s="1"/>
  <c r="P147" i="30" a="1"/>
  <c r="P147" i="30" s="1"/>
  <c r="J84" i="30" a="1"/>
  <c r="J84" i="30" s="1"/>
  <c r="F100" i="30"/>
  <c r="V100" i="30" a="1"/>
  <c r="V100" i="30" s="1"/>
  <c r="T104" i="30" a="1"/>
  <c r="T104" i="30" s="1"/>
  <c r="L106" i="30" a="1"/>
  <c r="L106" i="30" s="1"/>
  <c r="AB106" i="30" a="1"/>
  <c r="AB106" i="30" s="1"/>
  <c r="AB109" i="30" a="1"/>
  <c r="AB109" i="30" s="1"/>
  <c r="AB111" i="30" a="1"/>
  <c r="AB111" i="30" s="1"/>
  <c r="N111" i="30" a="1"/>
  <c r="N111" i="30" s="1"/>
  <c r="H111" i="30" a="1"/>
  <c r="H111" i="30" s="1"/>
  <c r="L112" i="30" a="1"/>
  <c r="L112" i="30" s="1"/>
  <c r="AD112" i="30" a="1"/>
  <c r="AD112" i="30" s="1"/>
  <c r="AB114" i="30" a="1"/>
  <c r="AB114" i="30" s="1"/>
  <c r="F118" i="30"/>
  <c r="R118" i="30" a="1"/>
  <c r="R118" i="30" s="1"/>
  <c r="N118" i="30" a="1"/>
  <c r="N118" i="30" s="1"/>
  <c r="AD119" i="30" a="1"/>
  <c r="AD119" i="30" s="1"/>
  <c r="T125" i="30" a="1"/>
  <c r="T125" i="30" s="1"/>
  <c r="E125" i="30"/>
  <c r="AD125" i="30" a="1"/>
  <c r="AD125" i="30" s="1"/>
  <c r="P125" i="30" a="1"/>
  <c r="P125" i="30" s="1"/>
  <c r="AB125" i="30" a="1"/>
  <c r="AB125" i="30" s="1"/>
  <c r="N125" i="30" a="1"/>
  <c r="N125" i="30" s="1"/>
  <c r="Z125" i="30" a="1"/>
  <c r="Z125" i="30" s="1"/>
  <c r="N127" i="30" a="1"/>
  <c r="N127" i="30" s="1"/>
  <c r="N134" i="30" a="1"/>
  <c r="N134" i="30" s="1"/>
  <c r="AD134" i="30" a="1"/>
  <c r="AD134" i="30" s="1"/>
  <c r="L134" i="30" a="1"/>
  <c r="L134" i="30" s="1"/>
  <c r="AB134" i="30" a="1"/>
  <c r="AB134" i="30" s="1"/>
  <c r="H143" i="30" a="1"/>
  <c r="H143" i="30" s="1"/>
  <c r="AD143" i="30" a="1"/>
  <c r="AD143" i="30" s="1"/>
  <c r="F147" i="30"/>
  <c r="R126" i="30" a="1"/>
  <c r="R126" i="30" s="1"/>
  <c r="V146" i="30" a="1"/>
  <c r="V146" i="30" s="1"/>
  <c r="X146" i="30" a="1"/>
  <c r="X146" i="30" s="1"/>
  <c r="V148" i="30" a="1"/>
  <c r="V148" i="30" s="1"/>
  <c r="V150" i="30" a="1"/>
  <c r="V150" i="30" s="1"/>
  <c r="Z131" i="30" a="1"/>
  <c r="Z131" i="30" s="1"/>
  <c r="L131" i="30" a="1"/>
  <c r="L131" i="30" s="1"/>
  <c r="V131" i="30" a="1"/>
  <c r="V131" i="30" s="1"/>
  <c r="H131" i="30" a="1"/>
  <c r="H131" i="30" s="1"/>
  <c r="T131" i="30" a="1"/>
  <c r="T131" i="30" s="1"/>
  <c r="E131" i="30"/>
  <c r="X131" i="30" a="1"/>
  <c r="X131" i="30" s="1"/>
  <c r="AB133" i="30" a="1"/>
  <c r="AB133" i="30" s="1"/>
  <c r="N133" i="30" a="1"/>
  <c r="N133" i="30" s="1"/>
  <c r="X133" i="30" a="1"/>
  <c r="X133" i="30" s="1"/>
  <c r="J133" i="30" a="1"/>
  <c r="J133" i="30" s="1"/>
  <c r="V133" i="30" a="1"/>
  <c r="V133" i="30" s="1"/>
  <c r="H133" i="30" a="1"/>
  <c r="H133" i="30" s="1"/>
  <c r="AD135" i="30" a="1"/>
  <c r="AD135" i="30" s="1"/>
  <c r="P135" i="30" a="1"/>
  <c r="P135" i="30" s="1"/>
  <c r="Z135" i="30" a="1"/>
  <c r="Z135" i="30" s="1"/>
  <c r="L135" i="30" a="1"/>
  <c r="L135" i="30" s="1"/>
  <c r="X135" i="30" a="1"/>
  <c r="X135" i="30" s="1"/>
  <c r="J135" i="30" a="1"/>
  <c r="J135" i="30" s="1"/>
  <c r="V135" i="30" a="1"/>
  <c r="V135" i="30" s="1"/>
  <c r="R137" i="30" a="1"/>
  <c r="R137" i="30" s="1"/>
  <c r="AB137" i="30" a="1"/>
  <c r="AB137" i="30" s="1"/>
  <c r="N137" i="30" a="1"/>
  <c r="N137" i="30" s="1"/>
  <c r="Z137" i="30" a="1"/>
  <c r="Z137" i="30" s="1"/>
  <c r="L137" i="30" a="1"/>
  <c r="L137" i="30" s="1"/>
  <c r="V137" i="30" a="1"/>
  <c r="V137" i="30" s="1"/>
  <c r="E146" i="30"/>
  <c r="E148" i="30"/>
  <c r="X148" i="30" a="1"/>
  <c r="X148" i="30" s="1"/>
  <c r="E150" i="30"/>
  <c r="F133" i="30"/>
  <c r="Z133" i="30" a="1"/>
  <c r="Z133" i="30" s="1"/>
  <c r="F135" i="30"/>
  <c r="F137" i="30"/>
  <c r="X137" i="30" a="1"/>
  <c r="X137" i="30" s="1"/>
  <c r="T139" i="30" a="1"/>
  <c r="T139" i="30" s="1"/>
  <c r="E139" i="30"/>
  <c r="AD139" i="30" a="1"/>
  <c r="AD139" i="30" s="1"/>
  <c r="P139" i="30" a="1"/>
  <c r="P139" i="30" s="1"/>
  <c r="AB139" i="30" a="1"/>
  <c r="AB139" i="30" s="1"/>
  <c r="N139" i="30" a="1"/>
  <c r="N139" i="30" s="1"/>
  <c r="V141" i="30" a="1"/>
  <c r="V141" i="30" s="1"/>
  <c r="H141" i="30" a="1"/>
  <c r="H141" i="30" s="1"/>
  <c r="R141" i="30" a="1"/>
  <c r="R141" i="30" s="1"/>
  <c r="AD141" i="30" a="1"/>
  <c r="AD141" i="30" s="1"/>
  <c r="P141" i="30" a="1"/>
  <c r="P141" i="30" s="1"/>
  <c r="J146" i="30" a="1"/>
  <c r="J146" i="30" s="1"/>
  <c r="AB146" i="30" a="1"/>
  <c r="AB146" i="30" s="1"/>
  <c r="H150" i="30" a="1"/>
  <c r="H150" i="30" s="1"/>
  <c r="H7" i="29"/>
  <c r="H6" i="29"/>
  <c r="H11" i="11" a="1"/>
  <c r="H11" i="11"/>
  <c r="I11" i="11" a="1"/>
  <c r="I11" i="11" s="1"/>
  <c r="H12" i="11" a="1"/>
  <c r="H12" i="11"/>
  <c r="I12" i="11" a="1"/>
  <c r="I12" i="11" s="1"/>
  <c r="H13" i="11" a="1"/>
  <c r="H13" i="11" s="1"/>
  <c r="I13" i="11" a="1"/>
  <c r="I13" i="11" s="1"/>
  <c r="H14" i="11" a="1"/>
  <c r="H14" i="11" s="1"/>
  <c r="I14" i="11" a="1"/>
  <c r="I14" i="11" s="1"/>
  <c r="H15" i="11" a="1"/>
  <c r="H15" i="11" s="1"/>
  <c r="I15" i="11" a="1"/>
  <c r="I15" i="11" s="1"/>
  <c r="H16" i="11" a="1"/>
  <c r="H16" i="11" s="1"/>
  <c r="I16" i="11" a="1"/>
  <c r="I16" i="11"/>
  <c r="H17" i="11" a="1"/>
  <c r="H17" i="11" s="1"/>
  <c r="I17" i="11" a="1"/>
  <c r="I17" i="11" s="1"/>
  <c r="H18" i="11" a="1"/>
  <c r="H18" i="11" s="1"/>
  <c r="I18" i="11" a="1"/>
  <c r="I18" i="11" s="1"/>
  <c r="H19" i="11" a="1"/>
  <c r="H19" i="11" s="1"/>
  <c r="I19" i="11" a="1"/>
  <c r="I19" i="11" s="1"/>
  <c r="H20" i="11" a="1"/>
  <c r="H20" i="11" s="1"/>
  <c r="I20" i="11" a="1"/>
  <c r="I20" i="11" s="1"/>
  <c r="E1" i="25" a="1"/>
  <c r="E1" i="25" s="1"/>
  <c r="X3" i="1" a="1"/>
  <c r="X3" i="1" s="1"/>
  <c r="K5" i="29"/>
  <c r="J5" i="29"/>
  <c r="H5" i="29"/>
  <c r="O4" i="5" a="1"/>
  <c r="T4" i="5" a="1"/>
  <c r="S4" i="5" a="1"/>
  <c r="M4" i="5" a="1"/>
  <c r="U4" i="5" a="1"/>
  <c r="N4" i="5" a="1"/>
  <c r="R4" i="5" a="1"/>
  <c r="L4" i="5" a="1"/>
  <c r="Q4" i="5" a="1"/>
  <c r="K4" i="5" a="1"/>
  <c r="P4" i="5" a="1"/>
  <c r="J4" i="5" a="1"/>
  <c r="U3" i="5" a="1"/>
  <c r="O3" i="5" a="1"/>
  <c r="N3" i="5" a="1"/>
  <c r="S3" i="5" a="1"/>
  <c r="M3" i="5" a="1"/>
  <c r="L3" i="5" a="1"/>
  <c r="T3" i="5" a="1"/>
  <c r="R3" i="5" a="1"/>
  <c r="K3" i="5" a="1"/>
  <c r="Q3" i="5" a="1"/>
  <c r="P3" i="5" a="1"/>
  <c r="J3" i="5" a="1"/>
  <c r="J3" i="5" l="1"/>
  <c r="P3" i="5"/>
  <c r="Q3" i="5"/>
  <c r="K3" i="5"/>
  <c r="R3" i="5"/>
  <c r="T3" i="5"/>
  <c r="L3" i="5"/>
  <c r="M3" i="5"/>
  <c r="S3" i="5"/>
  <c r="N3" i="5"/>
  <c r="O3" i="5"/>
  <c r="U3" i="5"/>
  <c r="J4" i="5"/>
  <c r="P4" i="5"/>
  <c r="K4" i="5"/>
  <c r="Q4" i="5"/>
  <c r="L4" i="5"/>
  <c r="R4" i="5"/>
  <c r="N4" i="5"/>
  <c r="U4" i="5"/>
  <c r="M4" i="5"/>
  <c r="S4" i="5"/>
  <c r="T4" i="5"/>
  <c r="O4" i="5"/>
  <c r="E6" i="31" a="1"/>
  <c r="E6" i="31" s="1"/>
  <c r="E6" i="30" a="1"/>
  <c r="E6" i="30" s="1"/>
  <c r="F14" i="31"/>
  <c r="Z7" i="31"/>
  <c r="AB7" i="31"/>
  <c r="X7" i="31"/>
  <c r="N7" i="31"/>
  <c r="P7" i="31"/>
  <c r="T7" i="31"/>
  <c r="J7" i="31"/>
  <c r="H7" i="31"/>
  <c r="AD7" i="31"/>
  <c r="L7" i="31"/>
  <c r="V7" i="31"/>
  <c r="R7" i="31"/>
  <c r="E7" i="31"/>
  <c r="F15" i="31"/>
  <c r="H7" i="30"/>
  <c r="L7" i="30"/>
  <c r="AB7" i="30"/>
  <c r="R7" i="30"/>
  <c r="J7" i="30"/>
  <c r="Z7" i="30"/>
  <c r="AD7" i="30"/>
  <c r="E7" i="30"/>
  <c r="N7" i="30"/>
  <c r="P7" i="30"/>
  <c r="F15" i="30"/>
  <c r="X7" i="30"/>
  <c r="T7" i="30"/>
  <c r="V7" i="30"/>
  <c r="F14" i="30"/>
  <c r="H8" i="29"/>
  <c r="E2" i="5"/>
  <c r="J36" i="11" a="1"/>
  <c r="J36" i="11" s="1"/>
  <c r="J46" i="11"/>
  <c r="J45" i="11" a="1"/>
  <c r="J45" i="11" s="1"/>
  <c r="J44" i="11" a="1"/>
  <c r="J44" i="11" s="1"/>
  <c r="M57" i="1" a="1"/>
  <c r="M57" i="1" s="1"/>
  <c r="S57" i="1" s="1" a="1"/>
  <c r="S57" i="1" s="1"/>
  <c r="M58" i="1" a="1"/>
  <c r="M58" i="1" s="1"/>
  <c r="S58" i="1" s="1" a="1"/>
  <c r="S58" i="1" s="1"/>
  <c r="M59" i="1" a="1"/>
  <c r="M59" i="1" s="1"/>
  <c r="S59" i="1" s="1" a="1"/>
  <c r="S59" i="1" s="1"/>
  <c r="M60" i="1" a="1"/>
  <c r="M60" i="1" s="1"/>
  <c r="S60" i="1" s="1" a="1"/>
  <c r="S60" i="1" s="1"/>
  <c r="M61" i="1" a="1"/>
  <c r="M61" i="1" s="1"/>
  <c r="S61" i="1" s="1" a="1"/>
  <c r="S61" i="1" s="1"/>
  <c r="M62" i="1" a="1"/>
  <c r="M62" i="1" s="1"/>
  <c r="S62" i="1" s="1" a="1"/>
  <c r="S62" i="1" s="1"/>
  <c r="M63" i="1" a="1"/>
  <c r="M63" i="1" s="1"/>
  <c r="S63" i="1" s="1" a="1"/>
  <c r="S63" i="1" s="1"/>
  <c r="M64" i="1" a="1"/>
  <c r="M64" i="1" s="1"/>
  <c r="S64" i="1" s="1" a="1"/>
  <c r="S64" i="1" s="1"/>
  <c r="M65" i="1" a="1"/>
  <c r="M65" i="1" s="1"/>
  <c r="S65" i="1" s="1" a="1"/>
  <c r="S65" i="1" s="1"/>
  <c r="M66" i="1" a="1"/>
  <c r="M66" i="1" s="1"/>
  <c r="S66" i="1" s="1" a="1"/>
  <c r="S66" i="1" s="1"/>
  <c r="M67" i="1" a="1"/>
  <c r="M67" i="1" s="1"/>
  <c r="S67" i="1" s="1" a="1"/>
  <c r="S67" i="1" s="1"/>
  <c r="M68" i="1" a="1"/>
  <c r="M68" i="1" s="1"/>
  <c r="S68" i="1" s="1" a="1"/>
  <c r="S68" i="1" s="1"/>
  <c r="M69" i="1" a="1"/>
  <c r="M69" i="1" s="1"/>
  <c r="S69" i="1" s="1" a="1"/>
  <c r="S69" i="1" s="1"/>
  <c r="M70" i="1" a="1"/>
  <c r="M70" i="1" s="1"/>
  <c r="S70" i="1" s="1" a="1"/>
  <c r="S70" i="1" s="1"/>
  <c r="M71" i="1" a="1"/>
  <c r="M71" i="1" s="1"/>
  <c r="S71" i="1" s="1" a="1"/>
  <c r="S71" i="1" s="1"/>
  <c r="M72" i="1" a="1"/>
  <c r="M72" i="1" s="1"/>
  <c r="S72" i="1" s="1" a="1"/>
  <c r="S72" i="1" s="1"/>
  <c r="M73" i="1" a="1"/>
  <c r="M73" i="1" s="1"/>
  <c r="S73" i="1" s="1" a="1"/>
  <c r="S73" i="1" s="1"/>
  <c r="M74" i="1" a="1"/>
  <c r="M74" i="1" s="1"/>
  <c r="S74" i="1" s="1" a="1"/>
  <c r="S74" i="1" s="1"/>
  <c r="M75" i="1" a="1"/>
  <c r="M75" i="1" s="1"/>
  <c r="S75" i="1" s="1" a="1"/>
  <c r="S75" i="1" s="1"/>
  <c r="M76" i="1" a="1"/>
  <c r="M76" i="1" s="1"/>
  <c r="S76" i="1" s="1" a="1"/>
  <c r="S76" i="1" s="1"/>
  <c r="M77" i="1" a="1"/>
  <c r="M77" i="1" s="1"/>
  <c r="S77" i="1" s="1" a="1"/>
  <c r="S77" i="1" s="1"/>
  <c r="M78" i="1" a="1"/>
  <c r="M78" i="1" s="1"/>
  <c r="S78" i="1" s="1" a="1"/>
  <c r="S78" i="1" s="1"/>
  <c r="M79" i="1" a="1"/>
  <c r="M79" i="1" s="1"/>
  <c r="S79" i="1" s="1" a="1"/>
  <c r="S79" i="1" s="1"/>
  <c r="M80" i="1" a="1"/>
  <c r="M80" i="1" s="1"/>
  <c r="S80" i="1" s="1" a="1"/>
  <c r="S80" i="1" s="1"/>
  <c r="M81" i="1" a="1"/>
  <c r="M81" i="1" s="1"/>
  <c r="S81" i="1" s="1" a="1"/>
  <c r="S81" i="1" s="1"/>
  <c r="M82" i="1" a="1"/>
  <c r="M82" i="1" s="1"/>
  <c r="S82" i="1" s="1" a="1"/>
  <c r="S82" i="1" s="1"/>
  <c r="M83" i="1" a="1"/>
  <c r="M83" i="1" s="1"/>
  <c r="S83" i="1" s="1" a="1"/>
  <c r="S83" i="1" s="1"/>
  <c r="M84" i="1" a="1"/>
  <c r="M84" i="1" s="1"/>
  <c r="S84" i="1" s="1" a="1"/>
  <c r="S84" i="1" s="1"/>
  <c r="M85" i="1" a="1"/>
  <c r="M85" i="1" s="1"/>
  <c r="S85" i="1" s="1" a="1"/>
  <c r="S85" i="1" s="1"/>
  <c r="M86" i="1" a="1"/>
  <c r="M86" i="1" s="1"/>
  <c r="S86" i="1" s="1" a="1"/>
  <c r="S86" i="1" s="1"/>
  <c r="M87" i="1" a="1"/>
  <c r="M87" i="1" s="1"/>
  <c r="S87" i="1" s="1" a="1"/>
  <c r="S87" i="1" s="1"/>
  <c r="M88" i="1" a="1"/>
  <c r="M88" i="1" s="1"/>
  <c r="S88" i="1" s="1" a="1"/>
  <c r="S88" i="1" s="1"/>
  <c r="M89" i="1" a="1"/>
  <c r="M89" i="1" s="1"/>
  <c r="S89" i="1" s="1" a="1"/>
  <c r="S89" i="1" s="1"/>
  <c r="M90" i="1" a="1"/>
  <c r="M90" i="1" s="1"/>
  <c r="S90" i="1" s="1" a="1"/>
  <c r="S90" i="1" s="1"/>
  <c r="M91" i="1" a="1"/>
  <c r="M91" i="1" s="1"/>
  <c r="S91" i="1" s="1" a="1"/>
  <c r="S91" i="1" s="1"/>
  <c r="M92" i="1" a="1"/>
  <c r="M92" i="1" s="1"/>
  <c r="S92" i="1" s="1" a="1"/>
  <c r="S92" i="1" s="1"/>
  <c r="M93" i="1" a="1"/>
  <c r="M93" i="1" s="1"/>
  <c r="S93" i="1" s="1" a="1"/>
  <c r="S93" i="1" s="1"/>
  <c r="M94" i="1" a="1"/>
  <c r="M94" i="1" s="1"/>
  <c r="S94" i="1" s="1" a="1"/>
  <c r="S94" i="1" s="1"/>
  <c r="M95" i="1" a="1"/>
  <c r="M95" i="1" s="1"/>
  <c r="S95" i="1" s="1" a="1"/>
  <c r="S95" i="1" s="1"/>
  <c r="M96" i="1" a="1"/>
  <c r="M96" i="1" s="1"/>
  <c r="S96" i="1" s="1" a="1"/>
  <c r="S96" i="1" s="1"/>
  <c r="M97" i="1" a="1"/>
  <c r="M97" i="1" s="1"/>
  <c r="S97" i="1" s="1" a="1"/>
  <c r="S97" i="1" s="1"/>
  <c r="M98" i="1" a="1"/>
  <c r="M98" i="1" s="1"/>
  <c r="S98" i="1" s="1" a="1"/>
  <c r="S98" i="1" s="1"/>
  <c r="M99" i="1" a="1"/>
  <c r="M99" i="1" s="1"/>
  <c r="S99" i="1" s="1" a="1"/>
  <c r="S99" i="1" s="1"/>
  <c r="M100" i="1" a="1"/>
  <c r="M100" i="1" s="1"/>
  <c r="S100" i="1" s="1" a="1"/>
  <c r="S100" i="1" s="1"/>
  <c r="M55" i="1" a="1"/>
  <c r="M56" i="1" a="1"/>
  <c r="M53" i="1" a="1"/>
  <c r="M54" i="1" a="1"/>
  <c r="M44" i="1" a="1"/>
  <c r="M48" i="1" a="1"/>
  <c r="M52" i="1" a="1"/>
  <c r="M17" i="1" a="1"/>
  <c r="M20" i="1" a="1"/>
  <c r="M31" i="1" a="1"/>
  <c r="M22" i="1" a="1"/>
  <c r="M15" i="1" a="1"/>
  <c r="M29" i="1" a="1"/>
  <c r="M13" i="1" a="1"/>
  <c r="M9" i="1" a="1"/>
  <c r="R8" i="1" a="1"/>
  <c r="M7" i="1" a="1"/>
  <c r="M5" i="1" a="1"/>
  <c r="O52" i="1" a="1"/>
  <c r="M10" i="1" a="1"/>
  <c r="F6" i="30" l="1" a="1"/>
  <c r="F6" i="30" s="1"/>
  <c r="F6" i="31" a="1"/>
  <c r="F6" i="31" s="1"/>
  <c r="F7" i="31"/>
  <c r="R8" i="1"/>
  <c r="F7" i="30"/>
  <c r="T81" i="1" a="1"/>
  <c r="T81" i="1" s="1"/>
  <c r="T67" i="1" a="1"/>
  <c r="T67" i="1" s="1"/>
  <c r="T65" i="1" a="1"/>
  <c r="T65" i="1" s="1"/>
  <c r="T76" i="1" a="1"/>
  <c r="T76" i="1" s="1"/>
  <c r="T99" i="1" a="1"/>
  <c r="T99" i="1" s="1"/>
  <c r="T87" i="1" a="1"/>
  <c r="T87" i="1" s="1"/>
  <c r="T75" i="1" a="1"/>
  <c r="T75" i="1" s="1"/>
  <c r="T63" i="1" a="1"/>
  <c r="T63" i="1" s="1"/>
  <c r="T98" i="1" a="1"/>
  <c r="T98" i="1" s="1"/>
  <c r="T86" i="1" a="1"/>
  <c r="T86" i="1" s="1"/>
  <c r="T74" i="1" a="1"/>
  <c r="T74" i="1" s="1"/>
  <c r="T62" i="1" a="1"/>
  <c r="T62" i="1" s="1"/>
  <c r="T69" i="1" a="1"/>
  <c r="T69" i="1" s="1"/>
  <c r="T80" i="1" a="1"/>
  <c r="T80" i="1" s="1"/>
  <c r="T79" i="1" a="1"/>
  <c r="T79" i="1" s="1"/>
  <c r="T78" i="1" a="1"/>
  <c r="T78" i="1" s="1"/>
  <c r="T77" i="1" a="1"/>
  <c r="T77" i="1" s="1"/>
  <c r="T100" i="1" a="1"/>
  <c r="T100" i="1" s="1"/>
  <c r="T64" i="1" a="1"/>
  <c r="T64" i="1" s="1"/>
  <c r="T97" i="1" a="1"/>
  <c r="T97" i="1" s="1"/>
  <c r="T73" i="1" a="1"/>
  <c r="T73" i="1" s="1"/>
  <c r="T96" i="1" a="1"/>
  <c r="T96" i="1" s="1"/>
  <c r="T60" i="1" a="1"/>
  <c r="T60" i="1" s="1"/>
  <c r="T95" i="1" a="1"/>
  <c r="T95" i="1" s="1"/>
  <c r="T83" i="1" a="1"/>
  <c r="T83" i="1" s="1"/>
  <c r="T71" i="1" a="1"/>
  <c r="T71" i="1" s="1"/>
  <c r="T59" i="1" a="1"/>
  <c r="T59" i="1" s="1"/>
  <c r="T93" i="1" a="1"/>
  <c r="T93" i="1" s="1"/>
  <c r="T57" i="1" a="1"/>
  <c r="T57" i="1" s="1"/>
  <c r="T92" i="1" a="1"/>
  <c r="T92" i="1" s="1"/>
  <c r="T68" i="1" a="1"/>
  <c r="T68" i="1" s="1"/>
  <c r="T91" i="1" a="1"/>
  <c r="T91" i="1" s="1"/>
  <c r="T90" i="1" a="1"/>
  <c r="T90" i="1" s="1"/>
  <c r="T66" i="1" a="1"/>
  <c r="T66" i="1" s="1"/>
  <c r="T89" i="1" a="1"/>
  <c r="T89" i="1" s="1"/>
  <c r="T88" i="1" a="1"/>
  <c r="T88" i="1" s="1"/>
  <c r="T85" i="1" a="1"/>
  <c r="T85" i="1" s="1"/>
  <c r="T61" i="1" a="1"/>
  <c r="T61" i="1" s="1"/>
  <c r="T84" i="1" a="1"/>
  <c r="T84" i="1" s="1"/>
  <c r="T72" i="1" a="1"/>
  <c r="T72" i="1" s="1"/>
  <c r="T94" i="1" a="1"/>
  <c r="T94" i="1" s="1"/>
  <c r="T82" i="1" a="1"/>
  <c r="T82" i="1" s="1"/>
  <c r="T70" i="1" a="1"/>
  <c r="T70" i="1" s="1"/>
  <c r="T58" i="1" a="1"/>
  <c r="T58" i="1" s="1"/>
  <c r="R93" i="1" a="1"/>
  <c r="R93" i="1" s="1"/>
  <c r="R91" i="1" a="1"/>
  <c r="R91" i="1" s="1"/>
  <c r="R79" i="1" a="1"/>
  <c r="R79" i="1" s="1"/>
  <c r="R67" i="1" a="1"/>
  <c r="R67" i="1" s="1"/>
  <c r="R90" i="1" a="1"/>
  <c r="R90" i="1" s="1"/>
  <c r="R78" i="1" a="1"/>
  <c r="R78" i="1" s="1"/>
  <c r="R66" i="1" a="1"/>
  <c r="R66" i="1" s="1"/>
  <c r="R57" i="1" a="1"/>
  <c r="R57" i="1" s="1"/>
  <c r="R92" i="1" a="1"/>
  <c r="R92" i="1" s="1"/>
  <c r="R68" i="1" a="1"/>
  <c r="R68" i="1" s="1"/>
  <c r="R65" i="1" a="1"/>
  <c r="R65" i="1" s="1"/>
  <c r="R64" i="1" a="1"/>
  <c r="R64" i="1" s="1"/>
  <c r="R87" i="1" a="1"/>
  <c r="R87" i="1" s="1"/>
  <c r="R74" i="1" a="1"/>
  <c r="R74" i="1" s="1"/>
  <c r="R97" i="1" a="1"/>
  <c r="R97" i="1" s="1"/>
  <c r="R85" i="1" a="1"/>
  <c r="R85" i="1" s="1"/>
  <c r="R73" i="1" a="1"/>
  <c r="R73" i="1" s="1"/>
  <c r="R61" i="1" a="1"/>
  <c r="R61" i="1" s="1"/>
  <c r="R69" i="1" a="1"/>
  <c r="R69" i="1" s="1"/>
  <c r="R80" i="1" a="1"/>
  <c r="R80" i="1" s="1"/>
  <c r="R76" i="1" a="1"/>
  <c r="R76" i="1" s="1"/>
  <c r="R99" i="1" a="1"/>
  <c r="R99" i="1" s="1"/>
  <c r="R63" i="1" a="1"/>
  <c r="R63" i="1" s="1"/>
  <c r="R98" i="1" a="1"/>
  <c r="R98" i="1" s="1"/>
  <c r="R62" i="1" a="1"/>
  <c r="R62" i="1" s="1"/>
  <c r="R96" i="1" a="1"/>
  <c r="R96" i="1" s="1"/>
  <c r="R84" i="1" a="1"/>
  <c r="R84" i="1" s="1"/>
  <c r="R72" i="1" a="1"/>
  <c r="R72" i="1" s="1"/>
  <c r="R60" i="1" a="1"/>
  <c r="R60" i="1" s="1"/>
  <c r="R77" i="1" a="1"/>
  <c r="R77" i="1" s="1"/>
  <c r="R86" i="1" a="1"/>
  <c r="R86" i="1" s="1"/>
  <c r="R59" i="1" a="1"/>
  <c r="R59" i="1" s="1"/>
  <c r="R81" i="1" a="1"/>
  <c r="R81" i="1" s="1"/>
  <c r="R89" i="1" a="1"/>
  <c r="R89" i="1" s="1"/>
  <c r="R100" i="1" a="1"/>
  <c r="R100" i="1" s="1"/>
  <c r="R88" i="1" a="1"/>
  <c r="R88" i="1" s="1"/>
  <c r="R75" i="1" a="1"/>
  <c r="R75" i="1" s="1"/>
  <c r="R95" i="1" a="1"/>
  <c r="R95" i="1" s="1"/>
  <c r="R83" i="1" a="1"/>
  <c r="R83" i="1" s="1"/>
  <c r="R71" i="1" a="1"/>
  <c r="R71" i="1" s="1"/>
  <c r="R94" i="1" a="1"/>
  <c r="R94" i="1" s="1"/>
  <c r="R82" i="1" a="1"/>
  <c r="R82" i="1" s="1"/>
  <c r="R70" i="1" a="1"/>
  <c r="R70" i="1" s="1"/>
  <c r="R58" i="1" a="1"/>
  <c r="R58" i="1" s="1"/>
  <c r="M55" i="1"/>
  <c r="S55" i="1" s="1" a="1"/>
  <c r="S55" i="1" s="1"/>
  <c r="M54" i="1"/>
  <c r="S54" i="1" s="1" a="1"/>
  <c r="S54" i="1" s="1"/>
  <c r="M53" i="1"/>
  <c r="S53" i="1" s="1" a="1"/>
  <c r="S53" i="1" s="1"/>
  <c r="M56" i="1"/>
  <c r="S56" i="1" s="1" a="1"/>
  <c r="S56" i="1" s="1"/>
  <c r="O52" i="1"/>
  <c r="U52" i="1" s="1" a="1"/>
  <c r="U52" i="1" s="1"/>
  <c r="M52" i="1"/>
  <c r="S52" i="1" s="1" a="1"/>
  <c r="S52" i="1" s="1"/>
  <c r="M15" i="1"/>
  <c r="R15" i="1" s="1" a="1"/>
  <c r="M44" i="1"/>
  <c r="S44" i="1" s="1" a="1"/>
  <c r="S44" i="1" s="1"/>
  <c r="M20" i="1"/>
  <c r="R20" i="1" s="1" a="1"/>
  <c r="M7" i="1"/>
  <c r="M48" i="1"/>
  <c r="S48" i="1" s="1" a="1"/>
  <c r="S48" i="1" s="1"/>
  <c r="M22" i="1"/>
  <c r="R22" i="1" s="1" a="1"/>
  <c r="M9" i="1"/>
  <c r="M31" i="1"/>
  <c r="R31" i="1" s="1" a="1"/>
  <c r="M13" i="1"/>
  <c r="R13" i="1" s="1" a="1"/>
  <c r="M29" i="1"/>
  <c r="R29" i="1" s="1" a="1"/>
  <c r="M17" i="1"/>
  <c r="R17" i="1" s="1" a="1"/>
  <c r="M5" i="1"/>
  <c r="M10" i="1"/>
  <c r="J43" i="11" a="1"/>
  <c r="J43" i="11" s="1"/>
  <c r="J42" i="11" a="1"/>
  <c r="J42" i="11" s="1"/>
  <c r="G18" i="11" a="1"/>
  <c r="G18" i="11" s="1"/>
  <c r="G19" i="11" a="1"/>
  <c r="G19" i="11" s="1"/>
  <c r="G20" i="11" a="1"/>
  <c r="G20" i="11" s="1"/>
  <c r="M46" i="1" a="1"/>
  <c r="M49" i="1" a="1"/>
  <c r="M50" i="1" a="1"/>
  <c r="M45" i="1" a="1"/>
  <c r="M42" i="1" a="1"/>
  <c r="M16" i="1" a="1"/>
  <c r="M32" i="1" a="1"/>
  <c r="M40" i="1" a="1"/>
  <c r="M43" i="1" a="1"/>
  <c r="M23" i="1" a="1"/>
  <c r="M30" i="1" a="1"/>
  <c r="M18" i="1" a="1"/>
  <c r="M36" i="1" a="1"/>
  <c r="M33" i="1" a="1"/>
  <c r="M21" i="1" a="1"/>
  <c r="O67" i="1" a="1"/>
  <c r="O51" i="1" a="1"/>
  <c r="O81" i="1" a="1"/>
  <c r="O93" i="1" a="1"/>
  <c r="M4" i="1" a="1"/>
  <c r="O64" i="1" a="1"/>
  <c r="O80" i="1" a="1"/>
  <c r="O91" i="1" a="1"/>
  <c r="O61" i="1" a="1"/>
  <c r="O70" i="1" a="1"/>
  <c r="O97" i="1" a="1"/>
  <c r="O92" i="1" a="1"/>
  <c r="O76" i="1" a="1"/>
  <c r="O100" i="1" a="1"/>
  <c r="O72" i="1" a="1"/>
  <c r="R7" i="1" a="1"/>
  <c r="O78" i="1" a="1"/>
  <c r="R5" i="1" a="1"/>
  <c r="O86" i="1" a="1"/>
  <c r="O98" i="1" a="1"/>
  <c r="O73" i="1" a="1"/>
  <c r="O83" i="1" a="1"/>
  <c r="O79" i="1" a="1"/>
  <c r="O99" i="1" a="1"/>
  <c r="O53" i="1" a="1"/>
  <c r="O84" i="1" a="1"/>
  <c r="O74" i="1" a="1"/>
  <c r="O62" i="1" a="1"/>
  <c r="O56" i="1" a="1"/>
  <c r="R10" i="1" a="1"/>
  <c r="S9" i="1" a="1"/>
  <c r="S9" i="1" l="1"/>
  <c r="T44" i="1" a="1"/>
  <c r="T44" i="1" s="1"/>
  <c r="T53" i="1" a="1"/>
  <c r="T53" i="1" s="1"/>
  <c r="T55" i="1" a="1"/>
  <c r="T55" i="1" s="1"/>
  <c r="T48" i="1" a="1"/>
  <c r="T48" i="1" s="1"/>
  <c r="T56" i="1" a="1"/>
  <c r="T56" i="1" s="1"/>
  <c r="T52" i="1" a="1"/>
  <c r="T52" i="1" s="1"/>
  <c r="T54" i="1" a="1"/>
  <c r="T54" i="1" s="1"/>
  <c r="R5" i="1"/>
  <c r="R29" i="1"/>
  <c r="R22" i="1"/>
  <c r="R7" i="1"/>
  <c r="R20" i="1"/>
  <c r="R10" i="1"/>
  <c r="R15" i="1"/>
  <c r="R17" i="1"/>
  <c r="R13" i="1"/>
  <c r="R31" i="1"/>
  <c r="R44" i="1" a="1"/>
  <c r="R44" i="1" s="1"/>
  <c r="R56" i="1" a="1"/>
  <c r="R56" i="1" s="1"/>
  <c r="R52" i="1" a="1"/>
  <c r="R52" i="1" s="1"/>
  <c r="R53" i="1" a="1"/>
  <c r="R53" i="1" s="1"/>
  <c r="R55" i="1" a="1"/>
  <c r="R55" i="1" s="1"/>
  <c r="R48" i="1" a="1"/>
  <c r="R48" i="1" s="1"/>
  <c r="R54" i="1" a="1"/>
  <c r="R54" i="1" s="1"/>
  <c r="V52" i="1"/>
  <c r="M36" i="1"/>
  <c r="M33" i="1"/>
  <c r="M16" i="1"/>
  <c r="M42" i="1"/>
  <c r="M32" i="1"/>
  <c r="R32" i="1" s="1" a="1"/>
  <c r="M50" i="1"/>
  <c r="S50" i="1" s="1" a="1"/>
  <c r="S50" i="1" s="1"/>
  <c r="M46" i="1"/>
  <c r="S46" i="1" s="1" a="1"/>
  <c r="S46" i="1" s="1"/>
  <c r="M18" i="1"/>
  <c r="R18" i="1" s="1" a="1"/>
  <c r="M40" i="1"/>
  <c r="M21" i="1"/>
  <c r="M4" i="1"/>
  <c r="M49" i="1"/>
  <c r="S49" i="1" s="1" a="1"/>
  <c r="S49" i="1" s="1"/>
  <c r="M43" i="1"/>
  <c r="M30" i="1"/>
  <c r="M23" i="1"/>
  <c r="M45" i="1"/>
  <c r="S45" i="1" s="1" a="1"/>
  <c r="S45" i="1" s="1"/>
  <c r="O80" i="1"/>
  <c r="U80" i="1" s="1" a="1"/>
  <c r="U80" i="1" s="1"/>
  <c r="O100" i="1"/>
  <c r="U100" i="1" s="1" a="1"/>
  <c r="U100" i="1" s="1"/>
  <c r="O79" i="1"/>
  <c r="U79" i="1" s="1" a="1"/>
  <c r="U79" i="1" s="1"/>
  <c r="O53" i="1"/>
  <c r="U53" i="1" s="1" a="1"/>
  <c r="U53" i="1" s="1"/>
  <c r="O81" i="1"/>
  <c r="U81" i="1" s="1" a="1"/>
  <c r="U81" i="1" s="1"/>
  <c r="O64" i="1"/>
  <c r="U64" i="1" s="1" a="1"/>
  <c r="U64" i="1" s="1"/>
  <c r="O99" i="1"/>
  <c r="U99" i="1" s="1" a="1"/>
  <c r="U99" i="1" s="1"/>
  <c r="O70" i="1"/>
  <c r="U70" i="1" s="1" a="1"/>
  <c r="U70" i="1" s="1"/>
  <c r="O78" i="1"/>
  <c r="U78" i="1" s="1" a="1"/>
  <c r="U78" i="1" s="1"/>
  <c r="O91" i="1"/>
  <c r="U91" i="1" s="1" a="1"/>
  <c r="U91" i="1" s="1"/>
  <c r="O76" i="1"/>
  <c r="U76" i="1" s="1" a="1"/>
  <c r="U76" i="1" s="1"/>
  <c r="O92" i="1"/>
  <c r="U92" i="1" s="1" a="1"/>
  <c r="U92" i="1" s="1"/>
  <c r="O72" i="1"/>
  <c r="U72" i="1" s="1" a="1"/>
  <c r="U72" i="1" s="1"/>
  <c r="O93" i="1"/>
  <c r="U93" i="1" s="1" a="1"/>
  <c r="U93" i="1" s="1"/>
  <c r="O83" i="1"/>
  <c r="U83" i="1" s="1" a="1"/>
  <c r="U83" i="1" s="1"/>
  <c r="O56" i="1"/>
  <c r="U56" i="1" s="1" a="1"/>
  <c r="U56" i="1" s="1"/>
  <c r="O84" i="1"/>
  <c r="U84" i="1" s="1" a="1"/>
  <c r="U84" i="1" s="1"/>
  <c r="O67" i="1"/>
  <c r="U67" i="1" s="1" a="1"/>
  <c r="U67" i="1" s="1"/>
  <c r="O51" i="1"/>
  <c r="U51" i="1" s="1" a="1"/>
  <c r="U51" i="1" s="1"/>
  <c r="O98" i="1"/>
  <c r="U98" i="1" s="1" a="1"/>
  <c r="U98" i="1" s="1"/>
  <c r="O86" i="1"/>
  <c r="U86" i="1" s="1" a="1"/>
  <c r="U86" i="1" s="1"/>
  <c r="O74" i="1"/>
  <c r="U74" i="1" s="1" a="1"/>
  <c r="U74" i="1" s="1"/>
  <c r="O62" i="1"/>
  <c r="U62" i="1" s="1" a="1"/>
  <c r="U62" i="1" s="1"/>
  <c r="O97" i="1"/>
  <c r="U97" i="1" s="1" a="1"/>
  <c r="U97" i="1" s="1"/>
  <c r="O73" i="1"/>
  <c r="U73" i="1" s="1" a="1"/>
  <c r="U73" i="1" s="1"/>
  <c r="O61" i="1"/>
  <c r="U61" i="1" s="1" a="1"/>
  <c r="U61" i="1" s="1"/>
  <c r="C18" i="25"/>
  <c r="N18" i="25" s="1" a="1"/>
  <c r="N18" i="25" s="1"/>
  <c r="C19" i="25"/>
  <c r="H19" i="25" s="1" a="1"/>
  <c r="H19" i="25" s="1"/>
  <c r="C20" i="25"/>
  <c r="J20" i="25" s="1" a="1"/>
  <c r="J20" i="25" s="1"/>
  <c r="C21" i="25"/>
  <c r="E21" i="25" s="1"/>
  <c r="C22" i="25"/>
  <c r="L22" i="25" s="1" a="1"/>
  <c r="L22" i="25" s="1"/>
  <c r="C23" i="25"/>
  <c r="F23" i="25" s="1"/>
  <c r="C24" i="25"/>
  <c r="C25" i="25"/>
  <c r="E25" i="25" s="1"/>
  <c r="C26" i="25"/>
  <c r="H26" i="25" s="1" a="1"/>
  <c r="H26" i="25" s="1"/>
  <c r="C27" i="25"/>
  <c r="V27" i="25" s="1" a="1"/>
  <c r="V27" i="25" s="1"/>
  <c r="C28" i="25"/>
  <c r="E28" i="25" s="1"/>
  <c r="C29" i="25"/>
  <c r="C30" i="25"/>
  <c r="C31" i="25"/>
  <c r="C32" i="25"/>
  <c r="H32" i="25" s="1" a="1"/>
  <c r="H32" i="25" s="1"/>
  <c r="C33" i="25"/>
  <c r="F33" i="25" s="1"/>
  <c r="C34" i="25"/>
  <c r="C35" i="25"/>
  <c r="F35" i="25" s="1"/>
  <c r="C36" i="25"/>
  <c r="V36" i="25" s="1" a="1"/>
  <c r="V36" i="25" s="1"/>
  <c r="C37" i="25"/>
  <c r="C38" i="25"/>
  <c r="C39" i="25"/>
  <c r="C40" i="25"/>
  <c r="C41" i="25"/>
  <c r="F41" i="25" s="1"/>
  <c r="C42" i="25"/>
  <c r="P42" i="25" s="1" a="1"/>
  <c r="P42" i="25" s="1"/>
  <c r="C43" i="25"/>
  <c r="F43" i="25" s="1"/>
  <c r="C44" i="25"/>
  <c r="E44" i="25" s="1"/>
  <c r="C45" i="25"/>
  <c r="C46" i="25"/>
  <c r="T46" i="25" s="1" a="1"/>
  <c r="T46" i="25" s="1"/>
  <c r="C47" i="25"/>
  <c r="Z47" i="25" s="1" a="1"/>
  <c r="Z47" i="25" s="1"/>
  <c r="C48" i="25"/>
  <c r="E48" i="25" s="1"/>
  <c r="C49" i="25"/>
  <c r="F49" i="25" s="1"/>
  <c r="C50" i="25"/>
  <c r="R50" i="25" s="1" a="1"/>
  <c r="R50" i="25" s="1"/>
  <c r="C51" i="25"/>
  <c r="F51" i="25" s="1"/>
  <c r="C52" i="25"/>
  <c r="F52" i="25" s="1"/>
  <c r="C53" i="25"/>
  <c r="C54" i="25"/>
  <c r="Z54" i="25" s="1" a="1"/>
  <c r="Z54" i="25" s="1"/>
  <c r="C55" i="25"/>
  <c r="F55" i="25" s="1"/>
  <c r="C56" i="25"/>
  <c r="X56" i="25" s="1" a="1"/>
  <c r="X56" i="25" s="1"/>
  <c r="C57" i="25"/>
  <c r="H57" i="25" s="1" a="1"/>
  <c r="H57" i="25" s="1"/>
  <c r="C58" i="25"/>
  <c r="X58" i="25" s="1" a="1"/>
  <c r="X58" i="25" s="1"/>
  <c r="C59" i="25"/>
  <c r="C60" i="25"/>
  <c r="C61" i="25"/>
  <c r="N61" i="25" s="1" a="1"/>
  <c r="N61" i="25" s="1"/>
  <c r="C62" i="25"/>
  <c r="C63" i="25"/>
  <c r="C64" i="25"/>
  <c r="X64" i="25" s="1" a="1"/>
  <c r="X64" i="25" s="1"/>
  <c r="C65" i="25"/>
  <c r="F65" i="25" s="1"/>
  <c r="C66" i="25"/>
  <c r="F66" i="25" s="1"/>
  <c r="C67" i="25"/>
  <c r="E67" i="25" s="1"/>
  <c r="C68" i="25"/>
  <c r="AB68" i="25" s="1" a="1"/>
  <c r="AB68" i="25" s="1"/>
  <c r="C69" i="25"/>
  <c r="N69" i="25" s="1" a="1"/>
  <c r="N69" i="25" s="1"/>
  <c r="C70" i="25"/>
  <c r="L70" i="25" s="1" a="1"/>
  <c r="L70" i="25" s="1"/>
  <c r="C71" i="25"/>
  <c r="E71" i="25" s="1"/>
  <c r="C72" i="25"/>
  <c r="H72" i="25" s="1" a="1"/>
  <c r="H72" i="25" s="1"/>
  <c r="C73" i="25"/>
  <c r="F73" i="25" s="1"/>
  <c r="C74" i="25"/>
  <c r="L74" i="25" s="1" a="1"/>
  <c r="L74" i="25" s="1"/>
  <c r="C75" i="25"/>
  <c r="N75" i="25" s="1" a="1"/>
  <c r="N75" i="25" s="1"/>
  <c r="C76" i="25"/>
  <c r="AD76" i="25" s="1" a="1"/>
  <c r="AD76" i="25" s="1"/>
  <c r="C77" i="25"/>
  <c r="N77" i="25" s="1" a="1"/>
  <c r="N77" i="25" s="1"/>
  <c r="C78" i="25"/>
  <c r="C79" i="25"/>
  <c r="C80" i="25"/>
  <c r="C81" i="25"/>
  <c r="X81" i="25" s="1" a="1"/>
  <c r="X81" i="25" s="1"/>
  <c r="C82" i="25"/>
  <c r="C83" i="25"/>
  <c r="C84" i="25"/>
  <c r="AD84" i="25" s="1" a="1"/>
  <c r="AD84" i="25" s="1"/>
  <c r="C85" i="25"/>
  <c r="C86" i="25"/>
  <c r="C87" i="25"/>
  <c r="C88" i="25"/>
  <c r="AB88" i="25" s="1" a="1"/>
  <c r="AB88" i="25" s="1"/>
  <c r="C89" i="25"/>
  <c r="H89" i="25" s="1" a="1"/>
  <c r="H89" i="25" s="1"/>
  <c r="C90" i="25"/>
  <c r="V90" i="25" s="1" a="1"/>
  <c r="V90" i="25" s="1"/>
  <c r="C91" i="25"/>
  <c r="C92" i="25"/>
  <c r="L92" i="25" s="1" a="1"/>
  <c r="L92" i="25" s="1"/>
  <c r="C93" i="25"/>
  <c r="X93" i="25" s="1" a="1"/>
  <c r="X93" i="25" s="1"/>
  <c r="C94" i="25"/>
  <c r="E94" i="25" s="1"/>
  <c r="C95" i="25"/>
  <c r="E95" i="25" s="1"/>
  <c r="C96" i="25"/>
  <c r="C97" i="25"/>
  <c r="C98" i="25"/>
  <c r="E98" i="25" s="1"/>
  <c r="C99" i="25"/>
  <c r="H99" i="25" s="1" a="1"/>
  <c r="H99" i="25" s="1"/>
  <c r="C100" i="25"/>
  <c r="J100" i="25" s="1" a="1"/>
  <c r="J100" i="25" s="1"/>
  <c r="C101" i="25"/>
  <c r="P101" i="25" s="1" a="1"/>
  <c r="P101" i="25" s="1"/>
  <c r="C102" i="25"/>
  <c r="N102" i="25" s="1" a="1"/>
  <c r="N102" i="25" s="1"/>
  <c r="C103" i="25"/>
  <c r="Z103" i="25" s="1" a="1"/>
  <c r="Z103" i="25" s="1"/>
  <c r="C104" i="25"/>
  <c r="E104" i="25" s="1"/>
  <c r="C105" i="25"/>
  <c r="C106" i="25"/>
  <c r="N106" i="25" s="1" a="1"/>
  <c r="N106" i="25" s="1"/>
  <c r="C107" i="25"/>
  <c r="C108" i="25"/>
  <c r="H108" i="25" s="1" a="1"/>
  <c r="H108" i="25" s="1"/>
  <c r="C109" i="25"/>
  <c r="AD109" i="25" s="1" a="1"/>
  <c r="AD109" i="25" s="1"/>
  <c r="C110" i="25"/>
  <c r="N110" i="25" s="1" a="1"/>
  <c r="N110" i="25" s="1"/>
  <c r="C111" i="25"/>
  <c r="C112" i="25"/>
  <c r="H112" i="25" s="1" a="1"/>
  <c r="H112" i="25" s="1"/>
  <c r="C113" i="25"/>
  <c r="C114" i="25"/>
  <c r="E114" i="25" s="1"/>
  <c r="C115" i="25"/>
  <c r="AD115" i="25" s="1" a="1"/>
  <c r="AD115" i="25" s="1"/>
  <c r="C116" i="25"/>
  <c r="R116" i="25" s="1" a="1"/>
  <c r="R116" i="25" s="1"/>
  <c r="C117" i="25"/>
  <c r="H117" i="25" s="1" a="1"/>
  <c r="H117" i="25" s="1"/>
  <c r="C118" i="25"/>
  <c r="P118" i="25" s="1" a="1"/>
  <c r="P118" i="25" s="1"/>
  <c r="C119" i="25"/>
  <c r="E119" i="25" s="1"/>
  <c r="C120" i="25"/>
  <c r="F120" i="25" s="1"/>
  <c r="C121" i="25"/>
  <c r="C122" i="25"/>
  <c r="E122" i="25" s="1"/>
  <c r="C123" i="25"/>
  <c r="L123" i="25" s="1" a="1"/>
  <c r="L123" i="25" s="1"/>
  <c r="C124" i="25"/>
  <c r="J124" i="25" s="1" a="1"/>
  <c r="J124" i="25" s="1"/>
  <c r="C125" i="25"/>
  <c r="H125" i="25" s="1" a="1"/>
  <c r="H125" i="25" s="1"/>
  <c r="C126" i="25"/>
  <c r="C127" i="25"/>
  <c r="C128" i="25"/>
  <c r="AB128" i="25" s="1" a="1"/>
  <c r="AB128" i="25" s="1"/>
  <c r="C129" i="25"/>
  <c r="AB129" i="25" s="1" a="1"/>
  <c r="AB129" i="25" s="1"/>
  <c r="C130" i="25"/>
  <c r="J130" i="25" s="1" a="1"/>
  <c r="J130" i="25" s="1"/>
  <c r="C131" i="25"/>
  <c r="H131" i="25" s="1" a="1"/>
  <c r="H131" i="25" s="1"/>
  <c r="C132" i="25"/>
  <c r="Z132" i="25" s="1" a="1"/>
  <c r="Z132" i="25" s="1"/>
  <c r="C133" i="25"/>
  <c r="L133" i="25" s="1" a="1"/>
  <c r="L133" i="25" s="1"/>
  <c r="C134" i="25"/>
  <c r="E134" i="25" s="1"/>
  <c r="C135" i="25"/>
  <c r="V135" i="25" s="1" a="1"/>
  <c r="V135" i="25" s="1"/>
  <c r="C136" i="25"/>
  <c r="J136" i="25" s="1" a="1"/>
  <c r="J136" i="25" s="1"/>
  <c r="C137" i="25"/>
  <c r="AD137" i="25" s="1" a="1"/>
  <c r="AD137" i="25" s="1"/>
  <c r="C138" i="25"/>
  <c r="F138" i="25" s="1"/>
  <c r="C139" i="25"/>
  <c r="C140" i="25"/>
  <c r="AD140" i="25" s="1" a="1"/>
  <c r="AD140" i="25" s="1"/>
  <c r="C141" i="25"/>
  <c r="V141" i="25" s="1" a="1"/>
  <c r="V141" i="25" s="1"/>
  <c r="C142" i="25"/>
  <c r="J142" i="25" s="1" a="1"/>
  <c r="J142" i="25" s="1"/>
  <c r="C143" i="25"/>
  <c r="AD143" i="25" s="1" a="1"/>
  <c r="AD143" i="25" s="1"/>
  <c r="C144" i="25"/>
  <c r="C145" i="25"/>
  <c r="C146" i="25"/>
  <c r="H146" i="25" s="1" a="1"/>
  <c r="H146" i="25" s="1"/>
  <c r="C147" i="25"/>
  <c r="C148" i="25"/>
  <c r="C149" i="25"/>
  <c r="C150" i="25"/>
  <c r="L150" i="25" s="1" a="1"/>
  <c r="L150" i="25" s="1"/>
  <c r="AG7" i="25"/>
  <c r="AH7" i="25"/>
  <c r="AI7" i="25"/>
  <c r="AJ7" i="25"/>
  <c r="AK7" i="25"/>
  <c r="AL7" i="25"/>
  <c r="AM7" i="25"/>
  <c r="AN7" i="25"/>
  <c r="AO7" i="25"/>
  <c r="AP7" i="25"/>
  <c r="AQ7" i="25"/>
  <c r="AR7" i="25"/>
  <c r="AS7" i="25"/>
  <c r="AT7" i="25"/>
  <c r="AU7" i="25"/>
  <c r="AV7" i="25"/>
  <c r="AW7" i="25"/>
  <c r="AX7" i="25"/>
  <c r="AY7" i="25"/>
  <c r="AZ7" i="25"/>
  <c r="BA7" i="25"/>
  <c r="BB7" i="25"/>
  <c r="BC7" i="25"/>
  <c r="BD7" i="25"/>
  <c r="BE7" i="25"/>
  <c r="BF7" i="25"/>
  <c r="BG7" i="25"/>
  <c r="BH7" i="25"/>
  <c r="BI7" i="25"/>
  <c r="BJ7" i="25"/>
  <c r="BK7" i="25"/>
  <c r="BL7" i="25"/>
  <c r="BM7" i="25"/>
  <c r="BN7" i="25"/>
  <c r="BO7" i="25"/>
  <c r="BP7" i="25"/>
  <c r="BQ7" i="25"/>
  <c r="BR7" i="25"/>
  <c r="BS7" i="25"/>
  <c r="BT7" i="25"/>
  <c r="BU7" i="25"/>
  <c r="BV7" i="25"/>
  <c r="BW7" i="25"/>
  <c r="BX7" i="25"/>
  <c r="BY7" i="25"/>
  <c r="BZ7" i="25"/>
  <c r="CA7" i="25"/>
  <c r="CB7" i="25"/>
  <c r="CC7" i="25"/>
  <c r="CD7" i="25"/>
  <c r="CE7" i="25"/>
  <c r="CF7" i="25"/>
  <c r="CG7" i="25"/>
  <c r="CH7" i="25"/>
  <c r="CI7" i="25"/>
  <c r="CJ7" i="25"/>
  <c r="CK7" i="25"/>
  <c r="CL7" i="25"/>
  <c r="CM7" i="25"/>
  <c r="CN7" i="25"/>
  <c r="CO7" i="25"/>
  <c r="CP7" i="25"/>
  <c r="CQ7" i="25"/>
  <c r="CR7" i="25"/>
  <c r="CS7" i="25"/>
  <c r="CT7" i="25"/>
  <c r="CW7" i="25"/>
  <c r="CX7" i="25"/>
  <c r="CY7" i="25"/>
  <c r="CZ7" i="25"/>
  <c r="DA7" i="25"/>
  <c r="DB7" i="25"/>
  <c r="DC7" i="25"/>
  <c r="DD7" i="25"/>
  <c r="DE7" i="25"/>
  <c r="DF7" i="25"/>
  <c r="DG7" i="25"/>
  <c r="DH7" i="25"/>
  <c r="DI7" i="25"/>
  <c r="DJ7" i="25"/>
  <c r="DK7" i="25"/>
  <c r="DL7" i="25"/>
  <c r="DM7" i="25"/>
  <c r="DN7" i="25"/>
  <c r="DO7" i="25"/>
  <c r="DP7" i="25"/>
  <c r="DQ7" i="25"/>
  <c r="DR7" i="25"/>
  <c r="DS7" i="25"/>
  <c r="DT7" i="25"/>
  <c r="DU7" i="25"/>
  <c r="DV7" i="25"/>
  <c r="DW7" i="25"/>
  <c r="DX7" i="25"/>
  <c r="DY7" i="25"/>
  <c r="DZ7" i="25"/>
  <c r="EA7" i="25"/>
  <c r="EB7" i="25"/>
  <c r="EC7" i="25"/>
  <c r="ED7" i="25"/>
  <c r="EE7" i="25"/>
  <c r="EF7" i="25"/>
  <c r="EG7" i="25"/>
  <c r="EH7" i="25"/>
  <c r="EI7" i="25"/>
  <c r="EJ7" i="25"/>
  <c r="EK7" i="25"/>
  <c r="EL7" i="25"/>
  <c r="EM7" i="25"/>
  <c r="EN7" i="25"/>
  <c r="EO7" i="25"/>
  <c r="EP7" i="25"/>
  <c r="EQ7" i="25"/>
  <c r="ER7" i="25"/>
  <c r="ES7" i="25"/>
  <c r="ET7" i="25"/>
  <c r="EU7" i="25"/>
  <c r="EV7" i="25"/>
  <c r="EW7" i="25"/>
  <c r="EX7" i="25"/>
  <c r="EY7" i="25"/>
  <c r="EZ7" i="25"/>
  <c r="FA7" i="25"/>
  <c r="FB7" i="25"/>
  <c r="FC7" i="25"/>
  <c r="FD7" i="25"/>
  <c r="FE7" i="25"/>
  <c r="FF7" i="25"/>
  <c r="FG7" i="25"/>
  <c r="FH7" i="25"/>
  <c r="FI7" i="25"/>
  <c r="FJ7" i="25"/>
  <c r="FK7" i="25"/>
  <c r="FL7" i="25"/>
  <c r="FM7" i="25"/>
  <c r="FN7" i="25"/>
  <c r="FO7" i="25"/>
  <c r="FP7" i="25"/>
  <c r="FQ7" i="25"/>
  <c r="FR7" i="25"/>
  <c r="FS7" i="25"/>
  <c r="FT7" i="25"/>
  <c r="FU7" i="25"/>
  <c r="FV7" i="25"/>
  <c r="FW7" i="25"/>
  <c r="FX7" i="25"/>
  <c r="FY7" i="25"/>
  <c r="FZ7" i="25"/>
  <c r="GA7" i="25"/>
  <c r="GB7" i="25"/>
  <c r="GC7" i="25"/>
  <c r="GD7" i="25"/>
  <c r="GE7" i="25"/>
  <c r="GF7" i="25"/>
  <c r="GG7" i="25"/>
  <c r="GH7" i="25"/>
  <c r="GI7" i="25"/>
  <c r="GJ7" i="25"/>
  <c r="GK7" i="25"/>
  <c r="GL7" i="25"/>
  <c r="GM7" i="25"/>
  <c r="GN7" i="25"/>
  <c r="GO7" i="25"/>
  <c r="GP7" i="25"/>
  <c r="GQ7" i="25"/>
  <c r="GR7" i="25"/>
  <c r="GS7" i="25"/>
  <c r="GT7" i="25"/>
  <c r="GU7" i="25"/>
  <c r="GV7" i="25"/>
  <c r="GW7" i="25"/>
  <c r="GX7" i="25"/>
  <c r="GY7" i="25"/>
  <c r="GZ7" i="25"/>
  <c r="HA7" i="25"/>
  <c r="HB7" i="25"/>
  <c r="HC7" i="25"/>
  <c r="HD7" i="25"/>
  <c r="HE7" i="25"/>
  <c r="HF7" i="25"/>
  <c r="HG7" i="25"/>
  <c r="HH7" i="25"/>
  <c r="HI7" i="25"/>
  <c r="HJ7" i="25"/>
  <c r="HK7" i="25"/>
  <c r="HL7" i="25"/>
  <c r="HM7" i="25"/>
  <c r="HN7" i="25"/>
  <c r="HO7" i="25"/>
  <c r="HP7" i="25"/>
  <c r="HQ7" i="25"/>
  <c r="HR7" i="25"/>
  <c r="HS7" i="25"/>
  <c r="HT7" i="25"/>
  <c r="HU7" i="25"/>
  <c r="HV7" i="25"/>
  <c r="HW7" i="25"/>
  <c r="HX7" i="25"/>
  <c r="HY7" i="25"/>
  <c r="HZ7" i="25"/>
  <c r="IA7" i="25"/>
  <c r="IB7" i="25"/>
  <c r="IC7" i="25"/>
  <c r="ID7" i="25"/>
  <c r="IE7" i="25"/>
  <c r="IF7" i="25"/>
  <c r="IG7" i="25"/>
  <c r="IH7" i="25"/>
  <c r="II7" i="25"/>
  <c r="IJ7" i="25"/>
  <c r="IK7" i="25"/>
  <c r="IL7" i="25"/>
  <c r="IM7" i="25"/>
  <c r="IN7" i="25"/>
  <c r="IO7" i="25"/>
  <c r="IP7" i="25"/>
  <c r="IQ7" i="25"/>
  <c r="IR7" i="25"/>
  <c r="IS7" i="25"/>
  <c r="IT7" i="25"/>
  <c r="IU7" i="25"/>
  <c r="IV7" i="25"/>
  <c r="IW7" i="25"/>
  <c r="IX7" i="25"/>
  <c r="IY7" i="25"/>
  <c r="IZ7" i="25"/>
  <c r="JA7" i="25"/>
  <c r="JB7" i="25"/>
  <c r="JC7" i="25"/>
  <c r="JD7" i="25"/>
  <c r="JE7" i="25"/>
  <c r="JF7" i="25"/>
  <c r="JG7" i="25"/>
  <c r="JH7" i="25"/>
  <c r="JI7" i="25"/>
  <c r="JJ7" i="25"/>
  <c r="JK7" i="25"/>
  <c r="JL7" i="25"/>
  <c r="JM7" i="25"/>
  <c r="JN7" i="25"/>
  <c r="JO7" i="25"/>
  <c r="JP7" i="25"/>
  <c r="JQ7" i="25"/>
  <c r="JR7" i="25"/>
  <c r="JS7" i="25"/>
  <c r="JT7" i="25"/>
  <c r="JU7" i="25"/>
  <c r="JV7" i="25"/>
  <c r="JW7" i="25"/>
  <c r="JX7" i="25"/>
  <c r="JY7" i="25"/>
  <c r="JZ7" i="25"/>
  <c r="KA7" i="25"/>
  <c r="KB7" i="25"/>
  <c r="KC7" i="25"/>
  <c r="KD7" i="25"/>
  <c r="KE7" i="25"/>
  <c r="KF7" i="25"/>
  <c r="KG7" i="25"/>
  <c r="KH7" i="25"/>
  <c r="KI7" i="25"/>
  <c r="KJ7" i="25"/>
  <c r="KK7" i="25"/>
  <c r="KL7" i="25"/>
  <c r="KM7" i="25"/>
  <c r="KN7" i="25"/>
  <c r="KO7" i="25"/>
  <c r="KP7" i="25"/>
  <c r="KQ7" i="25"/>
  <c r="KR7" i="25"/>
  <c r="KS7" i="25"/>
  <c r="KT7" i="25"/>
  <c r="KU7" i="25"/>
  <c r="KV7" i="25"/>
  <c r="KW7" i="25"/>
  <c r="KX7" i="25"/>
  <c r="KY7" i="25"/>
  <c r="KZ7" i="25"/>
  <c r="LA7" i="25"/>
  <c r="LB7" i="25"/>
  <c r="LC7" i="25"/>
  <c r="LD7" i="25"/>
  <c r="LE7" i="25"/>
  <c r="LF7" i="25"/>
  <c r="LG7" i="25"/>
  <c r="LH7" i="25"/>
  <c r="LI7" i="25"/>
  <c r="LJ7" i="25"/>
  <c r="LK7" i="25"/>
  <c r="LL7" i="25"/>
  <c r="LM7" i="25"/>
  <c r="LN7" i="25"/>
  <c r="LO7" i="25"/>
  <c r="LP7" i="25"/>
  <c r="LQ7" i="25"/>
  <c r="LR7" i="25"/>
  <c r="LS7" i="25"/>
  <c r="LT7" i="25"/>
  <c r="LU7" i="25"/>
  <c r="LV7" i="25"/>
  <c r="LW7" i="25"/>
  <c r="LX7" i="25"/>
  <c r="LY7" i="25"/>
  <c r="LZ7" i="25"/>
  <c r="MA7" i="25"/>
  <c r="MB7" i="25"/>
  <c r="MC7" i="25"/>
  <c r="MD7" i="25"/>
  <c r="ME7" i="25"/>
  <c r="MF7" i="25"/>
  <c r="MG7" i="25"/>
  <c r="MH7" i="25"/>
  <c r="MI7" i="25"/>
  <c r="MJ7" i="25"/>
  <c r="MK7" i="25"/>
  <c r="ML7" i="25"/>
  <c r="MM7" i="25"/>
  <c r="MN7" i="25"/>
  <c r="MO7" i="25"/>
  <c r="MP7" i="25"/>
  <c r="MQ7" i="25"/>
  <c r="MR7" i="25"/>
  <c r="MS7" i="25"/>
  <c r="MT7" i="25"/>
  <c r="MU7" i="25"/>
  <c r="MV7" i="25"/>
  <c r="MW7" i="25"/>
  <c r="MX7" i="25"/>
  <c r="MY7" i="25"/>
  <c r="MZ7" i="25"/>
  <c r="NA7" i="25"/>
  <c r="NB7" i="25"/>
  <c r="NC7" i="25"/>
  <c r="ND7" i="25"/>
  <c r="NE7" i="25"/>
  <c r="NF7" i="25"/>
  <c r="NG7" i="25"/>
  <c r="NH7" i="25"/>
  <c r="NI7" i="25"/>
  <c r="NJ7" i="25"/>
  <c r="NK7" i="25"/>
  <c r="NL7" i="25"/>
  <c r="NM7" i="25"/>
  <c r="NN7" i="25"/>
  <c r="NO7" i="25"/>
  <c r="NP7" i="25"/>
  <c r="NQ7" i="25"/>
  <c r="NR7" i="25"/>
  <c r="NS7" i="25"/>
  <c r="NT7" i="25"/>
  <c r="NU7" i="25"/>
  <c r="NV7" i="25"/>
  <c r="NW7" i="25"/>
  <c r="NX7" i="25"/>
  <c r="NY7" i="25"/>
  <c r="NZ7" i="25"/>
  <c r="OA7" i="25"/>
  <c r="OB7" i="25"/>
  <c r="OC7" i="25"/>
  <c r="OD7" i="25"/>
  <c r="OE7" i="25"/>
  <c r="AE7" i="25"/>
  <c r="I7" i="25"/>
  <c r="K7" i="25"/>
  <c r="M7" i="25"/>
  <c r="O7" i="25"/>
  <c r="Q7" i="25"/>
  <c r="S7" i="25"/>
  <c r="U7" i="25"/>
  <c r="W7" i="25"/>
  <c r="Y7" i="25"/>
  <c r="AA7" i="25"/>
  <c r="AC7" i="25"/>
  <c r="G7" i="25"/>
  <c r="J40" i="11" a="1"/>
  <c r="J40" i="11" s="1"/>
  <c r="J38" i="11" a="1"/>
  <c r="J38" i="11" s="1"/>
  <c r="J37" i="11" a="1"/>
  <c r="J37" i="11" s="1"/>
  <c r="M12" i="1" a="1"/>
  <c r="M28" i="1" a="1"/>
  <c r="M41" i="1" a="1"/>
  <c r="R9" i="1" a="1"/>
  <c r="O85" i="1" a="1"/>
  <c r="M6" i="1" a="1"/>
  <c r="R4" i="1" a="1"/>
  <c r="O68" i="1" a="1"/>
  <c r="O88" i="1" a="1"/>
  <c r="O58" i="1" a="1"/>
  <c r="O50" i="1" a="1"/>
  <c r="O60" i="1" a="1"/>
  <c r="R9" i="1" l="1"/>
  <c r="T45" i="1" a="1"/>
  <c r="T45" i="1" s="1"/>
  <c r="T49" i="1" a="1"/>
  <c r="T49" i="1" s="1"/>
  <c r="T46" i="1" a="1"/>
  <c r="T46" i="1" s="1"/>
  <c r="T50" i="1" a="1"/>
  <c r="T50" i="1" s="1"/>
  <c r="R18" i="1"/>
  <c r="R4" i="1"/>
  <c r="R32" i="1"/>
  <c r="R50" i="1" a="1"/>
  <c r="R50" i="1" s="1"/>
  <c r="R49" i="1" a="1"/>
  <c r="R49" i="1" s="1"/>
  <c r="R46" i="1" a="1"/>
  <c r="R46" i="1" s="1"/>
  <c r="R45" i="1" a="1"/>
  <c r="R45" i="1" s="1"/>
  <c r="M28" i="1"/>
  <c r="R28" i="1" s="1" a="1"/>
  <c r="O88" i="1"/>
  <c r="U88" i="1" s="1" a="1"/>
  <c r="U88" i="1" s="1"/>
  <c r="O58" i="1"/>
  <c r="U58" i="1" s="1" a="1"/>
  <c r="U58" i="1" s="1"/>
  <c r="O60" i="1"/>
  <c r="U60" i="1" s="1" a="1"/>
  <c r="U60" i="1" s="1"/>
  <c r="M41" i="1"/>
  <c r="O50" i="1"/>
  <c r="U50" i="1" s="1" a="1"/>
  <c r="U50" i="1" s="1"/>
  <c r="O85" i="1"/>
  <c r="U85" i="1" s="1" a="1"/>
  <c r="U85" i="1" s="1"/>
  <c r="M6" i="1"/>
  <c r="M12" i="1"/>
  <c r="R12" i="1" s="1" a="1"/>
  <c r="O68" i="1"/>
  <c r="U68" i="1" s="1" a="1"/>
  <c r="U68" i="1" s="1"/>
  <c r="V56" i="1"/>
  <c r="V87" i="1"/>
  <c r="V94" i="1"/>
  <c r="V53" i="1"/>
  <c r="V61" i="1"/>
  <c r="V99" i="1"/>
  <c r="V60" i="1"/>
  <c r="V74" i="1"/>
  <c r="V57" i="1"/>
  <c r="V65" i="1"/>
  <c r="V82" i="1"/>
  <c r="V58" i="1"/>
  <c r="V81" i="1"/>
  <c r="V93" i="1"/>
  <c r="V79" i="1"/>
  <c r="V73" i="1"/>
  <c r="V62" i="1"/>
  <c r="V75" i="1"/>
  <c r="V92" i="1"/>
  <c r="V90" i="1"/>
  <c r="V100" i="1"/>
  <c r="V55" i="1"/>
  <c r="V96" i="1"/>
  <c r="V54" i="1"/>
  <c r="V59" i="1"/>
  <c r="V64" i="1"/>
  <c r="V67" i="1"/>
  <c r="V66" i="1"/>
  <c r="V89" i="1"/>
  <c r="V84" i="1"/>
  <c r="V83" i="1"/>
  <c r="V80" i="1"/>
  <c r="V76" i="1"/>
  <c r="V85" i="1"/>
  <c r="V95" i="1"/>
  <c r="V63" i="1"/>
  <c r="V72" i="1"/>
  <c r="V71" i="1"/>
  <c r="V68" i="1"/>
  <c r="V78" i="1"/>
  <c r="V69" i="1"/>
  <c r="V77" i="1"/>
  <c r="V91" i="1"/>
  <c r="V98" i="1"/>
  <c r="V88" i="1"/>
  <c r="V70" i="1"/>
  <c r="V86" i="1"/>
  <c r="V97" i="1"/>
  <c r="V50" i="1"/>
  <c r="L18" i="25" a="1"/>
  <c r="L18" i="25" s="1"/>
  <c r="AB56" i="25" a="1"/>
  <c r="AB56" i="25" s="1"/>
  <c r="T27" i="25" a="1"/>
  <c r="T27" i="25" s="1"/>
  <c r="R112" i="25" a="1"/>
  <c r="R112" i="25" s="1"/>
  <c r="E36" i="25"/>
  <c r="R26" i="25" a="1"/>
  <c r="R26" i="25" s="1"/>
  <c r="T75" i="25" a="1"/>
  <c r="T75" i="25" s="1"/>
  <c r="J43" i="25" a="1"/>
  <c r="J43" i="25" s="1"/>
  <c r="H84" i="25" a="1"/>
  <c r="H84" i="25" s="1"/>
  <c r="H75" i="25" a="1"/>
  <c r="H75" i="25" s="1"/>
  <c r="AD92" i="25" a="1"/>
  <c r="AD92" i="25" s="1"/>
  <c r="AD95" i="25" a="1"/>
  <c r="AD95" i="25" s="1"/>
  <c r="AD56" i="25" a="1"/>
  <c r="AD56" i="25" s="1"/>
  <c r="R36" i="25" a="1"/>
  <c r="R36" i="25" s="1"/>
  <c r="H100" i="25" a="1"/>
  <c r="H100" i="25" s="1"/>
  <c r="AB92" i="25" a="1"/>
  <c r="AB92" i="25" s="1"/>
  <c r="E100" i="25"/>
  <c r="Z129" i="25" a="1"/>
  <c r="Z129" i="25" s="1"/>
  <c r="X129" i="25" a="1"/>
  <c r="X129" i="25" s="1"/>
  <c r="V129" i="25" a="1"/>
  <c r="V129" i="25" s="1"/>
  <c r="F128" i="25"/>
  <c r="X20" i="25" a="1"/>
  <c r="X20" i="25" s="1"/>
  <c r="F116" i="25"/>
  <c r="E116" i="25"/>
  <c r="V108" i="25" a="1"/>
  <c r="V108" i="25" s="1"/>
  <c r="AB99" i="25" a="1"/>
  <c r="AB99" i="25" s="1"/>
  <c r="F81" i="25"/>
  <c r="P138" i="25" a="1"/>
  <c r="P138" i="25" s="1"/>
  <c r="J22" i="25" a="1"/>
  <c r="J22" i="25" s="1"/>
  <c r="AB131" i="25" a="1"/>
  <c r="AB131" i="25" s="1"/>
  <c r="R106" i="25" a="1"/>
  <c r="R106" i="25" s="1"/>
  <c r="E22" i="25"/>
  <c r="L32" i="25" a="1"/>
  <c r="L32" i="25" s="1"/>
  <c r="T135" i="25" a="1"/>
  <c r="T135" i="25" s="1"/>
  <c r="F135" i="25"/>
  <c r="E135" i="25"/>
  <c r="AD36" i="25" a="1"/>
  <c r="AD36" i="25" s="1"/>
  <c r="Z36" i="25" a="1"/>
  <c r="Z36" i="25" s="1"/>
  <c r="T146" i="25" a="1"/>
  <c r="T146" i="25" s="1"/>
  <c r="T43" i="25" a="1"/>
  <c r="T43" i="25" s="1"/>
  <c r="X36" i="25" a="1"/>
  <c r="X36" i="25" s="1"/>
  <c r="R146" i="25" a="1"/>
  <c r="R146" i="25" s="1"/>
  <c r="AD88" i="25" a="1"/>
  <c r="AD88" i="25" s="1"/>
  <c r="L43" i="25" a="1"/>
  <c r="L43" i="25" s="1"/>
  <c r="AD123" i="25" a="1"/>
  <c r="AD123" i="25" s="1"/>
  <c r="E107" i="25"/>
  <c r="Z107" i="25" a="1"/>
  <c r="Z107" i="25" s="1"/>
  <c r="AB67" i="25" a="1"/>
  <c r="AB67" i="25" s="1"/>
  <c r="F112" i="25"/>
  <c r="X112" i="25" a="1"/>
  <c r="X112" i="25" s="1"/>
  <c r="AD112" i="25" a="1"/>
  <c r="AD112" i="25" s="1"/>
  <c r="J112" i="25" a="1"/>
  <c r="J112" i="25" s="1"/>
  <c r="P112" i="25" a="1"/>
  <c r="P112" i="25" s="1"/>
  <c r="X102" i="25" a="1"/>
  <c r="X102" i="25" s="1"/>
  <c r="F87" i="25"/>
  <c r="AB87" i="25" a="1"/>
  <c r="AB87" i="25" s="1"/>
  <c r="X126" i="25" a="1"/>
  <c r="X126" i="25" s="1"/>
  <c r="E126" i="25"/>
  <c r="F126" i="25"/>
  <c r="F60" i="25"/>
  <c r="Z60" i="25" a="1"/>
  <c r="Z60" i="25" s="1"/>
  <c r="AB60" i="25" a="1"/>
  <c r="AB60" i="25" s="1"/>
  <c r="X60" i="25" a="1"/>
  <c r="X60" i="25" s="1"/>
  <c r="F22" i="25"/>
  <c r="Z22" i="25" a="1"/>
  <c r="Z22" i="25" s="1"/>
  <c r="P123" i="25" a="1"/>
  <c r="P123" i="25" s="1"/>
  <c r="E123" i="25"/>
  <c r="H123" i="25" a="1"/>
  <c r="H123" i="25" s="1"/>
  <c r="F38" i="25"/>
  <c r="AB38" i="25" a="1"/>
  <c r="AB38" i="25" s="1"/>
  <c r="L38" i="25" a="1"/>
  <c r="L38" i="25" s="1"/>
  <c r="E45" i="25"/>
  <c r="Z45" i="25" a="1"/>
  <c r="Z45" i="25" s="1"/>
  <c r="AB45" i="25" a="1"/>
  <c r="AB45" i="25" s="1"/>
  <c r="E37" i="25"/>
  <c r="P37" i="25" a="1"/>
  <c r="P37" i="25" s="1"/>
  <c r="Z37" i="25" a="1"/>
  <c r="Z37" i="25" s="1"/>
  <c r="E24" i="25"/>
  <c r="T24" i="25" a="1"/>
  <c r="T24" i="25" s="1"/>
  <c r="AB24" i="25" a="1"/>
  <c r="AB24" i="25" s="1"/>
  <c r="AD24" i="25" a="1"/>
  <c r="AD24" i="25" s="1"/>
  <c r="F127" i="25"/>
  <c r="L127" i="25" a="1"/>
  <c r="L127" i="25" s="1"/>
  <c r="AD127" i="25" a="1"/>
  <c r="AD127" i="25" s="1"/>
  <c r="J102" i="25" a="1"/>
  <c r="J102" i="25" s="1"/>
  <c r="Z102" i="25" a="1"/>
  <c r="Z102" i="25" s="1"/>
  <c r="AB102" i="25" a="1"/>
  <c r="AB102" i="25" s="1"/>
  <c r="F30" i="25"/>
  <c r="E30" i="25"/>
  <c r="J30" i="25" a="1"/>
  <c r="J30" i="25" s="1"/>
  <c r="AD30" i="25" a="1"/>
  <c r="AD30" i="25" s="1"/>
  <c r="Z68" i="25" a="1"/>
  <c r="Z68" i="25" s="1"/>
  <c r="T36" i="25" a="1"/>
  <c r="T36" i="25" s="1"/>
  <c r="N36" i="25" a="1"/>
  <c r="N36" i="25" s="1"/>
  <c r="P36" i="25" a="1"/>
  <c r="P36" i="25" s="1"/>
  <c r="H20" i="25" a="1"/>
  <c r="H20" i="25" s="1"/>
  <c r="AB20" i="25" a="1"/>
  <c r="AB20" i="25" s="1"/>
  <c r="R108" i="25" a="1"/>
  <c r="R108" i="25" s="1"/>
  <c r="AB101" i="25" a="1"/>
  <c r="AB101" i="25" s="1"/>
  <c r="E75" i="25"/>
  <c r="AB75" i="25" a="1"/>
  <c r="AB75" i="25" s="1"/>
  <c r="N47" i="25" a="1"/>
  <c r="N47" i="25" s="1"/>
  <c r="L36" i="25" a="1"/>
  <c r="L36" i="25" s="1"/>
  <c r="V20" i="25" a="1"/>
  <c r="V20" i="25" s="1"/>
  <c r="J36" i="25" a="1"/>
  <c r="J36" i="25" s="1"/>
  <c r="P20" i="25" a="1"/>
  <c r="P20" i="25" s="1"/>
  <c r="AD131" i="25" a="1"/>
  <c r="AD131" i="25" s="1"/>
  <c r="AD100" i="25" a="1"/>
  <c r="AD100" i="25" s="1"/>
  <c r="H36" i="25" a="1"/>
  <c r="H36" i="25" s="1"/>
  <c r="N20" i="25" a="1"/>
  <c r="N20" i="25" s="1"/>
  <c r="F79" i="25"/>
  <c r="N79" i="25" a="1"/>
  <c r="N79" i="25" s="1"/>
  <c r="E79" i="25"/>
  <c r="F93" i="25"/>
  <c r="T93" i="25" a="1"/>
  <c r="T93" i="25" s="1"/>
  <c r="Z93" i="25" a="1"/>
  <c r="Z93" i="25" s="1"/>
  <c r="V34" i="25" a="1"/>
  <c r="V34" i="25" s="1"/>
  <c r="AD34" i="25" a="1"/>
  <c r="AD34" i="25" s="1"/>
  <c r="Z34" i="25" a="1"/>
  <c r="Z34" i="25" s="1"/>
  <c r="R34" i="25" a="1"/>
  <c r="R34" i="25" s="1"/>
  <c r="X34" i="25" a="1"/>
  <c r="X34" i="25" s="1"/>
  <c r="E64" i="25"/>
  <c r="AD64" i="25" a="1"/>
  <c r="AD64" i="25" s="1"/>
  <c r="P19" i="25" a="1"/>
  <c r="P19" i="25" s="1"/>
  <c r="L19" i="25" a="1"/>
  <c r="L19" i="25" s="1"/>
  <c r="N19" i="25" a="1"/>
  <c r="N19" i="25" s="1"/>
  <c r="T19" i="25" a="1"/>
  <c r="T19" i="25" s="1"/>
  <c r="V19" i="25" a="1"/>
  <c r="V19" i="25" s="1"/>
  <c r="J19" i="25" a="1"/>
  <c r="J19" i="25" s="1"/>
  <c r="F19" i="25" s="1"/>
  <c r="R40" i="25" a="1"/>
  <c r="R40" i="25" s="1"/>
  <c r="P40" i="25" a="1"/>
  <c r="P40" i="25" s="1"/>
  <c r="V40" i="25" a="1"/>
  <c r="V40" i="25" s="1"/>
  <c r="L40" i="25" a="1"/>
  <c r="L40" i="25" s="1"/>
  <c r="H40" i="25" a="1"/>
  <c r="H40" i="25" s="1"/>
  <c r="F133" i="25"/>
  <c r="Z133" i="25" a="1"/>
  <c r="Z133" i="25" s="1"/>
  <c r="AB133" i="25" a="1"/>
  <c r="AB133" i="25" s="1"/>
  <c r="AD133" i="25" a="1"/>
  <c r="AD133" i="25" s="1"/>
  <c r="N133" i="25" a="1"/>
  <c r="N133" i="25" s="1"/>
  <c r="T133" i="25" a="1"/>
  <c r="T133" i="25" s="1"/>
  <c r="P133" i="25" a="1"/>
  <c r="P133" i="25" s="1"/>
  <c r="R133" i="25" a="1"/>
  <c r="R133" i="25" s="1"/>
  <c r="H53" i="25" a="1"/>
  <c r="H53" i="25" s="1"/>
  <c r="F53" i="25"/>
  <c r="P53" i="25" a="1"/>
  <c r="P53" i="25" s="1"/>
  <c r="E59" i="25"/>
  <c r="AB59" i="25" a="1"/>
  <c r="AB59" i="25" s="1"/>
  <c r="Z59" i="25" a="1"/>
  <c r="Z59" i="25" s="1"/>
  <c r="N59" i="25" a="1"/>
  <c r="N59" i="25" s="1"/>
  <c r="T32" i="25" a="1"/>
  <c r="T32" i="25" s="1"/>
  <c r="P32" i="25" a="1"/>
  <c r="P32" i="25" s="1"/>
  <c r="R32" i="25" a="1"/>
  <c r="R32" i="25" s="1"/>
  <c r="V32" i="25" a="1"/>
  <c r="V32" i="25" s="1"/>
  <c r="AB32" i="25" a="1"/>
  <c r="AB32" i="25" s="1"/>
  <c r="AD32" i="25" a="1"/>
  <c r="AD32" i="25" s="1"/>
  <c r="E32" i="25"/>
  <c r="N32" i="25" a="1"/>
  <c r="N32" i="25" s="1"/>
  <c r="E29" i="25"/>
  <c r="Z29" i="25" a="1"/>
  <c r="Z29" i="25" s="1"/>
  <c r="AB29" i="25" a="1"/>
  <c r="AB29" i="25" s="1"/>
  <c r="N29" i="25" a="1"/>
  <c r="N29" i="25" s="1"/>
  <c r="X18" i="25" a="1"/>
  <c r="X18" i="25" s="1"/>
  <c r="F46" i="25"/>
  <c r="AD46" i="25" a="1"/>
  <c r="AD46" i="25" s="1"/>
  <c r="Z58" i="25" a="1"/>
  <c r="Z58" i="25" s="1"/>
  <c r="AB58" i="25" a="1"/>
  <c r="AB58" i="25" s="1"/>
  <c r="H27" i="25" a="1"/>
  <c r="H27" i="25" s="1"/>
  <c r="X27" i="25" a="1"/>
  <c r="X27" i="25" s="1"/>
  <c r="N144" i="25" a="1"/>
  <c r="N144" i="25" s="1"/>
  <c r="F144" i="25"/>
  <c r="J137" i="25" a="1"/>
  <c r="J137" i="25" s="1"/>
  <c r="H137" i="25" a="1"/>
  <c r="H137" i="25" s="1"/>
  <c r="L137" i="25" a="1"/>
  <c r="L137" i="25" s="1"/>
  <c r="N137" i="25" a="1"/>
  <c r="N137" i="25" s="1"/>
  <c r="P137" i="25" a="1"/>
  <c r="P137" i="25" s="1"/>
  <c r="R137" i="25" a="1"/>
  <c r="R137" i="25" s="1"/>
  <c r="F137" i="25"/>
  <c r="E111" i="25"/>
  <c r="V111" i="25" a="1"/>
  <c r="V111" i="25" s="1"/>
  <c r="AD111" i="25" a="1"/>
  <c r="AD111" i="25" s="1"/>
  <c r="T111" i="25" a="1"/>
  <c r="T111" i="25" s="1"/>
  <c r="F77" i="25"/>
  <c r="Z77" i="25" a="1"/>
  <c r="Z77" i="25" s="1"/>
  <c r="J127" i="25" a="1"/>
  <c r="J127" i="25" s="1"/>
  <c r="F92" i="25"/>
  <c r="P92" i="25" a="1"/>
  <c r="P92" i="25" s="1"/>
  <c r="R92" i="25" a="1"/>
  <c r="R92" i="25" s="1"/>
  <c r="T92" i="25" a="1"/>
  <c r="T92" i="25" s="1"/>
  <c r="Z92" i="25" a="1"/>
  <c r="Z92" i="25" s="1"/>
  <c r="N92" i="25" a="1"/>
  <c r="N92" i="25" s="1"/>
  <c r="F76" i="25"/>
  <c r="R76" i="25" a="1"/>
  <c r="R76" i="25" s="1"/>
  <c r="T76" i="25" a="1"/>
  <c r="T76" i="25" s="1"/>
  <c r="X76" i="25" a="1"/>
  <c r="X76" i="25" s="1"/>
  <c r="Z76" i="25" a="1"/>
  <c r="Z76" i="25" s="1"/>
  <c r="AB76" i="25" a="1"/>
  <c r="AB76" i="25" s="1"/>
  <c r="P76" i="25" a="1"/>
  <c r="P76" i="25" s="1"/>
  <c r="Z61" i="25" a="1"/>
  <c r="Z61" i="25" s="1"/>
  <c r="J150" i="25" a="1"/>
  <c r="J150" i="25" s="1"/>
  <c r="AD141" i="25" a="1"/>
  <c r="AD141" i="25" s="1"/>
  <c r="E127" i="25"/>
  <c r="F84" i="25"/>
  <c r="J84" i="25" a="1"/>
  <c r="J84" i="25" s="1"/>
  <c r="AB141" i="25" a="1"/>
  <c r="AB141" i="25" s="1"/>
  <c r="E130" i="25"/>
  <c r="AB130" i="25" a="1"/>
  <c r="AB130" i="25" s="1"/>
  <c r="AD130" i="25" a="1"/>
  <c r="AD130" i="25" s="1"/>
  <c r="X130" i="25" a="1"/>
  <c r="X130" i="25" s="1"/>
  <c r="H44" i="25" a="1"/>
  <c r="H44" i="25" s="1"/>
  <c r="AB44" i="25" a="1"/>
  <c r="AB44" i="25" s="1"/>
  <c r="F149" i="25"/>
  <c r="AB149" i="25" a="1"/>
  <c r="AB149" i="25" s="1"/>
  <c r="F141" i="25"/>
  <c r="L141" i="25" a="1"/>
  <c r="L141" i="25" s="1"/>
  <c r="N141" i="25" a="1"/>
  <c r="N141" i="25" s="1"/>
  <c r="P141" i="25" a="1"/>
  <c r="P141" i="25" s="1"/>
  <c r="J141" i="25" a="1"/>
  <c r="J141" i="25" s="1"/>
  <c r="AB119" i="25" a="1"/>
  <c r="AB119" i="25" s="1"/>
  <c r="X46" i="25" a="1"/>
  <c r="X46" i="25" s="1"/>
  <c r="X135" i="25" a="1"/>
  <c r="X135" i="25" s="1"/>
  <c r="AD129" i="25" a="1"/>
  <c r="AD129" i="25" s="1"/>
  <c r="N123" i="25" a="1"/>
  <c r="N123" i="25" s="1"/>
  <c r="AB112" i="25" a="1"/>
  <c r="AB112" i="25" s="1"/>
  <c r="AD102" i="25" a="1"/>
  <c r="AD102" i="25" s="1"/>
  <c r="Z75" i="25" a="1"/>
  <c r="Z75" i="25" s="1"/>
  <c r="Z43" i="25" a="1"/>
  <c r="Z43" i="25" s="1"/>
  <c r="T20" i="25" a="1"/>
  <c r="T20" i="25" s="1"/>
  <c r="P45" i="25" a="1"/>
  <c r="P45" i="25" s="1"/>
  <c r="N37" i="25" a="1"/>
  <c r="N37" i="25" s="1"/>
  <c r="R25" i="25" a="1"/>
  <c r="R25" i="25" s="1"/>
  <c r="E128" i="25"/>
  <c r="AD125" i="25" a="1"/>
  <c r="AD125" i="25" s="1"/>
  <c r="P120" i="25" a="1"/>
  <c r="P120" i="25" s="1"/>
  <c r="AB114" i="25" a="1"/>
  <c r="AB114" i="25" s="1"/>
  <c r="P106" i="25" a="1"/>
  <c r="P106" i="25" s="1"/>
  <c r="Z101" i="25" a="1"/>
  <c r="Z101" i="25" s="1"/>
  <c r="AB95" i="25" a="1"/>
  <c r="AB95" i="25" s="1"/>
  <c r="R87" i="25" a="1"/>
  <c r="R87" i="25" s="1"/>
  <c r="H73" i="25" a="1"/>
  <c r="H73" i="25" s="1"/>
  <c r="N45" i="25" a="1"/>
  <c r="N45" i="25" s="1"/>
  <c r="P25" i="25" a="1"/>
  <c r="P25" i="25" s="1"/>
  <c r="N21" i="25" a="1"/>
  <c r="N21" i="25" s="1"/>
  <c r="V125" i="25" a="1"/>
  <c r="V125" i="25" s="1"/>
  <c r="E120" i="25"/>
  <c r="X114" i="25" a="1"/>
  <c r="X114" i="25" s="1"/>
  <c r="L55" i="25" a="1"/>
  <c r="L55" i="25" s="1"/>
  <c r="H31" i="25" a="1"/>
  <c r="H31" i="25" s="1"/>
  <c r="F31" i="25"/>
  <c r="L31" i="25" a="1"/>
  <c r="L31" i="25" s="1"/>
  <c r="N31" i="25" a="1"/>
  <c r="N31" i="25" s="1"/>
  <c r="T31" i="25" a="1"/>
  <c r="T31" i="25" s="1"/>
  <c r="Z31" i="25" a="1"/>
  <c r="Z31" i="25" s="1"/>
  <c r="F97" i="25"/>
  <c r="V97" i="25" a="1"/>
  <c r="V97" i="25" s="1"/>
  <c r="X97" i="25" a="1"/>
  <c r="X97" i="25" s="1"/>
  <c r="J57" i="25" a="1"/>
  <c r="J57" i="25" s="1"/>
  <c r="T57" i="25" a="1"/>
  <c r="T57" i="25" s="1"/>
  <c r="V57" i="25" a="1"/>
  <c r="V57" i="25" s="1"/>
  <c r="X57" i="25" a="1"/>
  <c r="X57" i="25" s="1"/>
  <c r="F57" i="25"/>
  <c r="L52" i="25" a="1"/>
  <c r="L52" i="25" s="1"/>
  <c r="H52" i="25" a="1"/>
  <c r="H52" i="25" s="1"/>
  <c r="J52" i="25" a="1"/>
  <c r="J52" i="25" s="1"/>
  <c r="R52" i="25" a="1"/>
  <c r="R52" i="25" s="1"/>
  <c r="V52" i="25" a="1"/>
  <c r="V52" i="25" s="1"/>
  <c r="X52" i="25" a="1"/>
  <c r="X52" i="25" s="1"/>
  <c r="Z52" i="25" a="1"/>
  <c r="Z52" i="25" s="1"/>
  <c r="AB52" i="25" a="1"/>
  <c r="AB52" i="25" s="1"/>
  <c r="AD52" i="25" a="1"/>
  <c r="AD52" i="25" s="1"/>
  <c r="E52" i="25"/>
  <c r="H96" i="25" a="1"/>
  <c r="H96" i="25" s="1"/>
  <c r="E96" i="25"/>
  <c r="H115" i="25" a="1"/>
  <c r="H115" i="25" s="1"/>
  <c r="J115" i="25" a="1"/>
  <c r="J115" i="25" s="1"/>
  <c r="L115" i="25" a="1"/>
  <c r="L115" i="25" s="1"/>
  <c r="N115" i="25" a="1"/>
  <c r="N115" i="25" s="1"/>
  <c r="P115" i="25" a="1"/>
  <c r="P115" i="25" s="1"/>
  <c r="R115" i="25" a="1"/>
  <c r="R115" i="25" s="1"/>
  <c r="Z115" i="25" a="1"/>
  <c r="Z115" i="25" s="1"/>
  <c r="AB115" i="25" a="1"/>
  <c r="AB115" i="25" s="1"/>
  <c r="R145" i="25" a="1"/>
  <c r="R145" i="25" s="1"/>
  <c r="H145" i="25" a="1"/>
  <c r="H145" i="25" s="1"/>
  <c r="L145" i="25" a="1"/>
  <c r="L145" i="25" s="1"/>
  <c r="N145" i="25" a="1"/>
  <c r="N145" i="25" s="1"/>
  <c r="P145" i="25" a="1"/>
  <c r="P145" i="25" s="1"/>
  <c r="AD145" i="25" a="1"/>
  <c r="AD145" i="25" s="1"/>
  <c r="Z113" i="25" a="1"/>
  <c r="Z113" i="25" s="1"/>
  <c r="H113" i="25" a="1"/>
  <c r="H113" i="25" s="1"/>
  <c r="J113" i="25" a="1"/>
  <c r="J113" i="25" s="1"/>
  <c r="L113" i="25" a="1"/>
  <c r="L113" i="25" s="1"/>
  <c r="V113" i="25" a="1"/>
  <c r="V113" i="25" s="1"/>
  <c r="N139" i="25" a="1"/>
  <c r="N139" i="25" s="1"/>
  <c r="P139" i="25" a="1"/>
  <c r="P139" i="25" s="1"/>
  <c r="AD139" i="25" a="1"/>
  <c r="AD139" i="25" s="1"/>
  <c r="E139" i="25"/>
  <c r="AD103" i="25" a="1"/>
  <c r="AD103" i="25" s="1"/>
  <c r="N86" i="25" a="1"/>
  <c r="N86" i="25" s="1"/>
  <c r="R86" i="25" a="1"/>
  <c r="R86" i="25" s="1"/>
  <c r="X86" i="25" a="1"/>
  <c r="X86" i="25" s="1"/>
  <c r="E148" i="25"/>
  <c r="F148" i="25"/>
  <c r="H148" i="25" a="1"/>
  <c r="H148" i="25" s="1"/>
  <c r="V148" i="25" a="1"/>
  <c r="V148" i="25" s="1"/>
  <c r="AB148" i="25" a="1"/>
  <c r="AB148" i="25" s="1"/>
  <c r="F103" i="25"/>
  <c r="E103" i="25"/>
  <c r="J103" i="25" a="1"/>
  <c r="J103" i="25" s="1"/>
  <c r="L103" i="25" a="1"/>
  <c r="L103" i="25" s="1"/>
  <c r="N103" i="25" a="1"/>
  <c r="N103" i="25" s="1"/>
  <c r="P103" i="25" a="1"/>
  <c r="P103" i="25" s="1"/>
  <c r="R103" i="25" a="1"/>
  <c r="R103" i="25" s="1"/>
  <c r="T103" i="25" a="1"/>
  <c r="T103" i="25" s="1"/>
  <c r="V103" i="25" a="1"/>
  <c r="V103" i="25" s="1"/>
  <c r="AB103" i="25" a="1"/>
  <c r="AB103" i="25" s="1"/>
  <c r="Z119" i="25" a="1"/>
  <c r="Z119" i="25" s="1"/>
  <c r="V114" i="25" a="1"/>
  <c r="V114" i="25" s="1"/>
  <c r="R111" i="25" a="1"/>
  <c r="R111" i="25" s="1"/>
  <c r="X107" i="25" a="1"/>
  <c r="X107" i="25" s="1"/>
  <c r="AD104" i="25" a="1"/>
  <c r="AD104" i="25" s="1"/>
  <c r="AB100" i="25" a="1"/>
  <c r="AB100" i="25" s="1"/>
  <c r="N99" i="25" a="1"/>
  <c r="N99" i="25" s="1"/>
  <c r="AB84" i="25" a="1"/>
  <c r="AB84" i="25" s="1"/>
  <c r="V60" i="25" a="1"/>
  <c r="V60" i="25" s="1"/>
  <c r="Z51" i="25" a="1"/>
  <c r="Z51" i="25" s="1"/>
  <c r="H43" i="25" a="1"/>
  <c r="H43" i="25" s="1"/>
  <c r="E40" i="25"/>
  <c r="AB30" i="25" a="1"/>
  <c r="AB30" i="25" s="1"/>
  <c r="J27" i="25" a="1"/>
  <c r="J27" i="25" s="1"/>
  <c r="J18" i="25" a="1"/>
  <c r="J18" i="25" s="1"/>
  <c r="R129" i="25" a="1"/>
  <c r="R129" i="25" s="1"/>
  <c r="AB127" i="25" a="1"/>
  <c r="AB127" i="25" s="1"/>
  <c r="AD126" i="25" a="1"/>
  <c r="AD126" i="25" s="1"/>
  <c r="X119" i="25" a="1"/>
  <c r="X119" i="25" s="1"/>
  <c r="V107" i="25" a="1"/>
  <c r="V107" i="25" s="1"/>
  <c r="Z100" i="25" a="1"/>
  <c r="Z100" i="25" s="1"/>
  <c r="X84" i="25" a="1"/>
  <c r="X84" i="25" s="1"/>
  <c r="R60" i="25" a="1"/>
  <c r="R60" i="25" s="1"/>
  <c r="Z30" i="25" a="1"/>
  <c r="Z30" i="25" s="1"/>
  <c r="N149" i="25" a="1"/>
  <c r="N149" i="25" s="1"/>
  <c r="J146" i="25" a="1"/>
  <c r="J146" i="25" s="1"/>
  <c r="L142" i="25" a="1"/>
  <c r="L142" i="25" s="1"/>
  <c r="E137" i="25"/>
  <c r="X134" i="25" a="1"/>
  <c r="X134" i="25" s="1"/>
  <c r="J133" i="25" a="1"/>
  <c r="J133" i="25" s="1"/>
  <c r="V130" i="25" a="1"/>
  <c r="V130" i="25" s="1"/>
  <c r="P129" i="25" a="1"/>
  <c r="P129" i="25" s="1"/>
  <c r="Z127" i="25" a="1"/>
  <c r="Z127" i="25" s="1"/>
  <c r="AB126" i="25" a="1"/>
  <c r="AB126" i="25" s="1"/>
  <c r="T125" i="25" a="1"/>
  <c r="T125" i="25" s="1"/>
  <c r="V119" i="25" a="1"/>
  <c r="V119" i="25" s="1"/>
  <c r="R114" i="25" a="1"/>
  <c r="R114" i="25" s="1"/>
  <c r="X110" i="25" a="1"/>
  <c r="X110" i="25" s="1"/>
  <c r="AB104" i="25" a="1"/>
  <c r="AB104" i="25" s="1"/>
  <c r="T102" i="25" a="1"/>
  <c r="T102" i="25" s="1"/>
  <c r="Z98" i="25" a="1"/>
  <c r="Z98" i="25" s="1"/>
  <c r="J93" i="25" a="1"/>
  <c r="J93" i="25" s="1"/>
  <c r="T84" i="25" a="1"/>
  <c r="T84" i="25" s="1"/>
  <c r="L77" i="25" a="1"/>
  <c r="L77" i="25" s="1"/>
  <c r="N76" i="25" a="1"/>
  <c r="N76" i="25" s="1"/>
  <c r="Z67" i="25" a="1"/>
  <c r="Z67" i="25" s="1"/>
  <c r="X61" i="25" a="1"/>
  <c r="X61" i="25" s="1"/>
  <c r="N60" i="25" a="1"/>
  <c r="N60" i="25" s="1"/>
  <c r="R46" i="25" a="1"/>
  <c r="R46" i="25" s="1"/>
  <c r="X44" i="25" a="1"/>
  <c r="X44" i="25" s="1"/>
  <c r="V42" i="25" a="1"/>
  <c r="V42" i="25" s="1"/>
  <c r="AB36" i="25" a="1"/>
  <c r="AB36" i="25" s="1"/>
  <c r="F36" i="25"/>
  <c r="V30" i="25" a="1"/>
  <c r="V30" i="25" s="1"/>
  <c r="P29" i="25" a="1"/>
  <c r="P29" i="25" s="1"/>
  <c r="V26" i="25" a="1"/>
  <c r="V26" i="25" s="1"/>
  <c r="R24" i="25" a="1"/>
  <c r="R24" i="25" s="1"/>
  <c r="AD21" i="25" a="1"/>
  <c r="AD21" i="25" s="1"/>
  <c r="L20" i="25" a="1"/>
  <c r="L20" i="25" s="1"/>
  <c r="L149" i="25" a="1"/>
  <c r="L149" i="25" s="1"/>
  <c r="E133" i="25"/>
  <c r="R130" i="25" a="1"/>
  <c r="R130" i="25" s="1"/>
  <c r="N129" i="25" a="1"/>
  <c r="N129" i="25" s="1"/>
  <c r="V127" i="25" a="1"/>
  <c r="V127" i="25" s="1"/>
  <c r="Z126" i="25" a="1"/>
  <c r="Z126" i="25" s="1"/>
  <c r="R125" i="25" a="1"/>
  <c r="R125" i="25" s="1"/>
  <c r="AD120" i="25" a="1"/>
  <c r="AD120" i="25" s="1"/>
  <c r="L112" i="25" a="1"/>
  <c r="L112" i="25" s="1"/>
  <c r="V110" i="25" a="1"/>
  <c r="V110" i="25" s="1"/>
  <c r="X104" i="25" a="1"/>
  <c r="X104" i="25" s="1"/>
  <c r="R102" i="25" a="1"/>
  <c r="R102" i="25" s="1"/>
  <c r="X100" i="25" a="1"/>
  <c r="X100" i="25" s="1"/>
  <c r="X98" i="25" a="1"/>
  <c r="X98" i="25" s="1"/>
  <c r="T95" i="25" a="1"/>
  <c r="T95" i="25" s="1"/>
  <c r="J92" i="25" a="1"/>
  <c r="J92" i="25" s="1"/>
  <c r="P87" i="25" a="1"/>
  <c r="P87" i="25" s="1"/>
  <c r="R84" i="25" a="1"/>
  <c r="R84" i="25" s="1"/>
  <c r="J77" i="25" a="1"/>
  <c r="J77" i="25" s="1"/>
  <c r="L76" i="25" a="1"/>
  <c r="L76" i="25" s="1"/>
  <c r="F75" i="25"/>
  <c r="Z69" i="25" a="1"/>
  <c r="Z69" i="25" s="1"/>
  <c r="L60" i="25" a="1"/>
  <c r="L60" i="25" s="1"/>
  <c r="T30" i="25" a="1"/>
  <c r="T30" i="25" s="1"/>
  <c r="L140" i="25" a="1"/>
  <c r="L140" i="25" s="1"/>
  <c r="AB137" i="25" a="1"/>
  <c r="AB137" i="25" s="1"/>
  <c r="V136" i="25" a="1"/>
  <c r="V136" i="25" s="1"/>
  <c r="P130" i="25" a="1"/>
  <c r="P130" i="25" s="1"/>
  <c r="L129" i="25" a="1"/>
  <c r="L129" i="25" s="1"/>
  <c r="T127" i="25" a="1"/>
  <c r="T127" i="25" s="1"/>
  <c r="V126" i="25" a="1"/>
  <c r="V126" i="25" s="1"/>
  <c r="V120" i="25" a="1"/>
  <c r="V120" i="25" s="1"/>
  <c r="AD106" i="25" a="1"/>
  <c r="AD106" i="25" s="1"/>
  <c r="V104" i="25" a="1"/>
  <c r="V104" i="25" s="1"/>
  <c r="P102" i="25" a="1"/>
  <c r="P102" i="25" s="1"/>
  <c r="V100" i="25" a="1"/>
  <c r="V100" i="25" s="1"/>
  <c r="V98" i="25" a="1"/>
  <c r="V98" i="25" s="1"/>
  <c r="R95" i="25" a="1"/>
  <c r="R95" i="25" s="1"/>
  <c r="N87" i="25" a="1"/>
  <c r="N87" i="25" s="1"/>
  <c r="P84" i="25" a="1"/>
  <c r="P84" i="25" s="1"/>
  <c r="J76" i="25" a="1"/>
  <c r="J76" i="25" s="1"/>
  <c r="X69" i="25" a="1"/>
  <c r="X69" i="25" s="1"/>
  <c r="J66" i="25" a="1"/>
  <c r="J66" i="25" s="1"/>
  <c r="T61" i="25" a="1"/>
  <c r="T61" i="25" s="1"/>
  <c r="AD49" i="25" a="1"/>
  <c r="AD49" i="25" s="1"/>
  <c r="P46" i="25" a="1"/>
  <c r="P46" i="25" s="1"/>
  <c r="V44" i="25" a="1"/>
  <c r="V44" i="25" s="1"/>
  <c r="X38" i="25" a="1"/>
  <c r="X38" i="25" s="1"/>
  <c r="R30" i="25" a="1"/>
  <c r="R30" i="25" s="1"/>
  <c r="P26" i="25" a="1"/>
  <c r="P26" i="25" s="1"/>
  <c r="N23" i="25" a="1"/>
  <c r="N23" i="25" s="1"/>
  <c r="H21" i="25" a="1"/>
  <c r="H21" i="25" s="1"/>
  <c r="F20" i="25"/>
  <c r="AD18" i="25" a="1"/>
  <c r="AD18" i="25" s="1"/>
  <c r="Z137" i="25" a="1"/>
  <c r="Z137" i="25" s="1"/>
  <c r="R136" i="25" a="1"/>
  <c r="R136" i="25" s="1"/>
  <c r="L130" i="25" a="1"/>
  <c r="L130" i="25" s="1"/>
  <c r="F129" i="25"/>
  <c r="R127" i="25" a="1"/>
  <c r="R127" i="25" s="1"/>
  <c r="N126" i="25" a="1"/>
  <c r="N126" i="25" s="1"/>
  <c r="H124" i="25" a="1"/>
  <c r="H124" i="25" s="1"/>
  <c r="T120" i="25" a="1"/>
  <c r="T120" i="25" s="1"/>
  <c r="X106" i="25" a="1"/>
  <c r="X106" i="25" s="1"/>
  <c r="J104" i="25" a="1"/>
  <c r="J104" i="25" s="1"/>
  <c r="L100" i="25" a="1"/>
  <c r="L100" i="25" s="1"/>
  <c r="P95" i="25" a="1"/>
  <c r="P95" i="25" s="1"/>
  <c r="N84" i="25" a="1"/>
  <c r="N84" i="25" s="1"/>
  <c r="AB79" i="25" a="1"/>
  <c r="AB79" i="25" s="1"/>
  <c r="H76" i="25" a="1"/>
  <c r="H76" i="25" s="1"/>
  <c r="J60" i="25" a="1"/>
  <c r="J60" i="25" s="1"/>
  <c r="P49" i="25" a="1"/>
  <c r="P49" i="25" s="1"/>
  <c r="L46" i="25" a="1"/>
  <c r="L46" i="25" s="1"/>
  <c r="X35" i="25" a="1"/>
  <c r="X35" i="25" s="1"/>
  <c r="P30" i="25" a="1"/>
  <c r="P30" i="25" s="1"/>
  <c r="AB28" i="25" a="1"/>
  <c r="AB28" i="25" s="1"/>
  <c r="F21" i="25"/>
  <c r="E20" i="25"/>
  <c r="AB18" i="25" a="1"/>
  <c r="AB18" i="25" s="1"/>
  <c r="X137" i="25" a="1"/>
  <c r="X137" i="25" s="1"/>
  <c r="P127" i="25" a="1"/>
  <c r="P127" i="25" s="1"/>
  <c r="L126" i="25" a="1"/>
  <c r="L126" i="25" s="1"/>
  <c r="R120" i="25" a="1"/>
  <c r="R120" i="25" s="1"/>
  <c r="V106" i="25" a="1"/>
  <c r="V106" i="25" s="1"/>
  <c r="H104" i="25" a="1"/>
  <c r="H104" i="25" s="1"/>
  <c r="F102" i="25"/>
  <c r="N95" i="25" a="1"/>
  <c r="N95" i="25" s="1"/>
  <c r="L84" i="25" a="1"/>
  <c r="L84" i="25" s="1"/>
  <c r="T79" i="25" a="1"/>
  <c r="T79" i="25" s="1"/>
  <c r="E76" i="25"/>
  <c r="T69" i="25" a="1"/>
  <c r="T69" i="25" s="1"/>
  <c r="H60" i="25" a="1"/>
  <c r="H60" i="25" s="1"/>
  <c r="N54" i="25" a="1"/>
  <c r="N54" i="25" s="1"/>
  <c r="AD40" i="25" a="1"/>
  <c r="AD40" i="25" s="1"/>
  <c r="N30" i="25" a="1"/>
  <c r="N30" i="25" s="1"/>
  <c r="X28" i="25" a="1"/>
  <c r="X28" i="25" s="1"/>
  <c r="AD25" i="25" a="1"/>
  <c r="AD25" i="25" s="1"/>
  <c r="AD22" i="25" a="1"/>
  <c r="AD22" i="25" s="1"/>
  <c r="V137" i="25" a="1"/>
  <c r="V137" i="25" s="1"/>
  <c r="P136" i="25" a="1"/>
  <c r="P136" i="25" s="1"/>
  <c r="AD128" i="25" a="1"/>
  <c r="AD128" i="25" s="1"/>
  <c r="N127" i="25" a="1"/>
  <c r="N127" i="25" s="1"/>
  <c r="J126" i="25" a="1"/>
  <c r="J126" i="25" s="1"/>
  <c r="X108" i="25" a="1"/>
  <c r="X108" i="25" s="1"/>
  <c r="V89" i="25" a="1"/>
  <c r="V89" i="25" s="1"/>
  <c r="P79" i="25" a="1"/>
  <c r="P79" i="25" s="1"/>
  <c r="V73" i="25" a="1"/>
  <c r="V73" i="25" s="1"/>
  <c r="AD60" i="25" a="1"/>
  <c r="AD60" i="25" s="1"/>
  <c r="E60" i="25"/>
  <c r="L54" i="25" a="1"/>
  <c r="L54" i="25" s="1"/>
  <c r="AD45" i="25" a="1"/>
  <c r="AD45" i="25" s="1"/>
  <c r="AB40" i="25" a="1"/>
  <c r="AB40" i="25" s="1"/>
  <c r="V35" i="25" a="1"/>
  <c r="V35" i="25" s="1"/>
  <c r="L30" i="25" a="1"/>
  <c r="L30" i="25" s="1"/>
  <c r="V28" i="25" a="1"/>
  <c r="V28" i="25" s="1"/>
  <c r="T25" i="25" a="1"/>
  <c r="T25" i="25" s="1"/>
  <c r="AB22" i="25" a="1"/>
  <c r="AB22" i="25" s="1"/>
  <c r="AD20" i="25" a="1"/>
  <c r="AD20" i="25" s="1"/>
  <c r="X19" i="25" a="1"/>
  <c r="X19" i="25" s="1"/>
  <c r="Z18" i="25" a="1"/>
  <c r="Z18" i="25" s="1"/>
  <c r="H85" i="25" a="1"/>
  <c r="H85" i="25" s="1"/>
  <c r="N85" i="25" a="1"/>
  <c r="N85" i="25" s="1"/>
  <c r="T85" i="25" a="1"/>
  <c r="T85" i="25" s="1"/>
  <c r="X85" i="25" a="1"/>
  <c r="X85" i="25" s="1"/>
  <c r="L85" i="25" a="1"/>
  <c r="L85" i="25" s="1"/>
  <c r="Z85" i="25" a="1"/>
  <c r="Z85" i="25" s="1"/>
  <c r="F85" i="25"/>
  <c r="J85" i="25" a="1"/>
  <c r="J85" i="25" s="1"/>
  <c r="E138" i="25"/>
  <c r="R138" i="25" a="1"/>
  <c r="R138" i="25" s="1"/>
  <c r="E147" i="25"/>
  <c r="F147" i="25"/>
  <c r="H147" i="25" a="1"/>
  <c r="H147" i="25" s="1"/>
  <c r="L147" i="25" a="1"/>
  <c r="L147" i="25" s="1"/>
  <c r="R147" i="25" a="1"/>
  <c r="R147" i="25" s="1"/>
  <c r="V147" i="25" a="1"/>
  <c r="V147" i="25" s="1"/>
  <c r="AD147" i="25" a="1"/>
  <c r="AD147" i="25" s="1"/>
  <c r="J147" i="25" a="1"/>
  <c r="J147" i="25" s="1"/>
  <c r="H39" i="25" a="1"/>
  <c r="H39" i="25" s="1"/>
  <c r="F39" i="25"/>
  <c r="L39" i="25" a="1"/>
  <c r="L39" i="25" s="1"/>
  <c r="N39" i="25" a="1"/>
  <c r="N39" i="25" s="1"/>
  <c r="T39" i="25" a="1"/>
  <c r="T39" i="25" s="1"/>
  <c r="Z39" i="25" a="1"/>
  <c r="Z39" i="25" s="1"/>
  <c r="E150" i="25"/>
  <c r="X150" i="25" a="1"/>
  <c r="X150" i="25" s="1"/>
  <c r="P150" i="25" a="1"/>
  <c r="P150" i="25" s="1"/>
  <c r="V150" i="25" a="1"/>
  <c r="V150" i="25" s="1"/>
  <c r="Z150" i="25" a="1"/>
  <c r="Z150" i="25" s="1"/>
  <c r="AB150" i="25" a="1"/>
  <c r="AB150" i="25" s="1"/>
  <c r="N150" i="25" a="1"/>
  <c r="N150" i="25" s="1"/>
  <c r="E144" i="25"/>
  <c r="J144" i="25" a="1"/>
  <c r="J144" i="25" s="1"/>
  <c r="AD144" i="25" a="1"/>
  <c r="AD144" i="25" s="1"/>
  <c r="P144" i="25" a="1"/>
  <c r="P144" i="25" s="1"/>
  <c r="R144" i="25" a="1"/>
  <c r="R144" i="25" s="1"/>
  <c r="L144" i="25" a="1"/>
  <c r="L144" i="25" s="1"/>
  <c r="X144" i="25" a="1"/>
  <c r="X144" i="25" s="1"/>
  <c r="Z144" i="25" a="1"/>
  <c r="Z144" i="25" s="1"/>
  <c r="AB144" i="25" a="1"/>
  <c r="AB144" i="25" s="1"/>
  <c r="V144" i="25" a="1"/>
  <c r="V144" i="25" s="1"/>
  <c r="E132" i="25"/>
  <c r="L132" i="25" a="1"/>
  <c r="L132" i="25" s="1"/>
  <c r="P132" i="25" a="1"/>
  <c r="P132" i="25" s="1"/>
  <c r="R132" i="25" a="1"/>
  <c r="R132" i="25" s="1"/>
  <c r="N132" i="25" a="1"/>
  <c r="N132" i="25" s="1"/>
  <c r="V132" i="25" a="1"/>
  <c r="V132" i="25" s="1"/>
  <c r="X132" i="25" a="1"/>
  <c r="X132" i="25" s="1"/>
  <c r="F132" i="25"/>
  <c r="J132" i="25" a="1"/>
  <c r="J132" i="25" s="1"/>
  <c r="AB132" i="25" a="1"/>
  <c r="AB132" i="25" s="1"/>
  <c r="AD132" i="25" a="1"/>
  <c r="AD132" i="25" s="1"/>
  <c r="E143" i="25"/>
  <c r="R143" i="25" a="1"/>
  <c r="R143" i="25" s="1"/>
  <c r="V143" i="25" a="1"/>
  <c r="V143" i="25" s="1"/>
  <c r="X143" i="25" a="1"/>
  <c r="X143" i="25" s="1"/>
  <c r="N143" i="25" a="1"/>
  <c r="N143" i="25" s="1"/>
  <c r="P143" i="25" a="1"/>
  <c r="P143" i="25" s="1"/>
  <c r="L143" i="25" a="1"/>
  <c r="L143" i="25" s="1"/>
  <c r="Z143" i="25" a="1"/>
  <c r="Z143" i="25" s="1"/>
  <c r="AB143" i="25" a="1"/>
  <c r="AB143" i="25" s="1"/>
  <c r="H143" i="25" a="1"/>
  <c r="H143" i="25" s="1"/>
  <c r="J143" i="25" a="1"/>
  <c r="J143" i="25" s="1"/>
  <c r="T74" i="25" a="1"/>
  <c r="T74" i="25" s="1"/>
  <c r="V74" i="25" a="1"/>
  <c r="V74" i="25" s="1"/>
  <c r="R74" i="25" a="1"/>
  <c r="R74" i="25" s="1"/>
  <c r="T145" i="25" a="1"/>
  <c r="T145" i="25" s="1"/>
  <c r="X117" i="25" a="1"/>
  <c r="X117" i="25" s="1"/>
  <c r="E117" i="25"/>
  <c r="F117" i="25"/>
  <c r="N117" i="25" a="1"/>
  <c r="N117" i="25" s="1"/>
  <c r="P117" i="25" a="1"/>
  <c r="P117" i="25" s="1"/>
  <c r="R117" i="25" a="1"/>
  <c r="R117" i="25" s="1"/>
  <c r="T117" i="25" a="1"/>
  <c r="T117" i="25" s="1"/>
  <c r="V117" i="25" a="1"/>
  <c r="V117" i="25" s="1"/>
  <c r="AD117" i="25" a="1"/>
  <c r="AD117" i="25" s="1"/>
  <c r="J117" i="25" a="1"/>
  <c r="J117" i="25" s="1"/>
  <c r="Z110" i="25" a="1"/>
  <c r="Z110" i="25" s="1"/>
  <c r="P110" i="25" a="1"/>
  <c r="P110" i="25" s="1"/>
  <c r="R110" i="25" a="1"/>
  <c r="R110" i="25" s="1"/>
  <c r="AD110" i="25" a="1"/>
  <c r="AD110" i="25" s="1"/>
  <c r="F68" i="25"/>
  <c r="R68" i="25" a="1"/>
  <c r="R68" i="25" s="1"/>
  <c r="T68" i="25" a="1"/>
  <c r="T68" i="25" s="1"/>
  <c r="V68" i="25" a="1"/>
  <c r="V68" i="25" s="1"/>
  <c r="N68" i="25" a="1"/>
  <c r="N68" i="25" s="1"/>
  <c r="AD68" i="25" a="1"/>
  <c r="AD68" i="25" s="1"/>
  <c r="J68" i="25" a="1"/>
  <c r="J68" i="25" s="1"/>
  <c r="L68" i="25" a="1"/>
  <c r="L68" i="25" s="1"/>
  <c r="P68" i="25" a="1"/>
  <c r="P68" i="25" s="1"/>
  <c r="X68" i="25" a="1"/>
  <c r="X68" i="25" s="1"/>
  <c r="E68" i="25"/>
  <c r="H68" i="25" a="1"/>
  <c r="H68" i="25" s="1"/>
  <c r="E149" i="25"/>
  <c r="AD149" i="25" a="1"/>
  <c r="AD149" i="25" s="1"/>
  <c r="P149" i="25" a="1"/>
  <c r="P149" i="25" s="1"/>
  <c r="E142" i="25"/>
  <c r="V142" i="25" a="1"/>
  <c r="V142" i="25" s="1"/>
  <c r="X142" i="25" a="1"/>
  <c r="X142" i="25" s="1"/>
  <c r="AB142" i="25" a="1"/>
  <c r="AB142" i="25" s="1"/>
  <c r="AD142" i="25" a="1"/>
  <c r="AD142" i="25" s="1"/>
  <c r="P142" i="25" a="1"/>
  <c r="P142" i="25" s="1"/>
  <c r="R142" i="25" a="1"/>
  <c r="R142" i="25" s="1"/>
  <c r="E121" i="25"/>
  <c r="H121" i="25" a="1"/>
  <c r="H121" i="25" s="1"/>
  <c r="F121" i="25"/>
  <c r="R121" i="25" a="1"/>
  <c r="R121" i="25" s="1"/>
  <c r="N78" i="25" a="1"/>
  <c r="N78" i="25" s="1"/>
  <c r="X78" i="25" a="1"/>
  <c r="X78" i="25" s="1"/>
  <c r="Z78" i="25" a="1"/>
  <c r="Z78" i="25" s="1"/>
  <c r="R78" i="25" a="1"/>
  <c r="R78" i="25" s="1"/>
  <c r="T78" i="25" a="1"/>
  <c r="T78" i="25" s="1"/>
  <c r="Z145" i="25" a="1"/>
  <c r="Z145" i="25" s="1"/>
  <c r="J145" i="25" a="1"/>
  <c r="J145" i="25" s="1"/>
  <c r="AB145" i="25" a="1"/>
  <c r="AB145" i="25" s="1"/>
  <c r="E145" i="25"/>
  <c r="F145" i="25"/>
  <c r="X145" i="25" a="1"/>
  <c r="X145" i="25" s="1"/>
  <c r="E146" i="25"/>
  <c r="V146" i="25" a="1"/>
  <c r="V146" i="25" s="1"/>
  <c r="N119" i="25" a="1"/>
  <c r="N119" i="25" s="1"/>
  <c r="R119" i="25" a="1"/>
  <c r="R119" i="25" s="1"/>
  <c r="J119" i="25" a="1"/>
  <c r="J119" i="25" s="1"/>
  <c r="L119" i="25" a="1"/>
  <c r="L119" i="25" s="1"/>
  <c r="P119" i="25" a="1"/>
  <c r="P119" i="25" s="1"/>
  <c r="T119" i="25" a="1"/>
  <c r="T119" i="25" s="1"/>
  <c r="F119" i="25"/>
  <c r="AD119" i="25" a="1"/>
  <c r="AD119" i="25" s="1"/>
  <c r="H119" i="25" a="1"/>
  <c r="H119" i="25" s="1"/>
  <c r="E131" i="25"/>
  <c r="P131" i="25" a="1"/>
  <c r="P131" i="25" s="1"/>
  <c r="V131" i="25" a="1"/>
  <c r="V131" i="25" s="1"/>
  <c r="X131" i="25" a="1"/>
  <c r="X131" i="25" s="1"/>
  <c r="L131" i="25" a="1"/>
  <c r="L131" i="25" s="1"/>
  <c r="N131" i="25" a="1"/>
  <c r="N131" i="25" s="1"/>
  <c r="R131" i="25" a="1"/>
  <c r="R131" i="25" s="1"/>
  <c r="Z131" i="25" a="1"/>
  <c r="Z131" i="25" s="1"/>
  <c r="J131" i="25" a="1"/>
  <c r="J131" i="25" s="1"/>
  <c r="L128" i="25" a="1"/>
  <c r="L128" i="25" s="1"/>
  <c r="R128" i="25" a="1"/>
  <c r="R128" i="25" s="1"/>
  <c r="T128" i="25" a="1"/>
  <c r="T128" i="25" s="1"/>
  <c r="V128" i="25" a="1"/>
  <c r="V128" i="25" s="1"/>
  <c r="X128" i="25" a="1"/>
  <c r="X128" i="25" s="1"/>
  <c r="H128" i="25" a="1"/>
  <c r="H128" i="25" s="1"/>
  <c r="J128" i="25" a="1"/>
  <c r="J128" i="25" s="1"/>
  <c r="E124" i="25"/>
  <c r="L124" i="25" a="1"/>
  <c r="L124" i="25" s="1"/>
  <c r="E80" i="25"/>
  <c r="X80" i="25" a="1"/>
  <c r="X80" i="25" s="1"/>
  <c r="AB80" i="25" a="1"/>
  <c r="AB80" i="25" s="1"/>
  <c r="P80" i="25" a="1"/>
  <c r="P80" i="25" s="1"/>
  <c r="V80" i="25" a="1"/>
  <c r="V80" i="25" s="1"/>
  <c r="V145" i="25" a="1"/>
  <c r="V145" i="25" s="1"/>
  <c r="L107" i="25" a="1"/>
  <c r="L107" i="25" s="1"/>
  <c r="AB107" i="25" a="1"/>
  <c r="AB107" i="25" s="1"/>
  <c r="N107" i="25" a="1"/>
  <c r="N107" i="25" s="1"/>
  <c r="AD107" i="25" a="1"/>
  <c r="AD107" i="25" s="1"/>
  <c r="P107" i="25" a="1"/>
  <c r="P107" i="25" s="1"/>
  <c r="J107" i="25" a="1"/>
  <c r="J107" i="25" s="1"/>
  <c r="R107" i="25" a="1"/>
  <c r="R107" i="25" s="1"/>
  <c r="T107" i="25" a="1"/>
  <c r="T107" i="25" s="1"/>
  <c r="F107" i="25"/>
  <c r="H107" i="25" a="1"/>
  <c r="H107" i="25" s="1"/>
  <c r="L94" i="25" a="1"/>
  <c r="L94" i="25" s="1"/>
  <c r="R94" i="25" a="1"/>
  <c r="R94" i="25" s="1"/>
  <c r="F71" i="25"/>
  <c r="AB71" i="25" a="1"/>
  <c r="AB71" i="25" s="1"/>
  <c r="T71" i="25" a="1"/>
  <c r="T71" i="25" s="1"/>
  <c r="N71" i="25" a="1"/>
  <c r="N71" i="25" s="1"/>
  <c r="R71" i="25" a="1"/>
  <c r="R71" i="25" s="1"/>
  <c r="T141" i="25" a="1"/>
  <c r="T141" i="25" s="1"/>
  <c r="T137" i="25" a="1"/>
  <c r="T137" i="25" s="1"/>
  <c r="AD136" i="25" a="1"/>
  <c r="AD136" i="25" s="1"/>
  <c r="AB125" i="25" a="1"/>
  <c r="AB125" i="25" s="1"/>
  <c r="R123" i="25" a="1"/>
  <c r="R123" i="25" s="1"/>
  <c r="AB113" i="25" a="1"/>
  <c r="AB113" i="25" s="1"/>
  <c r="Z111" i="25" a="1"/>
  <c r="Z111" i="25" s="1"/>
  <c r="L104" i="25" a="1"/>
  <c r="L104" i="25" s="1"/>
  <c r="P104" i="25" a="1"/>
  <c r="P104" i="25" s="1"/>
  <c r="R104" i="25" a="1"/>
  <c r="R104" i="25" s="1"/>
  <c r="H93" i="25" a="1"/>
  <c r="H93" i="25" s="1"/>
  <c r="L93" i="25" a="1"/>
  <c r="L93" i="25" s="1"/>
  <c r="N93" i="25" a="1"/>
  <c r="N93" i="25" s="1"/>
  <c r="Z55" i="25" a="1"/>
  <c r="Z55" i="25" s="1"/>
  <c r="T55" i="25" a="1"/>
  <c r="T55" i="25" s="1"/>
  <c r="AB55" i="25" a="1"/>
  <c r="AB55" i="25" s="1"/>
  <c r="AD55" i="25" a="1"/>
  <c r="AD55" i="25" s="1"/>
  <c r="N55" i="25" a="1"/>
  <c r="N55" i="25" s="1"/>
  <c r="R141" i="25" a="1"/>
  <c r="R141" i="25" s="1"/>
  <c r="Z114" i="25" a="1"/>
  <c r="Z114" i="25" s="1"/>
  <c r="X111" i="25" a="1"/>
  <c r="X111" i="25" s="1"/>
  <c r="E106" i="25"/>
  <c r="F106" i="25"/>
  <c r="Z106" i="25" a="1"/>
  <c r="Z106" i="25" s="1"/>
  <c r="J106" i="25" a="1"/>
  <c r="J106" i="25" s="1"/>
  <c r="AB106" i="25" a="1"/>
  <c r="AB106" i="25" s="1"/>
  <c r="L106" i="25" a="1"/>
  <c r="L106" i="25" s="1"/>
  <c r="F100" i="25"/>
  <c r="N100" i="25" a="1"/>
  <c r="N100" i="25" s="1"/>
  <c r="P100" i="25" a="1"/>
  <c r="P100" i="25" s="1"/>
  <c r="R100" i="25" a="1"/>
  <c r="R100" i="25" s="1"/>
  <c r="T100" i="25" a="1"/>
  <c r="T100" i="25" s="1"/>
  <c r="H69" i="25" a="1"/>
  <c r="H69" i="25" s="1"/>
  <c r="F69" i="25"/>
  <c r="J69" i="25" a="1"/>
  <c r="J69" i="25" s="1"/>
  <c r="L69" i="25" a="1"/>
  <c r="L69" i="25" s="1"/>
  <c r="E63" i="25"/>
  <c r="P63" i="25" a="1"/>
  <c r="P63" i="25" s="1"/>
  <c r="AD63" i="25" a="1"/>
  <c r="AD63" i="25" s="1"/>
  <c r="L50" i="25" a="1"/>
  <c r="L50" i="25" s="1"/>
  <c r="V50" i="25" a="1"/>
  <c r="V50" i="25" s="1"/>
  <c r="AB50" i="25" a="1"/>
  <c r="AB50" i="25" s="1"/>
  <c r="AD50" i="25" a="1"/>
  <c r="AD50" i="25" s="1"/>
  <c r="N50" i="25" a="1"/>
  <c r="N50" i="25" s="1"/>
  <c r="F136" i="25"/>
  <c r="H135" i="25" a="1"/>
  <c r="H135" i="25" s="1"/>
  <c r="J135" i="25" a="1"/>
  <c r="J135" i="25" s="1"/>
  <c r="R135" i="25" a="1"/>
  <c r="R135" i="25" s="1"/>
  <c r="P125" i="25" a="1"/>
  <c r="P125" i="25" s="1"/>
  <c r="F123" i="25"/>
  <c r="X123" i="25" a="1"/>
  <c r="X123" i="25" s="1"/>
  <c r="Z123" i="25" a="1"/>
  <c r="Z123" i="25" s="1"/>
  <c r="J123" i="25" a="1"/>
  <c r="J123" i="25" s="1"/>
  <c r="AB123" i="25" a="1"/>
  <c r="AB123" i="25" s="1"/>
  <c r="N114" i="25" a="1"/>
  <c r="N114" i="25" s="1"/>
  <c r="P111" i="25" a="1"/>
  <c r="P111" i="25" s="1"/>
  <c r="X101" i="25" a="1"/>
  <c r="X101" i="25" s="1"/>
  <c r="F54" i="25"/>
  <c r="R54" i="25" a="1"/>
  <c r="R54" i="25" s="1"/>
  <c r="T54" i="25" a="1"/>
  <c r="T54" i="25" s="1"/>
  <c r="V54" i="25" a="1"/>
  <c r="V54" i="25" s="1"/>
  <c r="X54" i="25" a="1"/>
  <c r="X54" i="25" s="1"/>
  <c r="E54" i="25"/>
  <c r="AB54" i="25" a="1"/>
  <c r="AB54" i="25" s="1"/>
  <c r="J54" i="25" a="1"/>
  <c r="J54" i="25" s="1"/>
  <c r="AD54" i="25" a="1"/>
  <c r="AD54" i="25" s="1"/>
  <c r="P54" i="25" a="1"/>
  <c r="P54" i="25" s="1"/>
  <c r="P48" i="25" a="1"/>
  <c r="P48" i="25" s="1"/>
  <c r="H28" i="25" a="1"/>
  <c r="H28" i="25" s="1"/>
  <c r="E136" i="25"/>
  <c r="N125" i="25" a="1"/>
  <c r="N125" i="25" s="1"/>
  <c r="Z122" i="25" a="1"/>
  <c r="Z122" i="25" s="1"/>
  <c r="L114" i="25" a="1"/>
  <c r="L114" i="25" s="1"/>
  <c r="V101" i="25" a="1"/>
  <c r="V101" i="25" s="1"/>
  <c r="H23" i="25" a="1"/>
  <c r="H23" i="25" s="1"/>
  <c r="T23" i="25" a="1"/>
  <c r="T23" i="25" s="1"/>
  <c r="Z23" i="25" a="1"/>
  <c r="Z23" i="25" s="1"/>
  <c r="L23" i="25" a="1"/>
  <c r="L23" i="25" s="1"/>
  <c r="L122" i="25" a="1"/>
  <c r="L122" i="25" s="1"/>
  <c r="J114" i="25" a="1"/>
  <c r="J114" i="25" s="1"/>
  <c r="H111" i="25" a="1"/>
  <c r="H111" i="25" s="1"/>
  <c r="E56" i="25"/>
  <c r="P56" i="25" a="1"/>
  <c r="P56" i="25" s="1"/>
  <c r="V56" i="25" a="1"/>
  <c r="V56" i="25" s="1"/>
  <c r="F48" i="25"/>
  <c r="R48" i="25" a="1"/>
  <c r="R48" i="25" s="1"/>
  <c r="T48" i="25" a="1"/>
  <c r="T48" i="25" s="1"/>
  <c r="V48" i="25" a="1"/>
  <c r="V48" i="25" s="1"/>
  <c r="X48" i="25" a="1"/>
  <c r="X48" i="25" s="1"/>
  <c r="N48" i="25" a="1"/>
  <c r="N48" i="25" s="1"/>
  <c r="J28" i="25" a="1"/>
  <c r="J28" i="25" s="1"/>
  <c r="AD28" i="25" a="1"/>
  <c r="AD28" i="25" s="1"/>
  <c r="L28" i="25" a="1"/>
  <c r="L28" i="25" s="1"/>
  <c r="N28" i="25" a="1"/>
  <c r="N28" i="25" s="1"/>
  <c r="P28" i="25" a="1"/>
  <c r="P28" i="25" s="1"/>
  <c r="R28" i="25" a="1"/>
  <c r="R28" i="25" s="1"/>
  <c r="T28" i="25" a="1"/>
  <c r="T28" i="25" s="1"/>
  <c r="F28" i="25"/>
  <c r="Z28" i="25" a="1"/>
  <c r="Z28" i="25" s="1"/>
  <c r="Z141" i="25" a="1"/>
  <c r="Z141" i="25" s="1"/>
  <c r="H141" i="25" a="1"/>
  <c r="H141" i="25" s="1"/>
  <c r="L125" i="25" a="1"/>
  <c r="L125" i="25" s="1"/>
  <c r="V123" i="25" a="1"/>
  <c r="V123" i="25" s="1"/>
  <c r="F122" i="25"/>
  <c r="T115" i="25" a="1"/>
  <c r="T115" i="25" s="1"/>
  <c r="E115" i="25"/>
  <c r="V115" i="25" a="1"/>
  <c r="V115" i="25" s="1"/>
  <c r="F115" i="25"/>
  <c r="X115" i="25" a="1"/>
  <c r="X115" i="25" s="1"/>
  <c r="F114" i="25"/>
  <c r="F113" i="25"/>
  <c r="N113" i="25" a="1"/>
  <c r="N113" i="25" s="1"/>
  <c r="R113" i="25" a="1"/>
  <c r="R113" i="25" s="1"/>
  <c r="T113" i="25" a="1"/>
  <c r="T113" i="25" s="1"/>
  <c r="F111" i="25"/>
  <c r="H77" i="25" a="1"/>
  <c r="H77" i="25" s="1"/>
  <c r="T77" i="25" a="1"/>
  <c r="T77" i="25" s="1"/>
  <c r="X77" i="25" a="1"/>
  <c r="X77" i="25" s="1"/>
  <c r="AD44" i="25" a="1"/>
  <c r="AD44" i="25" s="1"/>
  <c r="J44" i="25" a="1"/>
  <c r="J44" i="25" s="1"/>
  <c r="L44" i="25" a="1"/>
  <c r="L44" i="25" s="1"/>
  <c r="N44" i="25" a="1"/>
  <c r="N44" i="25" s="1"/>
  <c r="P44" i="25" a="1"/>
  <c r="P44" i="25" s="1"/>
  <c r="R44" i="25" a="1"/>
  <c r="R44" i="25" s="1"/>
  <c r="T44" i="25" a="1"/>
  <c r="T44" i="25" s="1"/>
  <c r="F44" i="25"/>
  <c r="Z44" i="25" a="1"/>
  <c r="Z44" i="25" s="1"/>
  <c r="X141" i="25" a="1"/>
  <c r="X141" i="25" s="1"/>
  <c r="E141" i="25"/>
  <c r="AD135" i="25" a="1"/>
  <c r="AD135" i="25" s="1"/>
  <c r="P126" i="25" a="1"/>
  <c r="P126" i="25" s="1"/>
  <c r="R126" i="25" a="1"/>
  <c r="R126" i="25" s="1"/>
  <c r="T123" i="25" a="1"/>
  <c r="T123" i="25" s="1"/>
  <c r="E88" i="25"/>
  <c r="N88" i="25" a="1"/>
  <c r="N88" i="25" s="1"/>
  <c r="P88" i="25" a="1"/>
  <c r="P88" i="25" s="1"/>
  <c r="V88" i="25" a="1"/>
  <c r="V88" i="25" s="1"/>
  <c r="X88" i="25" a="1"/>
  <c r="X88" i="25" s="1"/>
  <c r="Z86" i="25" a="1"/>
  <c r="Z86" i="25" s="1"/>
  <c r="AB86" i="25" a="1"/>
  <c r="AB86" i="25" s="1"/>
  <c r="T86" i="25" a="1"/>
  <c r="T86" i="25" s="1"/>
  <c r="H61" i="25" a="1"/>
  <c r="H61" i="25" s="1"/>
  <c r="J61" i="25" a="1"/>
  <c r="J61" i="25" s="1"/>
  <c r="L61" i="25" a="1"/>
  <c r="L61" i="25" s="1"/>
  <c r="F61" i="25"/>
  <c r="E125" i="25"/>
  <c r="F125" i="25"/>
  <c r="X125" i="25" a="1"/>
  <c r="X125" i="25" s="1"/>
  <c r="Z125" i="25" a="1"/>
  <c r="Z125" i="25" s="1"/>
  <c r="J125" i="25" a="1"/>
  <c r="J125" i="25" s="1"/>
  <c r="AD114" i="25" a="1"/>
  <c r="AD114" i="25" s="1"/>
  <c r="P114" i="25" a="1"/>
  <c r="P114" i="25" s="1"/>
  <c r="AB111" i="25" a="1"/>
  <c r="AB111" i="25" s="1"/>
  <c r="J111" i="25" a="1"/>
  <c r="J111" i="25" s="1"/>
  <c r="L111" i="25" a="1"/>
  <c r="L111" i="25" s="1"/>
  <c r="N111" i="25" a="1"/>
  <c r="N111" i="25" s="1"/>
  <c r="H101" i="25" a="1"/>
  <c r="H101" i="25" s="1"/>
  <c r="J101" i="25" a="1"/>
  <c r="J101" i="25" s="1"/>
  <c r="L101" i="25" a="1"/>
  <c r="L101" i="25" s="1"/>
  <c r="N101" i="25" a="1"/>
  <c r="N101" i="25" s="1"/>
  <c r="V76" i="25" a="1"/>
  <c r="V76" i="25" s="1"/>
  <c r="P60" i="25" a="1"/>
  <c r="P60" i="25" s="1"/>
  <c r="V46" i="25" a="1"/>
  <c r="V46" i="25" s="1"/>
  <c r="N40" i="25" a="1"/>
  <c r="N40" i="25" s="1"/>
  <c r="AD38" i="25" a="1"/>
  <c r="AD38" i="25" s="1"/>
  <c r="N38" i="25" a="1"/>
  <c r="N38" i="25" s="1"/>
  <c r="X30" i="25" a="1"/>
  <c r="X30" i="25" s="1"/>
  <c r="AD29" i="25" a="1"/>
  <c r="AD29" i="25" s="1"/>
  <c r="T26" i="25" a="1"/>
  <c r="T26" i="25" s="1"/>
  <c r="N22" i="25" a="1"/>
  <c r="N22" i="25" s="1"/>
  <c r="P21" i="25" a="1"/>
  <c r="P21" i="25" s="1"/>
  <c r="R20" i="25" a="1"/>
  <c r="R20" i="25" s="1"/>
  <c r="Z19" i="25" a="1"/>
  <c r="Z19" i="25" s="1"/>
  <c r="Z38" i="25" a="1"/>
  <c r="Z38" i="25" s="1"/>
  <c r="J38" i="25" a="1"/>
  <c r="J38" i="25" s="1"/>
  <c r="H37" i="25" a="1"/>
  <c r="H37" i="25" s="1"/>
  <c r="J26" i="25" a="1"/>
  <c r="J26" i="25" s="1"/>
  <c r="E18" i="25"/>
  <c r="T52" i="25" a="1"/>
  <c r="T52" i="25" s="1"/>
  <c r="N46" i="25" a="1"/>
  <c r="N46" i="25" s="1"/>
  <c r="E38" i="25"/>
  <c r="F37" i="25"/>
  <c r="T35" i="25" a="1"/>
  <c r="T35" i="25" s="1"/>
  <c r="E26" i="25"/>
  <c r="X22" i="25" a="1"/>
  <c r="X22" i="25" s="1"/>
  <c r="X133" i="25" a="1"/>
  <c r="X133" i="25" s="1"/>
  <c r="H133" i="25" a="1"/>
  <c r="H133" i="25" s="1"/>
  <c r="J129" i="25" a="1"/>
  <c r="J129" i="25" s="1"/>
  <c r="H127" i="25" a="1"/>
  <c r="H127" i="25" s="1"/>
  <c r="H120" i="25" a="1"/>
  <c r="H120" i="25" s="1"/>
  <c r="E112" i="25"/>
  <c r="X103" i="25" a="1"/>
  <c r="X103" i="25" s="1"/>
  <c r="H103" i="25" a="1"/>
  <c r="H103" i="25" s="1"/>
  <c r="L102" i="25" a="1"/>
  <c r="L102" i="25" s="1"/>
  <c r="Z99" i="25" a="1"/>
  <c r="Z99" i="25" s="1"/>
  <c r="F95" i="25"/>
  <c r="H92" i="25" a="1"/>
  <c r="H92" i="25" s="1"/>
  <c r="E87" i="25"/>
  <c r="Z84" i="25" a="1"/>
  <c r="Z84" i="25" s="1"/>
  <c r="E84" i="25"/>
  <c r="AB70" i="25" a="1"/>
  <c r="AB70" i="25" s="1"/>
  <c r="P52" i="25" a="1"/>
  <c r="P52" i="25" s="1"/>
  <c r="J46" i="25" a="1"/>
  <c r="J46" i="25" s="1"/>
  <c r="H45" i="25" a="1"/>
  <c r="H45" i="25" s="1"/>
  <c r="T40" i="25" a="1"/>
  <c r="T40" i="25" s="1"/>
  <c r="V38" i="25" a="1"/>
  <c r="V38" i="25" s="1"/>
  <c r="H29" i="25" a="1"/>
  <c r="H29" i="25" s="1"/>
  <c r="F27" i="25"/>
  <c r="V22" i="25" a="1"/>
  <c r="V22" i="25" s="1"/>
  <c r="Z20" i="25" a="1"/>
  <c r="Z20" i="25" s="1"/>
  <c r="V18" i="25" a="1"/>
  <c r="V18" i="25" s="1"/>
  <c r="V133" i="25" a="1"/>
  <c r="V133" i="25" s="1"/>
  <c r="H129" i="25" a="1"/>
  <c r="H129" i="25" s="1"/>
  <c r="X127" i="25" a="1"/>
  <c r="X127" i="25" s="1"/>
  <c r="T99" i="25" a="1"/>
  <c r="T99" i="25" s="1"/>
  <c r="X92" i="25" a="1"/>
  <c r="X92" i="25" s="1"/>
  <c r="E92" i="25"/>
  <c r="N52" i="25" a="1"/>
  <c r="N52" i="25" s="1"/>
  <c r="AB46" i="25" a="1"/>
  <c r="AB46" i="25" s="1"/>
  <c r="E46" i="25"/>
  <c r="F45" i="25"/>
  <c r="T38" i="25" a="1"/>
  <c r="T38" i="25" s="1"/>
  <c r="AD37" i="25" a="1"/>
  <c r="AD37" i="25" s="1"/>
  <c r="F29" i="25"/>
  <c r="T22" i="25" a="1"/>
  <c r="T22" i="25" s="1"/>
  <c r="AB21" i="25" a="1"/>
  <c r="AB21" i="25" s="1"/>
  <c r="R18" i="25" a="1"/>
  <c r="R18" i="25" s="1"/>
  <c r="R38" i="25" a="1"/>
  <c r="R38" i="25" s="1"/>
  <c r="AB37" i="25" a="1"/>
  <c r="AB37" i="25" s="1"/>
  <c r="AD26" i="25" a="1"/>
  <c r="AD26" i="25" s="1"/>
  <c r="R22" i="25" a="1"/>
  <c r="R22" i="25" s="1"/>
  <c r="P18" i="25" a="1"/>
  <c r="P18" i="25" s="1"/>
  <c r="V112" i="25" a="1"/>
  <c r="V112" i="25" s="1"/>
  <c r="V92" i="25" a="1"/>
  <c r="V92" i="25" s="1"/>
  <c r="V84" i="25" a="1"/>
  <c r="V84" i="25" s="1"/>
  <c r="T60" i="25" a="1"/>
  <c r="T60" i="25" s="1"/>
  <c r="T59" i="25" a="1"/>
  <c r="T59" i="25" s="1"/>
  <c r="Z46" i="25" a="1"/>
  <c r="Z46" i="25" s="1"/>
  <c r="P38" i="25" a="1"/>
  <c r="P38" i="25" s="1"/>
  <c r="X26" i="25" a="1"/>
  <c r="X26" i="25" s="1"/>
  <c r="P22" i="25" a="1"/>
  <c r="P22" i="25" s="1"/>
  <c r="Z21" i="25" a="1"/>
  <c r="Z21" i="25" s="1"/>
  <c r="F109" i="25"/>
  <c r="T109" i="25" a="1"/>
  <c r="T109" i="25" s="1"/>
  <c r="H109" i="25" a="1"/>
  <c r="H109" i="25" s="1"/>
  <c r="J109" i="25" a="1"/>
  <c r="J109" i="25" s="1"/>
  <c r="X109" i="25" a="1"/>
  <c r="X109" i="25" s="1"/>
  <c r="P109" i="25" a="1"/>
  <c r="P109" i="25" s="1"/>
  <c r="R109" i="25" a="1"/>
  <c r="R109" i="25" s="1"/>
  <c r="V109" i="25" a="1"/>
  <c r="V109" i="25" s="1"/>
  <c r="E105" i="25"/>
  <c r="F105" i="25"/>
  <c r="H105" i="25" a="1"/>
  <c r="H105" i="25" s="1"/>
  <c r="V105" i="25" a="1"/>
  <c r="V105" i="25" s="1"/>
  <c r="J105" i="25" a="1"/>
  <c r="J105" i="25" s="1"/>
  <c r="L105" i="25" a="1"/>
  <c r="L105" i="25" s="1"/>
  <c r="AD105" i="25" a="1"/>
  <c r="AD105" i="25" s="1"/>
  <c r="N105" i="25" a="1"/>
  <c r="N105" i="25" s="1"/>
  <c r="P105" i="25" a="1"/>
  <c r="P105" i="25" s="1"/>
  <c r="J91" i="25" a="1"/>
  <c r="J91" i="25" s="1"/>
  <c r="V91" i="25" a="1"/>
  <c r="V91" i="25" s="1"/>
  <c r="L91" i="25" a="1"/>
  <c r="L91" i="25" s="1"/>
  <c r="X91" i="25" a="1"/>
  <c r="X91" i="25" s="1"/>
  <c r="P91" i="25" a="1"/>
  <c r="P91" i="25" s="1"/>
  <c r="AD91" i="25" a="1"/>
  <c r="AD91" i="25" s="1"/>
  <c r="R91" i="25" a="1"/>
  <c r="R91" i="25" s="1"/>
  <c r="AB91" i="25" a="1"/>
  <c r="AB91" i="25" s="1"/>
  <c r="T91" i="25" a="1"/>
  <c r="T91" i="25" s="1"/>
  <c r="E91" i="25"/>
  <c r="Z91" i="25" a="1"/>
  <c r="Z91" i="25" s="1"/>
  <c r="N91" i="25" a="1"/>
  <c r="N91" i="25" s="1"/>
  <c r="J83" i="25" a="1"/>
  <c r="J83" i="25" s="1"/>
  <c r="V83" i="25" a="1"/>
  <c r="V83" i="25" s="1"/>
  <c r="L83" i="25" a="1"/>
  <c r="L83" i="25" s="1"/>
  <c r="X83" i="25" a="1"/>
  <c r="X83" i="25" s="1"/>
  <c r="P83" i="25" a="1"/>
  <c r="P83" i="25" s="1"/>
  <c r="AD83" i="25" a="1"/>
  <c r="AD83" i="25" s="1"/>
  <c r="R83" i="25" a="1"/>
  <c r="R83" i="25" s="1"/>
  <c r="F83" i="25"/>
  <c r="Z83" i="25" a="1"/>
  <c r="Z83" i="25" s="1"/>
  <c r="T83" i="25" a="1"/>
  <c r="T83" i="25" s="1"/>
  <c r="E83" i="25"/>
  <c r="AB83" i="25" a="1"/>
  <c r="AB83" i="25" s="1"/>
  <c r="F62" i="25"/>
  <c r="H62" i="25" a="1"/>
  <c r="H62" i="25" s="1"/>
  <c r="V62" i="25" a="1"/>
  <c r="V62" i="25" s="1"/>
  <c r="L62" i="25" a="1"/>
  <c r="L62" i="25" s="1"/>
  <c r="T62" i="25" a="1"/>
  <c r="T62" i="25" s="1"/>
  <c r="X62" i="25" a="1"/>
  <c r="X62" i="25" s="1"/>
  <c r="Z62" i="25" a="1"/>
  <c r="Z62" i="25" s="1"/>
  <c r="P62" i="25" a="1"/>
  <c r="P62" i="25" s="1"/>
  <c r="R62" i="25" a="1"/>
  <c r="R62" i="25" s="1"/>
  <c r="AB62" i="25" a="1"/>
  <c r="AB62" i="25" s="1"/>
  <c r="AD62" i="25" a="1"/>
  <c r="AD62" i="25" s="1"/>
  <c r="N134" i="25" a="1"/>
  <c r="N134" i="25" s="1"/>
  <c r="Z134" i="25" a="1"/>
  <c r="Z134" i="25" s="1"/>
  <c r="L134" i="25" a="1"/>
  <c r="L134" i="25" s="1"/>
  <c r="AB134" i="25" a="1"/>
  <c r="AB134" i="25" s="1"/>
  <c r="P134" i="25" a="1"/>
  <c r="P134" i="25" s="1"/>
  <c r="AD134" i="25" a="1"/>
  <c r="AD134" i="25" s="1"/>
  <c r="F72" i="25"/>
  <c r="L72" i="25" a="1"/>
  <c r="L72" i="25" s="1"/>
  <c r="Z72" i="25" a="1"/>
  <c r="Z72" i="25" s="1"/>
  <c r="E72" i="25"/>
  <c r="AB72" i="25" a="1"/>
  <c r="AB72" i="25" s="1"/>
  <c r="R72" i="25" a="1"/>
  <c r="R72" i="25" s="1"/>
  <c r="T72" i="25" a="1"/>
  <c r="T72" i="25" s="1"/>
  <c r="P72" i="25" a="1"/>
  <c r="P72" i="25" s="1"/>
  <c r="V72" i="25" a="1"/>
  <c r="V72" i="25" s="1"/>
  <c r="X72" i="25" a="1"/>
  <c r="X72" i="25" s="1"/>
  <c r="AD72" i="25" a="1"/>
  <c r="AD72" i="25" s="1"/>
  <c r="J41" i="25" a="1"/>
  <c r="J41" i="25" s="1"/>
  <c r="V41" i="25" a="1"/>
  <c r="V41" i="25" s="1"/>
  <c r="L41" i="25" a="1"/>
  <c r="L41" i="25" s="1"/>
  <c r="X41" i="25" a="1"/>
  <c r="X41" i="25" s="1"/>
  <c r="H41" i="25" a="1"/>
  <c r="H41" i="25" s="1"/>
  <c r="Z41" i="25" a="1"/>
  <c r="Z41" i="25" s="1"/>
  <c r="N41" i="25" a="1"/>
  <c r="N41" i="25" s="1"/>
  <c r="AB41" i="25" a="1"/>
  <c r="AB41" i="25" s="1"/>
  <c r="R41" i="25" a="1"/>
  <c r="R41" i="25" s="1"/>
  <c r="T41" i="25" a="1"/>
  <c r="T41" i="25" s="1"/>
  <c r="AD41" i="25" a="1"/>
  <c r="AD41" i="25" s="1"/>
  <c r="E41" i="25"/>
  <c r="P41" i="25" a="1"/>
  <c r="P41" i="25" s="1"/>
  <c r="H140" i="25" a="1"/>
  <c r="H140" i="25" s="1"/>
  <c r="T140" i="25" a="1"/>
  <c r="T140" i="25" s="1"/>
  <c r="E140" i="25"/>
  <c r="F140" i="25"/>
  <c r="V140" i="25" a="1"/>
  <c r="V140" i="25" s="1"/>
  <c r="J140" i="25" a="1"/>
  <c r="J140" i="25" s="1"/>
  <c r="X140" i="25" a="1"/>
  <c r="X140" i="25" s="1"/>
  <c r="V134" i="25" a="1"/>
  <c r="V134" i="25" s="1"/>
  <c r="H118" i="25" a="1"/>
  <c r="H118" i="25" s="1"/>
  <c r="T118" i="25" a="1"/>
  <c r="T118" i="25" s="1"/>
  <c r="L118" i="25" a="1"/>
  <c r="L118" i="25" s="1"/>
  <c r="N118" i="25" a="1"/>
  <c r="N118" i="25" s="1"/>
  <c r="E118" i="25"/>
  <c r="F118" i="25"/>
  <c r="X118" i="25" a="1"/>
  <c r="X118" i="25" s="1"/>
  <c r="J118" i="25" a="1"/>
  <c r="J118" i="25" s="1"/>
  <c r="Z118" i="25" a="1"/>
  <c r="Z118" i="25" s="1"/>
  <c r="AB118" i="25" a="1"/>
  <c r="AB118" i="25" s="1"/>
  <c r="AB109" i="25" a="1"/>
  <c r="AB109" i="25" s="1"/>
  <c r="F96" i="25"/>
  <c r="L96" i="25" a="1"/>
  <c r="L96" i="25" s="1"/>
  <c r="P96" i="25" a="1"/>
  <c r="P96" i="25" s="1"/>
  <c r="R96" i="25" a="1"/>
  <c r="R96" i="25" s="1"/>
  <c r="V96" i="25" a="1"/>
  <c r="V96" i="25" s="1"/>
  <c r="N96" i="25" a="1"/>
  <c r="N96" i="25" s="1"/>
  <c r="T96" i="25" a="1"/>
  <c r="T96" i="25" s="1"/>
  <c r="X96" i="25" a="1"/>
  <c r="X96" i="25" s="1"/>
  <c r="L148" i="25" a="1"/>
  <c r="L148" i="25" s="1"/>
  <c r="X148" i="25" a="1"/>
  <c r="X148" i="25" s="1"/>
  <c r="N148" i="25" a="1"/>
  <c r="N148" i="25" s="1"/>
  <c r="Z148" i="25" a="1"/>
  <c r="Z148" i="25" s="1"/>
  <c r="AB140" i="25" a="1"/>
  <c r="AB140" i="25" s="1"/>
  <c r="F70" i="25"/>
  <c r="H70" i="25" a="1"/>
  <c r="H70" i="25" s="1"/>
  <c r="V70" i="25" a="1"/>
  <c r="V70" i="25" s="1"/>
  <c r="P70" i="25" a="1"/>
  <c r="P70" i="25" s="1"/>
  <c r="X70" i="25" a="1"/>
  <c r="X70" i="25" s="1"/>
  <c r="E70" i="25"/>
  <c r="AD70" i="25" a="1"/>
  <c r="AD70" i="25" s="1"/>
  <c r="J70" i="25" a="1"/>
  <c r="J70" i="25" s="1"/>
  <c r="N70" i="25" a="1"/>
  <c r="N70" i="25" s="1"/>
  <c r="R70" i="25" a="1"/>
  <c r="R70" i="25" s="1"/>
  <c r="T70" i="25" a="1"/>
  <c r="T70" i="25" s="1"/>
  <c r="Z70" i="25" a="1"/>
  <c r="Z70" i="25" s="1"/>
  <c r="N66" i="25" a="1"/>
  <c r="N66" i="25" s="1"/>
  <c r="P66" i="25" a="1"/>
  <c r="P66" i="25" s="1"/>
  <c r="AD66" i="25" a="1"/>
  <c r="AD66" i="25" s="1"/>
  <c r="T66" i="25" a="1"/>
  <c r="T66" i="25" s="1"/>
  <c r="E66" i="25"/>
  <c r="H66" i="25" a="1"/>
  <c r="H66" i="25" s="1"/>
  <c r="Z66" i="25" a="1"/>
  <c r="Z66" i="25" s="1"/>
  <c r="L66" i="25" a="1"/>
  <c r="L66" i="25" s="1"/>
  <c r="R66" i="25" a="1"/>
  <c r="R66" i="25" s="1"/>
  <c r="V66" i="25" a="1"/>
  <c r="V66" i="25" s="1"/>
  <c r="AB66" i="25" a="1"/>
  <c r="AB66" i="25" s="1"/>
  <c r="T148" i="25" a="1"/>
  <c r="T148" i="25" s="1"/>
  <c r="T134" i="25" a="1"/>
  <c r="T134" i="25" s="1"/>
  <c r="N116" i="25" a="1"/>
  <c r="N116" i="25" s="1"/>
  <c r="Z116" i="25" a="1"/>
  <c r="Z116" i="25" s="1"/>
  <c r="L116" i="25" a="1"/>
  <c r="L116" i="25" s="1"/>
  <c r="P116" i="25" a="1"/>
  <c r="P116" i="25" s="1"/>
  <c r="H116" i="25" a="1"/>
  <c r="H116" i="25" s="1"/>
  <c r="X116" i="25" a="1"/>
  <c r="X116" i="25" s="1"/>
  <c r="AB116" i="25" a="1"/>
  <c r="AB116" i="25" s="1"/>
  <c r="J116" i="25" a="1"/>
  <c r="J116" i="25" s="1"/>
  <c r="AD116" i="25" a="1"/>
  <c r="AD116" i="25" s="1"/>
  <c r="Z109" i="25" a="1"/>
  <c r="Z109" i="25" s="1"/>
  <c r="AB105" i="25" a="1"/>
  <c r="AB105" i="25" s="1"/>
  <c r="N90" i="25" a="1"/>
  <c r="N90" i="25" s="1"/>
  <c r="P90" i="25" a="1"/>
  <c r="P90" i="25" s="1"/>
  <c r="AD90" i="25" a="1"/>
  <c r="AD90" i="25" s="1"/>
  <c r="E90" i="25"/>
  <c r="X90" i="25" a="1"/>
  <c r="X90" i="25" s="1"/>
  <c r="F90" i="25"/>
  <c r="Z90" i="25" a="1"/>
  <c r="Z90" i="25" s="1"/>
  <c r="H90" i="25" a="1"/>
  <c r="H90" i="25" s="1"/>
  <c r="AB90" i="25" a="1"/>
  <c r="AB90" i="25" s="1"/>
  <c r="J90" i="25" a="1"/>
  <c r="J90" i="25" s="1"/>
  <c r="L90" i="25" a="1"/>
  <c r="L90" i="25" s="1"/>
  <c r="R90" i="25" a="1"/>
  <c r="R90" i="25" s="1"/>
  <c r="T90" i="25" a="1"/>
  <c r="T90" i="25" s="1"/>
  <c r="N82" i="25" a="1"/>
  <c r="N82" i="25" s="1"/>
  <c r="P82" i="25" a="1"/>
  <c r="P82" i="25" s="1"/>
  <c r="AD82" i="25" a="1"/>
  <c r="AD82" i="25" s="1"/>
  <c r="L82" i="25" a="1"/>
  <c r="L82" i="25" s="1"/>
  <c r="E82" i="25"/>
  <c r="X82" i="25" a="1"/>
  <c r="X82" i="25" s="1"/>
  <c r="F82" i="25"/>
  <c r="Z82" i="25" a="1"/>
  <c r="Z82" i="25" s="1"/>
  <c r="H82" i="25" a="1"/>
  <c r="H82" i="25" s="1"/>
  <c r="AB82" i="25" a="1"/>
  <c r="AB82" i="25" s="1"/>
  <c r="J82" i="25" a="1"/>
  <c r="J82" i="25" s="1"/>
  <c r="R82" i="25" a="1"/>
  <c r="R82" i="25" s="1"/>
  <c r="T82" i="25" a="1"/>
  <c r="T82" i="25" s="1"/>
  <c r="V82" i="25" a="1"/>
  <c r="V82" i="25" s="1"/>
  <c r="Z140" i="25" a="1"/>
  <c r="Z140" i="25" s="1"/>
  <c r="F139" i="25"/>
  <c r="T139" i="25" a="1"/>
  <c r="T139" i="25" s="1"/>
  <c r="H139" i="25" a="1"/>
  <c r="H139" i="25" s="1"/>
  <c r="V139" i="25" a="1"/>
  <c r="V139" i="25" s="1"/>
  <c r="J139" i="25" a="1"/>
  <c r="J139" i="25" s="1"/>
  <c r="X139" i="25" a="1"/>
  <c r="X139" i="25" s="1"/>
  <c r="L139" i="25" a="1"/>
  <c r="L139" i="25" s="1"/>
  <c r="H122" i="25" a="1"/>
  <c r="H122" i="25" s="1"/>
  <c r="T122" i="25" a="1"/>
  <c r="T122" i="25" s="1"/>
  <c r="J122" i="25" a="1"/>
  <c r="J122" i="25" s="1"/>
  <c r="N122" i="25" a="1"/>
  <c r="N122" i="25" s="1"/>
  <c r="AB122" i="25" a="1"/>
  <c r="AB122" i="25" s="1"/>
  <c r="P122" i="25" a="1"/>
  <c r="P122" i="25" s="1"/>
  <c r="AD122" i="25" a="1"/>
  <c r="AD122" i="25" s="1"/>
  <c r="AD118" i="25" a="1"/>
  <c r="AD118" i="25" s="1"/>
  <c r="J121" i="25" a="1"/>
  <c r="J121" i="25" s="1"/>
  <c r="X121" i="25" a="1"/>
  <c r="X121" i="25" s="1"/>
  <c r="L121" i="25" a="1"/>
  <c r="L121" i="25" s="1"/>
  <c r="Z121" i="25" a="1"/>
  <c r="Z121" i="25" s="1"/>
  <c r="N121" i="25" a="1"/>
  <c r="N121" i="25" s="1"/>
  <c r="AB121" i="25" a="1"/>
  <c r="AB121" i="25" s="1"/>
  <c r="P121" i="25" a="1"/>
  <c r="P121" i="25" s="1"/>
  <c r="AD121" i="25" a="1"/>
  <c r="AD121" i="25" s="1"/>
  <c r="P97" i="25" a="1"/>
  <c r="P97" i="25" s="1"/>
  <c r="AB97" i="25" a="1"/>
  <c r="AB97" i="25" s="1"/>
  <c r="E97" i="25"/>
  <c r="R97" i="25" a="1"/>
  <c r="R97" i="25" s="1"/>
  <c r="AD97" i="25" a="1"/>
  <c r="AD97" i="25" s="1"/>
  <c r="N97" i="25" a="1"/>
  <c r="N97" i="25" s="1"/>
  <c r="H97" i="25" a="1"/>
  <c r="H97" i="25" s="1"/>
  <c r="J97" i="25" a="1"/>
  <c r="J97" i="25" s="1"/>
  <c r="Z97" i="25" a="1"/>
  <c r="Z97" i="25" s="1"/>
  <c r="L97" i="25" a="1"/>
  <c r="L97" i="25" s="1"/>
  <c r="T97" i="25" a="1"/>
  <c r="T97" i="25" s="1"/>
  <c r="P65" i="25" a="1"/>
  <c r="P65" i="25" s="1"/>
  <c r="AB65" i="25" a="1"/>
  <c r="AB65" i="25" s="1"/>
  <c r="E65" i="25"/>
  <c r="R65" i="25" a="1"/>
  <c r="R65" i="25" s="1"/>
  <c r="AD65" i="25" a="1"/>
  <c r="AD65" i="25" s="1"/>
  <c r="L65" i="25" a="1"/>
  <c r="L65" i="25" s="1"/>
  <c r="Z65" i="25" a="1"/>
  <c r="Z65" i="25" s="1"/>
  <c r="N65" i="25" a="1"/>
  <c r="N65" i="25" s="1"/>
  <c r="H65" i="25" a="1"/>
  <c r="H65" i="25" s="1"/>
  <c r="T65" i="25" a="1"/>
  <c r="T65" i="25" s="1"/>
  <c r="J65" i="25" a="1"/>
  <c r="J65" i="25" s="1"/>
  <c r="V65" i="25" a="1"/>
  <c r="V65" i="25" s="1"/>
  <c r="X65" i="25" a="1"/>
  <c r="X65" i="25" s="1"/>
  <c r="Z149" i="25" a="1"/>
  <c r="Z149" i="25" s="1"/>
  <c r="X147" i="25" a="1"/>
  <c r="X147" i="25" s="1"/>
  <c r="R140" i="25" a="1"/>
  <c r="R140" i="25" s="1"/>
  <c r="AD138" i="25" a="1"/>
  <c r="AD138" i="25" s="1"/>
  <c r="H136" i="25" a="1"/>
  <c r="H136" i="25" s="1"/>
  <c r="T136" i="25" a="1"/>
  <c r="T136" i="25" s="1"/>
  <c r="X136" i="25" a="1"/>
  <c r="X136" i="25" s="1"/>
  <c r="L136" i="25" a="1"/>
  <c r="L136" i="25" s="1"/>
  <c r="Z136" i="25" a="1"/>
  <c r="Z136" i="25" s="1"/>
  <c r="N136" i="25" a="1"/>
  <c r="N136" i="25" s="1"/>
  <c r="AB136" i="25" a="1"/>
  <c r="AB136" i="25" s="1"/>
  <c r="X122" i="25" a="1"/>
  <c r="X122" i="25" s="1"/>
  <c r="N120" i="25" a="1"/>
  <c r="N120" i="25" s="1"/>
  <c r="Z120" i="25" a="1"/>
  <c r="Z120" i="25" s="1"/>
  <c r="X120" i="25" a="1"/>
  <c r="X120" i="25" s="1"/>
  <c r="J120" i="25" a="1"/>
  <c r="J120" i="25" s="1"/>
  <c r="L120" i="25" a="1"/>
  <c r="L120" i="25" s="1"/>
  <c r="AB120" i="25" a="1"/>
  <c r="AB120" i="25" s="1"/>
  <c r="V118" i="25" a="1"/>
  <c r="V118" i="25" s="1"/>
  <c r="N109" i="25" a="1"/>
  <c r="N109" i="25" s="1"/>
  <c r="X105" i="25" a="1"/>
  <c r="X105" i="25" s="1"/>
  <c r="AD96" i="25" a="1"/>
  <c r="AD96" i="25" s="1"/>
  <c r="N83" i="25" a="1"/>
  <c r="N83" i="25" s="1"/>
  <c r="N58" i="25" a="1"/>
  <c r="N58" i="25" s="1"/>
  <c r="P58" i="25" a="1"/>
  <c r="P58" i="25" s="1"/>
  <c r="AD58" i="25" a="1"/>
  <c r="AD58" i="25" s="1"/>
  <c r="R58" i="25" a="1"/>
  <c r="R58" i="25" s="1"/>
  <c r="E58" i="25"/>
  <c r="F58" i="25"/>
  <c r="H58" i="25" a="1"/>
  <c r="H58" i="25" s="1"/>
  <c r="J58" i="25" a="1"/>
  <c r="J58" i="25" s="1"/>
  <c r="L58" i="25" a="1"/>
  <c r="L58" i="25" s="1"/>
  <c r="T58" i="25" a="1"/>
  <c r="T58" i="25" s="1"/>
  <c r="V58" i="25" a="1"/>
  <c r="V58" i="25" s="1"/>
  <c r="AB139" i="25" a="1"/>
  <c r="AB139" i="25" s="1"/>
  <c r="Z105" i="25" a="1"/>
  <c r="Z105" i="25" s="1"/>
  <c r="H149" i="25" a="1"/>
  <c r="H149" i="25" s="1"/>
  <c r="T149" i="25" a="1"/>
  <c r="T149" i="25" s="1"/>
  <c r="J149" i="25" a="1"/>
  <c r="J149" i="25" s="1"/>
  <c r="V149" i="25" a="1"/>
  <c r="V149" i="25" s="1"/>
  <c r="P148" i="25" a="1"/>
  <c r="P148" i="25" s="1"/>
  <c r="Z147" i="25" a="1"/>
  <c r="Z147" i="25" s="1"/>
  <c r="N147" i="25" a="1"/>
  <c r="N147" i="25" s="1"/>
  <c r="AB147" i="25" a="1"/>
  <c r="AB147" i="25" s="1"/>
  <c r="P147" i="25" a="1"/>
  <c r="P147" i="25" s="1"/>
  <c r="Z139" i="25" a="1"/>
  <c r="Z139" i="25" s="1"/>
  <c r="N138" i="25" a="1"/>
  <c r="N138" i="25" s="1"/>
  <c r="Z138" i="25" a="1"/>
  <c r="Z138" i="25" s="1"/>
  <c r="H138" i="25" a="1"/>
  <c r="H138" i="25" s="1"/>
  <c r="V138" i="25" a="1"/>
  <c r="V138" i="25" s="1"/>
  <c r="J138" i="25" a="1"/>
  <c r="J138" i="25" s="1"/>
  <c r="X138" i="25" a="1"/>
  <c r="X138" i="25" s="1"/>
  <c r="L138" i="25" a="1"/>
  <c r="L138" i="25" s="1"/>
  <c r="J134" i="25" a="1"/>
  <c r="J134" i="25" s="1"/>
  <c r="N124" i="25" a="1"/>
  <c r="N124" i="25" s="1"/>
  <c r="Z124" i="25" a="1"/>
  <c r="Z124" i="25" s="1"/>
  <c r="F124" i="25"/>
  <c r="T124" i="25" a="1"/>
  <c r="T124" i="25" s="1"/>
  <c r="AB124" i="25" a="1"/>
  <c r="AB124" i="25" s="1"/>
  <c r="P124" i="25" a="1"/>
  <c r="P124" i="25" s="1"/>
  <c r="AD124" i="25" a="1"/>
  <c r="AD124" i="25" s="1"/>
  <c r="R124" i="25" a="1"/>
  <c r="R124" i="25" s="1"/>
  <c r="V122" i="25" a="1"/>
  <c r="V122" i="25" s="1"/>
  <c r="V121" i="25" a="1"/>
  <c r="V121" i="25" s="1"/>
  <c r="V116" i="25" a="1"/>
  <c r="V116" i="25" s="1"/>
  <c r="T105" i="25" a="1"/>
  <c r="T105" i="25" s="1"/>
  <c r="P73" i="25" a="1"/>
  <c r="P73" i="25" s="1"/>
  <c r="AB73" i="25" a="1"/>
  <c r="AB73" i="25" s="1"/>
  <c r="E73" i="25"/>
  <c r="R73" i="25" a="1"/>
  <c r="R73" i="25" s="1"/>
  <c r="AD73" i="25" a="1"/>
  <c r="AD73" i="25" s="1"/>
  <c r="L73" i="25" a="1"/>
  <c r="L73" i="25" s="1"/>
  <c r="Z73" i="25" a="1"/>
  <c r="Z73" i="25" s="1"/>
  <c r="N73" i="25" a="1"/>
  <c r="N73" i="25" s="1"/>
  <c r="T73" i="25" a="1"/>
  <c r="T73" i="25" s="1"/>
  <c r="J73" i="25" a="1"/>
  <c r="J73" i="25" s="1"/>
  <c r="X73" i="25" a="1"/>
  <c r="X73" i="25" s="1"/>
  <c r="N62" i="25" a="1"/>
  <c r="N62" i="25" s="1"/>
  <c r="X149" i="25" a="1"/>
  <c r="X149" i="25" s="1"/>
  <c r="F146" i="25"/>
  <c r="P140" i="25" a="1"/>
  <c r="P140" i="25" s="1"/>
  <c r="AB138" i="25" a="1"/>
  <c r="AB138" i="25" s="1"/>
  <c r="X124" i="25" a="1"/>
  <c r="X124" i="25" s="1"/>
  <c r="L109" i="25" a="1"/>
  <c r="L109" i="25" s="1"/>
  <c r="R105" i="25" a="1"/>
  <c r="R105" i="25" s="1"/>
  <c r="F98" i="25"/>
  <c r="AB96" i="25" a="1"/>
  <c r="AB96" i="25" s="1"/>
  <c r="F94" i="25"/>
  <c r="H94" i="25" a="1"/>
  <c r="H94" i="25" s="1"/>
  <c r="V94" i="25" a="1"/>
  <c r="V94" i="25" s="1"/>
  <c r="N94" i="25" a="1"/>
  <c r="N94" i="25" s="1"/>
  <c r="J94" i="25" a="1"/>
  <c r="J94" i="25" s="1"/>
  <c r="AD94" i="25" a="1"/>
  <c r="AD94" i="25" s="1"/>
  <c r="P94" i="25" a="1"/>
  <c r="P94" i="25" s="1"/>
  <c r="T94" i="25" a="1"/>
  <c r="T94" i="25" s="1"/>
  <c r="X94" i="25" a="1"/>
  <c r="X94" i="25" s="1"/>
  <c r="Z94" i="25" a="1"/>
  <c r="Z94" i="25" s="1"/>
  <c r="AB94" i="25" a="1"/>
  <c r="AB94" i="25" s="1"/>
  <c r="X66" i="25" a="1"/>
  <c r="X66" i="25" s="1"/>
  <c r="R148" i="25" a="1"/>
  <c r="R148" i="25" s="1"/>
  <c r="R134" i="25" a="1"/>
  <c r="R134" i="25" s="1"/>
  <c r="AD148" i="25" a="1"/>
  <c r="AD148" i="25" s="1"/>
  <c r="J148" i="25" a="1"/>
  <c r="J148" i="25" s="1"/>
  <c r="T147" i="25" a="1"/>
  <c r="T147" i="25" s="1"/>
  <c r="X146" i="25" a="1"/>
  <c r="X146" i="25" s="1"/>
  <c r="R139" i="25" a="1"/>
  <c r="R139" i="25" s="1"/>
  <c r="L135" i="25" a="1"/>
  <c r="L135" i="25" s="1"/>
  <c r="Z135" i="25" a="1"/>
  <c r="Z135" i="25" s="1"/>
  <c r="N135" i="25" a="1"/>
  <c r="N135" i="25" s="1"/>
  <c r="AB135" i="25" a="1"/>
  <c r="AB135" i="25" s="1"/>
  <c r="P135" i="25" a="1"/>
  <c r="P135" i="25" s="1"/>
  <c r="H134" i="25" a="1"/>
  <c r="H134" i="25" s="1"/>
  <c r="T121" i="25" a="1"/>
  <c r="T121" i="25" s="1"/>
  <c r="R118" i="25" a="1"/>
  <c r="R118" i="25" s="1"/>
  <c r="T116" i="25" a="1"/>
  <c r="T116" i="25" s="1"/>
  <c r="Z96" i="25" a="1"/>
  <c r="Z96" i="25" s="1"/>
  <c r="H91" i="25" a="1"/>
  <c r="H91" i="25" s="1"/>
  <c r="P81" i="25" a="1"/>
  <c r="P81" i="25" s="1"/>
  <c r="AB81" i="25" a="1"/>
  <c r="AB81" i="25" s="1"/>
  <c r="E81" i="25"/>
  <c r="R81" i="25" a="1"/>
  <c r="R81" i="25" s="1"/>
  <c r="AD81" i="25" a="1"/>
  <c r="AD81" i="25" s="1"/>
  <c r="L81" i="25" a="1"/>
  <c r="L81" i="25" s="1"/>
  <c r="Z81" i="25" a="1"/>
  <c r="Z81" i="25" s="1"/>
  <c r="N81" i="25" a="1"/>
  <c r="N81" i="25" s="1"/>
  <c r="V81" i="25" a="1"/>
  <c r="V81" i="25" s="1"/>
  <c r="J81" i="25" a="1"/>
  <c r="J81" i="25" s="1"/>
  <c r="H81" i="25" a="1"/>
  <c r="H81" i="25" s="1"/>
  <c r="T81" i="25" a="1"/>
  <c r="T81" i="25" s="1"/>
  <c r="N72" i="25" a="1"/>
  <c r="N72" i="25" s="1"/>
  <c r="J62" i="25" a="1"/>
  <c r="J62" i="25" s="1"/>
  <c r="R149" i="25" a="1"/>
  <c r="R149" i="25" s="1"/>
  <c r="N146" i="25" a="1"/>
  <c r="N146" i="25" s="1"/>
  <c r="Z146" i="25" a="1"/>
  <c r="Z146" i="25" s="1"/>
  <c r="L146" i="25" a="1"/>
  <c r="L146" i="25" s="1"/>
  <c r="AB146" i="25" a="1"/>
  <c r="AB146" i="25" s="1"/>
  <c r="P146" i="25" a="1"/>
  <c r="P146" i="25" s="1"/>
  <c r="AD146" i="25" a="1"/>
  <c r="AD146" i="25" s="1"/>
  <c r="N140" i="25" a="1"/>
  <c r="N140" i="25" s="1"/>
  <c r="T138" i="25" a="1"/>
  <c r="T138" i="25" s="1"/>
  <c r="F134" i="25"/>
  <c r="V124" i="25" a="1"/>
  <c r="V124" i="25" s="1"/>
  <c r="R122" i="25" a="1"/>
  <c r="R122" i="25" s="1"/>
  <c r="E109" i="25"/>
  <c r="AB98" i="25" a="1"/>
  <c r="AB98" i="25" s="1"/>
  <c r="P98" i="25" a="1"/>
  <c r="P98" i="25" s="1"/>
  <c r="R98" i="25" a="1"/>
  <c r="R98" i="25" s="1"/>
  <c r="T98" i="25" a="1"/>
  <c r="T98" i="25" s="1"/>
  <c r="H98" i="25" a="1"/>
  <c r="H98" i="25" s="1"/>
  <c r="AD98" i="25" a="1"/>
  <c r="AD98" i="25" s="1"/>
  <c r="J98" i="25" a="1"/>
  <c r="J98" i="25" s="1"/>
  <c r="L98" i="25" a="1"/>
  <c r="L98" i="25" s="1"/>
  <c r="N98" i="25" a="1"/>
  <c r="N98" i="25" s="1"/>
  <c r="J96" i="25" a="1"/>
  <c r="J96" i="25" s="1"/>
  <c r="F91" i="25"/>
  <c r="H83" i="25" a="1"/>
  <c r="H83" i="25" s="1"/>
  <c r="J72" i="25" a="1"/>
  <c r="J72" i="25" s="1"/>
  <c r="E62" i="25"/>
  <c r="T150" i="25" a="1"/>
  <c r="T150" i="25" s="1"/>
  <c r="H150" i="25" a="1"/>
  <c r="H150" i="25" s="1"/>
  <c r="T143" i="25" a="1"/>
  <c r="T143" i="25" s="1"/>
  <c r="F143" i="25"/>
  <c r="H142" i="25" a="1"/>
  <c r="H142" i="25" s="1"/>
  <c r="T131" i="25" a="1"/>
  <c r="T131" i="25" s="1"/>
  <c r="F131" i="25"/>
  <c r="F130" i="25"/>
  <c r="T129" i="25" a="1"/>
  <c r="T129" i="25" s="1"/>
  <c r="E129" i="25"/>
  <c r="N128" i="25" a="1"/>
  <c r="N128" i="25" s="1"/>
  <c r="Z128" i="25" a="1"/>
  <c r="Z128" i="25" s="1"/>
  <c r="P128" i="25" a="1"/>
  <c r="P128" i="25" s="1"/>
  <c r="L117" i="25" a="1"/>
  <c r="L117" i="25" s="1"/>
  <c r="Z117" i="25" a="1"/>
  <c r="Z117" i="25" s="1"/>
  <c r="AB117" i="25" a="1"/>
  <c r="AB117" i="25" s="1"/>
  <c r="X113" i="25" a="1"/>
  <c r="X113" i="25" s="1"/>
  <c r="L108" i="25" a="1"/>
  <c r="L108" i="25" s="1"/>
  <c r="T89" i="25" a="1"/>
  <c r="T89" i="25" s="1"/>
  <c r="J88" i="25" a="1"/>
  <c r="J88" i="25" s="1"/>
  <c r="F86" i="25"/>
  <c r="H86" i="25" a="1"/>
  <c r="H86" i="25" s="1"/>
  <c r="V86" i="25" a="1"/>
  <c r="V86" i="25" s="1"/>
  <c r="AD86" i="25" a="1"/>
  <c r="AD86" i="25" s="1"/>
  <c r="E86" i="25"/>
  <c r="J86" i="25" a="1"/>
  <c r="J86" i="25" s="1"/>
  <c r="L86" i="25" a="1"/>
  <c r="L86" i="25" s="1"/>
  <c r="P86" i="25" a="1"/>
  <c r="P86" i="25" s="1"/>
  <c r="N74" i="25" a="1"/>
  <c r="N74" i="25" s="1"/>
  <c r="P74" i="25" a="1"/>
  <c r="P74" i="25" s="1"/>
  <c r="AD74" i="25" a="1"/>
  <c r="AD74" i="25" s="1"/>
  <c r="J74" i="25" a="1"/>
  <c r="J74" i="25" s="1"/>
  <c r="E74" i="25"/>
  <c r="X74" i="25" a="1"/>
  <c r="X74" i="25" s="1"/>
  <c r="F74" i="25"/>
  <c r="Z74" i="25" a="1"/>
  <c r="Z74" i="25" s="1"/>
  <c r="H74" i="25" a="1"/>
  <c r="H74" i="25" s="1"/>
  <c r="AB74" i="25" a="1"/>
  <c r="AB74" i="25" s="1"/>
  <c r="H67" i="25" a="1"/>
  <c r="H67" i="25" s="1"/>
  <c r="N64" i="25" a="1"/>
  <c r="N64" i="25" s="1"/>
  <c r="J63" i="25" a="1"/>
  <c r="J63" i="25" s="1"/>
  <c r="V63" i="25" a="1"/>
  <c r="V63" i="25" s="1"/>
  <c r="L63" i="25" a="1"/>
  <c r="L63" i="25" s="1"/>
  <c r="X63" i="25" a="1"/>
  <c r="X63" i="25" s="1"/>
  <c r="H63" i="25" a="1"/>
  <c r="H63" i="25" s="1"/>
  <c r="Z63" i="25" a="1"/>
  <c r="Z63" i="25" s="1"/>
  <c r="F63" i="25"/>
  <c r="N63" i="25" a="1"/>
  <c r="N63" i="25" s="1"/>
  <c r="R63" i="25" a="1"/>
  <c r="R63" i="25" s="1"/>
  <c r="T63" i="25" a="1"/>
  <c r="T63" i="25" s="1"/>
  <c r="AB63" i="25" a="1"/>
  <c r="AB63" i="25" s="1"/>
  <c r="X51" i="25" a="1"/>
  <c r="X51" i="25" s="1"/>
  <c r="T42" i="25" a="1"/>
  <c r="T42" i="25" s="1"/>
  <c r="F150" i="25"/>
  <c r="H144" i="25" a="1"/>
  <c r="H144" i="25" s="1"/>
  <c r="T144" i="25" a="1"/>
  <c r="T144" i="25" s="1"/>
  <c r="T142" i="25" a="1"/>
  <c r="T142" i="25" s="1"/>
  <c r="F142" i="25"/>
  <c r="H132" i="25" a="1"/>
  <c r="H132" i="25" s="1"/>
  <c r="T132" i="25" a="1"/>
  <c r="T132" i="25" s="1"/>
  <c r="T130" i="25" a="1"/>
  <c r="T130" i="25" s="1"/>
  <c r="P113" i="25" a="1"/>
  <c r="P113" i="25" s="1"/>
  <c r="AD113" i="25" a="1"/>
  <c r="AD113" i="25" s="1"/>
  <c r="E113" i="25"/>
  <c r="AB110" i="25" a="1"/>
  <c r="AB110" i="25" s="1"/>
  <c r="L110" i="25" a="1"/>
  <c r="L110" i="25" s="1"/>
  <c r="AD108" i="25" a="1"/>
  <c r="AD108" i="25" s="1"/>
  <c r="H88" i="25" a="1"/>
  <c r="H88" i="25" s="1"/>
  <c r="N80" i="25" a="1"/>
  <c r="N80" i="25" s="1"/>
  <c r="F78" i="25"/>
  <c r="H78" i="25" a="1"/>
  <c r="H78" i="25" s="1"/>
  <c r="V78" i="25" a="1"/>
  <c r="V78" i="25" s="1"/>
  <c r="E78" i="25"/>
  <c r="AB78" i="25" a="1"/>
  <c r="AB78" i="25" s="1"/>
  <c r="J78" i="25" a="1"/>
  <c r="J78" i="25" s="1"/>
  <c r="AD78" i="25" a="1"/>
  <c r="AD78" i="25" s="1"/>
  <c r="L78" i="25" a="1"/>
  <c r="L78" i="25" s="1"/>
  <c r="P78" i="25" a="1"/>
  <c r="P78" i="25" s="1"/>
  <c r="F67" i="25"/>
  <c r="J64" i="25" a="1"/>
  <c r="J64" i="25" s="1"/>
  <c r="F56" i="25"/>
  <c r="L56" i="25" a="1"/>
  <c r="L56" i="25" s="1"/>
  <c r="Z56" i="25" a="1"/>
  <c r="Z56" i="25" s="1"/>
  <c r="N56" i="25" a="1"/>
  <c r="N56" i="25" s="1"/>
  <c r="T56" i="25" a="1"/>
  <c r="T56" i="25" s="1"/>
  <c r="H56" i="25" a="1"/>
  <c r="H56" i="25" s="1"/>
  <c r="J56" i="25" a="1"/>
  <c r="J56" i="25" s="1"/>
  <c r="R56" i="25" a="1"/>
  <c r="R56" i="25" s="1"/>
  <c r="R42" i="25" a="1"/>
  <c r="R42" i="25" s="1"/>
  <c r="J33" i="25" a="1"/>
  <c r="J33" i="25" s="1"/>
  <c r="V33" i="25" a="1"/>
  <c r="V33" i="25" s="1"/>
  <c r="L33" i="25" a="1"/>
  <c r="L33" i="25" s="1"/>
  <c r="X33" i="25" a="1"/>
  <c r="X33" i="25" s="1"/>
  <c r="H33" i="25" a="1"/>
  <c r="H33" i="25" s="1"/>
  <c r="Z33" i="25" a="1"/>
  <c r="Z33" i="25" s="1"/>
  <c r="N33" i="25" a="1"/>
  <c r="N33" i="25" s="1"/>
  <c r="AB33" i="25" a="1"/>
  <c r="AB33" i="25" s="1"/>
  <c r="P33" i="25" a="1"/>
  <c r="P33" i="25" s="1"/>
  <c r="R33" i="25" a="1"/>
  <c r="R33" i="25" s="1"/>
  <c r="T33" i="25" a="1"/>
  <c r="T33" i="25" s="1"/>
  <c r="AD33" i="25" a="1"/>
  <c r="AD33" i="25" s="1"/>
  <c r="E33" i="25"/>
  <c r="AD150" i="25" a="1"/>
  <c r="AD150" i="25" s="1"/>
  <c r="R150" i="25" a="1"/>
  <c r="R150" i="25" s="1"/>
  <c r="H130" i="25" a="1"/>
  <c r="H130" i="25" s="1"/>
  <c r="N130" i="25" a="1"/>
  <c r="N130" i="25" s="1"/>
  <c r="Z130" i="25" a="1"/>
  <c r="Z130" i="25" s="1"/>
  <c r="AB108" i="25" a="1"/>
  <c r="AB108" i="25" s="1"/>
  <c r="J108" i="25" a="1"/>
  <c r="J108" i="25" s="1"/>
  <c r="AD99" i="25" a="1"/>
  <c r="AD99" i="25" s="1"/>
  <c r="H80" i="25" a="1"/>
  <c r="H80" i="25" s="1"/>
  <c r="H64" i="25" a="1"/>
  <c r="H64" i="25" s="1"/>
  <c r="H51" i="25" a="1"/>
  <c r="H51" i="25" s="1"/>
  <c r="N142" i="25" a="1"/>
  <c r="N142" i="25" s="1"/>
  <c r="Z142" i="25" a="1"/>
  <c r="Z142" i="25" s="1"/>
  <c r="J99" i="25" a="1"/>
  <c r="J99" i="25" s="1"/>
  <c r="V99" i="25" a="1"/>
  <c r="V99" i="25" s="1"/>
  <c r="L99" i="25" a="1"/>
  <c r="L99" i="25" s="1"/>
  <c r="X99" i="25" a="1"/>
  <c r="X99" i="25" s="1"/>
  <c r="R99" i="25" a="1"/>
  <c r="R99" i="25" s="1"/>
  <c r="P99" i="25" a="1"/>
  <c r="P99" i="25" s="1"/>
  <c r="E99" i="25"/>
  <c r="F99" i="25"/>
  <c r="F88" i="25"/>
  <c r="L88" i="25" a="1"/>
  <c r="L88" i="25" s="1"/>
  <c r="Z88" i="25" a="1"/>
  <c r="Z88" i="25" s="1"/>
  <c r="R88" i="25" a="1"/>
  <c r="R88" i="25" s="1"/>
  <c r="T88" i="25" a="1"/>
  <c r="T88" i="25" s="1"/>
  <c r="J67" i="25" a="1"/>
  <c r="J67" i="25" s="1"/>
  <c r="V67" i="25" a="1"/>
  <c r="V67" i="25" s="1"/>
  <c r="L67" i="25" a="1"/>
  <c r="L67" i="25" s="1"/>
  <c r="X67" i="25" a="1"/>
  <c r="X67" i="25" s="1"/>
  <c r="P67" i="25" a="1"/>
  <c r="P67" i="25" s="1"/>
  <c r="AD67" i="25" a="1"/>
  <c r="AD67" i="25" s="1"/>
  <c r="R67" i="25" a="1"/>
  <c r="R67" i="25" s="1"/>
  <c r="T67" i="25" a="1"/>
  <c r="T67" i="25" s="1"/>
  <c r="N67" i="25" a="1"/>
  <c r="N67" i="25" s="1"/>
  <c r="F42" i="25"/>
  <c r="N42" i="25" a="1"/>
  <c r="N42" i="25" s="1"/>
  <c r="AB42" i="25" a="1"/>
  <c r="AB42" i="25" s="1"/>
  <c r="H42" i="25" a="1"/>
  <c r="H42" i="25" s="1"/>
  <c r="Z42" i="25" a="1"/>
  <c r="Z42" i="25" s="1"/>
  <c r="J42" i="25" a="1"/>
  <c r="J42" i="25" s="1"/>
  <c r="AD42" i="25" a="1"/>
  <c r="AD42" i="25" s="1"/>
  <c r="L42" i="25" a="1"/>
  <c r="L42" i="25" s="1"/>
  <c r="E42" i="25"/>
  <c r="X42" i="25" a="1"/>
  <c r="X42" i="25" s="1"/>
  <c r="H110" i="25" a="1"/>
  <c r="H110" i="25" s="1"/>
  <c r="T110" i="25" a="1"/>
  <c r="T110" i="25" s="1"/>
  <c r="E110" i="25"/>
  <c r="F110" i="25"/>
  <c r="J110" i="25" a="1"/>
  <c r="J110" i="25" s="1"/>
  <c r="N108" i="25" a="1"/>
  <c r="N108" i="25" s="1"/>
  <c r="Z108" i="25" a="1"/>
  <c r="Z108" i="25" s="1"/>
  <c r="P108" i="25" a="1"/>
  <c r="P108" i="25" s="1"/>
  <c r="E108" i="25"/>
  <c r="T108" i="25" a="1"/>
  <c r="T108" i="25" s="1"/>
  <c r="F108" i="25"/>
  <c r="P89" i="25" a="1"/>
  <c r="P89" i="25" s="1"/>
  <c r="AB89" i="25" a="1"/>
  <c r="AB89" i="25" s="1"/>
  <c r="E89" i="25"/>
  <c r="R89" i="25" a="1"/>
  <c r="R89" i="25" s="1"/>
  <c r="AD89" i="25" a="1"/>
  <c r="AD89" i="25" s="1"/>
  <c r="L89" i="25" a="1"/>
  <c r="L89" i="25" s="1"/>
  <c r="Z89" i="25" a="1"/>
  <c r="Z89" i="25" s="1"/>
  <c r="N89" i="25" a="1"/>
  <c r="N89" i="25" s="1"/>
  <c r="F89" i="25"/>
  <c r="X89" i="25" a="1"/>
  <c r="X89" i="25" s="1"/>
  <c r="J89" i="25" a="1"/>
  <c r="J89" i="25" s="1"/>
  <c r="F80" i="25"/>
  <c r="L80" i="25" a="1"/>
  <c r="L80" i="25" s="1"/>
  <c r="Z80" i="25" a="1"/>
  <c r="Z80" i="25" s="1"/>
  <c r="J80" i="25" a="1"/>
  <c r="J80" i="25" s="1"/>
  <c r="AD80" i="25" a="1"/>
  <c r="AD80" i="25" s="1"/>
  <c r="R80" i="25" a="1"/>
  <c r="R80" i="25" s="1"/>
  <c r="T80" i="25" a="1"/>
  <c r="T80" i="25" s="1"/>
  <c r="F64" i="25"/>
  <c r="L64" i="25" a="1"/>
  <c r="L64" i="25" s="1"/>
  <c r="Z64" i="25" a="1"/>
  <c r="Z64" i="25" s="1"/>
  <c r="P64" i="25" a="1"/>
  <c r="P64" i="25" s="1"/>
  <c r="T64" i="25" a="1"/>
  <c r="T64" i="25" s="1"/>
  <c r="R64" i="25" a="1"/>
  <c r="R64" i="25" s="1"/>
  <c r="V64" i="25" a="1"/>
  <c r="V64" i="25" s="1"/>
  <c r="AB64" i="25" a="1"/>
  <c r="AB64" i="25" s="1"/>
  <c r="P51" i="25" a="1"/>
  <c r="P51" i="25" s="1"/>
  <c r="AB51" i="25" a="1"/>
  <c r="AB51" i="25" s="1"/>
  <c r="E51" i="25"/>
  <c r="R51" i="25" a="1"/>
  <c r="R51" i="25" s="1"/>
  <c r="AD51" i="25" a="1"/>
  <c r="AD51" i="25" s="1"/>
  <c r="N51" i="25" a="1"/>
  <c r="N51" i="25" s="1"/>
  <c r="J51" i="25" a="1"/>
  <c r="J51" i="25" s="1"/>
  <c r="T51" i="25" a="1"/>
  <c r="T51" i="25" s="1"/>
  <c r="V51" i="25" a="1"/>
  <c r="V51" i="25" s="1"/>
  <c r="L51" i="25" a="1"/>
  <c r="L51" i="25" s="1"/>
  <c r="H126" i="25" a="1"/>
  <c r="H126" i="25" s="1"/>
  <c r="T126" i="25" a="1"/>
  <c r="T126" i="25" s="1"/>
  <c r="H114" i="25" a="1"/>
  <c r="H114" i="25" s="1"/>
  <c r="T114" i="25" a="1"/>
  <c r="T114" i="25" s="1"/>
  <c r="T112" i="25" a="1"/>
  <c r="T112" i="25" s="1"/>
  <c r="E102" i="25"/>
  <c r="H102" i="25" a="1"/>
  <c r="H102" i="25" s="1"/>
  <c r="V102" i="25" a="1"/>
  <c r="V102" i="25" s="1"/>
  <c r="AD87" i="25" a="1"/>
  <c r="AD87" i="25" s="1"/>
  <c r="AD79" i="25" a="1"/>
  <c r="AD79" i="25" s="1"/>
  <c r="AD71" i="25" a="1"/>
  <c r="AD71" i="25" s="1"/>
  <c r="J53" i="25" a="1"/>
  <c r="J53" i="25" s="1"/>
  <c r="V53" i="25" a="1"/>
  <c r="V53" i="25" s="1"/>
  <c r="L53" i="25" a="1"/>
  <c r="L53" i="25" s="1"/>
  <c r="X53" i="25" a="1"/>
  <c r="X53" i="25" s="1"/>
  <c r="R53" i="25" a="1"/>
  <c r="R53" i="25" s="1"/>
  <c r="E53" i="25"/>
  <c r="T53" i="25" a="1"/>
  <c r="T53" i="25" s="1"/>
  <c r="AB53" i="25" a="1"/>
  <c r="AB53" i="25" s="1"/>
  <c r="N53" i="25" a="1"/>
  <c r="N53" i="25" s="1"/>
  <c r="AD53" i="25" a="1"/>
  <c r="AD53" i="25" s="1"/>
  <c r="Z53" i="25" a="1"/>
  <c r="Z53" i="25" s="1"/>
  <c r="P47" i="25" a="1"/>
  <c r="P47" i="25" s="1"/>
  <c r="AB47" i="25" a="1"/>
  <c r="AB47" i="25" s="1"/>
  <c r="E47" i="25"/>
  <c r="R47" i="25" a="1"/>
  <c r="R47" i="25" s="1"/>
  <c r="AD47" i="25" a="1"/>
  <c r="AD47" i="25" s="1"/>
  <c r="H47" i="25" a="1"/>
  <c r="H47" i="25" s="1"/>
  <c r="V47" i="25" a="1"/>
  <c r="V47" i="25" s="1"/>
  <c r="J47" i="25" a="1"/>
  <c r="J47" i="25" s="1"/>
  <c r="X47" i="25" a="1"/>
  <c r="X47" i="25" s="1"/>
  <c r="T47" i="25" a="1"/>
  <c r="T47" i="25" s="1"/>
  <c r="F47" i="25"/>
  <c r="L47" i="25" a="1"/>
  <c r="L47" i="25" s="1"/>
  <c r="F34" i="25"/>
  <c r="N34" i="25" a="1"/>
  <c r="N34" i="25" s="1"/>
  <c r="AB34" i="25" a="1"/>
  <c r="AB34" i="25" s="1"/>
  <c r="H34" i="25" a="1"/>
  <c r="H34" i="25" s="1"/>
  <c r="J34" i="25" a="1"/>
  <c r="J34" i="25" s="1"/>
  <c r="L34" i="25" a="1"/>
  <c r="L34" i="25" s="1"/>
  <c r="P34" i="25" a="1"/>
  <c r="P34" i="25" s="1"/>
  <c r="E34" i="25"/>
  <c r="T34" i="25" a="1"/>
  <c r="T34" i="25" s="1"/>
  <c r="N112" i="25" a="1"/>
  <c r="N112" i="25" s="1"/>
  <c r="Z112" i="25" a="1"/>
  <c r="Z112" i="25" s="1"/>
  <c r="J87" i="25" a="1"/>
  <c r="J87" i="25" s="1"/>
  <c r="V87" i="25" a="1"/>
  <c r="V87" i="25" s="1"/>
  <c r="L87" i="25" a="1"/>
  <c r="L87" i="25" s="1"/>
  <c r="X87" i="25" a="1"/>
  <c r="X87" i="25" s="1"/>
  <c r="H87" i="25" a="1"/>
  <c r="H87" i="25" s="1"/>
  <c r="Z87" i="25" a="1"/>
  <c r="Z87" i="25" s="1"/>
  <c r="T87" i="25" a="1"/>
  <c r="T87" i="25" s="1"/>
  <c r="J79" i="25" a="1"/>
  <c r="J79" i="25" s="1"/>
  <c r="V79" i="25" a="1"/>
  <c r="V79" i="25" s="1"/>
  <c r="L79" i="25" a="1"/>
  <c r="L79" i="25" s="1"/>
  <c r="X79" i="25" a="1"/>
  <c r="X79" i="25" s="1"/>
  <c r="H79" i="25" a="1"/>
  <c r="H79" i="25" s="1"/>
  <c r="Z79" i="25" a="1"/>
  <c r="Z79" i="25" s="1"/>
  <c r="R79" i="25" a="1"/>
  <c r="R79" i="25" s="1"/>
  <c r="J71" i="25" a="1"/>
  <c r="J71" i="25" s="1"/>
  <c r="V71" i="25" a="1"/>
  <c r="V71" i="25" s="1"/>
  <c r="L71" i="25" a="1"/>
  <c r="L71" i="25" s="1"/>
  <c r="X71" i="25" a="1"/>
  <c r="X71" i="25" s="1"/>
  <c r="H71" i="25" a="1"/>
  <c r="H71" i="25" s="1"/>
  <c r="Z71" i="25" a="1"/>
  <c r="Z71" i="25" s="1"/>
  <c r="P71" i="25" a="1"/>
  <c r="P71" i="25" s="1"/>
  <c r="F59" i="25"/>
  <c r="H49" i="25" a="1"/>
  <c r="H49" i="25" s="1"/>
  <c r="N104" i="25" a="1"/>
  <c r="N104" i="25" s="1"/>
  <c r="Z104" i="25" a="1"/>
  <c r="Z104" i="25" s="1"/>
  <c r="F104" i="25"/>
  <c r="T104" i="25" a="1"/>
  <c r="T104" i="25" s="1"/>
  <c r="J59" i="25" a="1"/>
  <c r="J59" i="25" s="1"/>
  <c r="V59" i="25" a="1"/>
  <c r="V59" i="25" s="1"/>
  <c r="L59" i="25" a="1"/>
  <c r="L59" i="25" s="1"/>
  <c r="X59" i="25" a="1"/>
  <c r="X59" i="25" s="1"/>
  <c r="P59" i="25" a="1"/>
  <c r="P59" i="25" s="1"/>
  <c r="AD59" i="25" a="1"/>
  <c r="AD59" i="25" s="1"/>
  <c r="R59" i="25" a="1"/>
  <c r="R59" i="25" s="1"/>
  <c r="H59" i="25" a="1"/>
  <c r="H59" i="25" s="1"/>
  <c r="F50" i="25"/>
  <c r="E50" i="25"/>
  <c r="X50" i="25" a="1"/>
  <c r="X50" i="25" s="1"/>
  <c r="H50" i="25" a="1"/>
  <c r="H50" i="25" s="1"/>
  <c r="J50" i="25" a="1"/>
  <c r="J50" i="25" s="1"/>
  <c r="Z50" i="25" a="1"/>
  <c r="Z50" i="25" s="1"/>
  <c r="P50" i="25" a="1"/>
  <c r="P50" i="25" s="1"/>
  <c r="T50" i="25" a="1"/>
  <c r="T50" i="25" s="1"/>
  <c r="J49" i="25" a="1"/>
  <c r="J49" i="25" s="1"/>
  <c r="V49" i="25" a="1"/>
  <c r="V49" i="25" s="1"/>
  <c r="L49" i="25" a="1"/>
  <c r="L49" i="25" s="1"/>
  <c r="X49" i="25" a="1"/>
  <c r="X49" i="25" s="1"/>
  <c r="Z49" i="25" a="1"/>
  <c r="Z49" i="25" s="1"/>
  <c r="N49" i="25" a="1"/>
  <c r="N49" i="25" s="1"/>
  <c r="AB49" i="25" a="1"/>
  <c r="AB49" i="25" s="1"/>
  <c r="R49" i="25" a="1"/>
  <c r="R49" i="25" s="1"/>
  <c r="T49" i="25" a="1"/>
  <c r="T49" i="25" s="1"/>
  <c r="E49" i="25"/>
  <c r="H106" i="25" a="1"/>
  <c r="H106" i="25" s="1"/>
  <c r="T106" i="25" a="1"/>
  <c r="T106" i="25" s="1"/>
  <c r="E101" i="25"/>
  <c r="R101" i="25" a="1"/>
  <c r="R101" i="25" s="1"/>
  <c r="AD101" i="25" a="1"/>
  <c r="AD101" i="25" s="1"/>
  <c r="F101" i="25"/>
  <c r="T101" i="25" a="1"/>
  <c r="T101" i="25" s="1"/>
  <c r="J95" i="25" a="1"/>
  <c r="J95" i="25" s="1"/>
  <c r="V95" i="25" a="1"/>
  <c r="V95" i="25" s="1"/>
  <c r="L95" i="25" a="1"/>
  <c r="L95" i="25" s="1"/>
  <c r="X95" i="25" a="1"/>
  <c r="X95" i="25" s="1"/>
  <c r="H95" i="25" a="1"/>
  <c r="H95" i="25" s="1"/>
  <c r="Z95" i="25" a="1"/>
  <c r="Z95" i="25" s="1"/>
  <c r="J75" i="25" a="1"/>
  <c r="J75" i="25" s="1"/>
  <c r="V75" i="25" a="1"/>
  <c r="V75" i="25" s="1"/>
  <c r="L75" i="25" a="1"/>
  <c r="L75" i="25" s="1"/>
  <c r="X75" i="25" a="1"/>
  <c r="X75" i="25" s="1"/>
  <c r="P75" i="25" a="1"/>
  <c r="P75" i="25" s="1"/>
  <c r="AD75" i="25" a="1"/>
  <c r="AD75" i="25" s="1"/>
  <c r="R75" i="25" a="1"/>
  <c r="R75" i="25" s="1"/>
  <c r="Z48" i="25" a="1"/>
  <c r="Z48" i="25" s="1"/>
  <c r="H48" i="25" a="1"/>
  <c r="H48" i="25" s="1"/>
  <c r="AB48" i="25" a="1"/>
  <c r="AB48" i="25" s="1"/>
  <c r="J48" i="25" a="1"/>
  <c r="J48" i="25" s="1"/>
  <c r="L48" i="25" a="1"/>
  <c r="L48" i="25" s="1"/>
  <c r="AD48" i="25" a="1"/>
  <c r="AD48" i="25" s="1"/>
  <c r="P57" i="25" a="1"/>
  <c r="P57" i="25" s="1"/>
  <c r="AB57" i="25" a="1"/>
  <c r="AB57" i="25" s="1"/>
  <c r="E57" i="25"/>
  <c r="R57" i="25" a="1"/>
  <c r="R57" i="25" s="1"/>
  <c r="AD57" i="25" a="1"/>
  <c r="AD57" i="25" s="1"/>
  <c r="L57" i="25" a="1"/>
  <c r="L57" i="25" s="1"/>
  <c r="Z57" i="25" a="1"/>
  <c r="Z57" i="25" s="1"/>
  <c r="N57" i="25" a="1"/>
  <c r="N57" i="25" s="1"/>
  <c r="V93" i="25" a="1"/>
  <c r="V93" i="25" s="1"/>
  <c r="V85" i="25" a="1"/>
  <c r="V85" i="25" s="1"/>
  <c r="V77" i="25" a="1"/>
  <c r="V77" i="25" s="1"/>
  <c r="V69" i="25" a="1"/>
  <c r="V69" i="25" s="1"/>
  <c r="V61" i="25" a="1"/>
  <c r="V61" i="25" s="1"/>
  <c r="X43" i="25" a="1"/>
  <c r="X43" i="25" s="1"/>
  <c r="F40" i="25"/>
  <c r="J40" i="25" a="1"/>
  <c r="J40" i="25" s="1"/>
  <c r="X40" i="25" a="1"/>
  <c r="X40" i="25" s="1"/>
  <c r="Z40" i="25" a="1"/>
  <c r="Z40" i="25" s="1"/>
  <c r="J35" i="25" a="1"/>
  <c r="J35" i="25" s="1"/>
  <c r="F32" i="25"/>
  <c r="J32" i="25" a="1"/>
  <c r="J32" i="25" s="1"/>
  <c r="X32" i="25" a="1"/>
  <c r="X32" i="25" s="1"/>
  <c r="Z32" i="25" a="1"/>
  <c r="Z32" i="25" s="1"/>
  <c r="P24" i="25" a="1"/>
  <c r="P24" i="25" s="1"/>
  <c r="P43" i="25" a="1"/>
  <c r="P43" i="25" s="1"/>
  <c r="AB43" i="25" a="1"/>
  <c r="AB43" i="25" s="1"/>
  <c r="E43" i="25"/>
  <c r="R43" i="25" a="1"/>
  <c r="R43" i="25" s="1"/>
  <c r="AD43" i="25" a="1"/>
  <c r="AD43" i="25" s="1"/>
  <c r="N43" i="25" a="1"/>
  <c r="N43" i="25" s="1"/>
  <c r="F25" i="25"/>
  <c r="N24" i="25" a="1"/>
  <c r="N24" i="25" s="1"/>
  <c r="P93" i="25" a="1"/>
  <c r="P93" i="25" s="1"/>
  <c r="AB93" i="25" a="1"/>
  <c r="AB93" i="25" s="1"/>
  <c r="E93" i="25"/>
  <c r="R93" i="25" a="1"/>
  <c r="R93" i="25" s="1"/>
  <c r="AD93" i="25" a="1"/>
  <c r="AD93" i="25" s="1"/>
  <c r="P85" i="25" a="1"/>
  <c r="P85" i="25" s="1"/>
  <c r="AB85" i="25" a="1"/>
  <c r="AB85" i="25" s="1"/>
  <c r="E85" i="25"/>
  <c r="R85" i="25" a="1"/>
  <c r="R85" i="25" s="1"/>
  <c r="AD85" i="25" a="1"/>
  <c r="AD85" i="25" s="1"/>
  <c r="P77" i="25" a="1"/>
  <c r="P77" i="25" s="1"/>
  <c r="AB77" i="25" a="1"/>
  <c r="AB77" i="25" s="1"/>
  <c r="E77" i="25"/>
  <c r="R77" i="25" a="1"/>
  <c r="R77" i="25" s="1"/>
  <c r="AD77" i="25" a="1"/>
  <c r="AD77" i="25" s="1"/>
  <c r="P69" i="25" a="1"/>
  <c r="P69" i="25" s="1"/>
  <c r="AB69" i="25" a="1"/>
  <c r="AB69" i="25" s="1"/>
  <c r="E69" i="25"/>
  <c r="R69" i="25" a="1"/>
  <c r="R69" i="25" s="1"/>
  <c r="AD69" i="25" a="1"/>
  <c r="AD69" i="25" s="1"/>
  <c r="P61" i="25" a="1"/>
  <c r="P61" i="25" s="1"/>
  <c r="AB61" i="25" a="1"/>
  <c r="AB61" i="25" s="1"/>
  <c r="E61" i="25"/>
  <c r="R61" i="25" a="1"/>
  <c r="R61" i="25" s="1"/>
  <c r="AD61" i="25" a="1"/>
  <c r="AD61" i="25" s="1"/>
  <c r="P55" i="25" a="1"/>
  <c r="P55" i="25" s="1"/>
  <c r="E55" i="25"/>
  <c r="R55" i="25" a="1"/>
  <c r="R55" i="25" s="1"/>
  <c r="H55" i="25" a="1"/>
  <c r="H55" i="25" s="1"/>
  <c r="V55" i="25" a="1"/>
  <c r="V55" i="25" s="1"/>
  <c r="J55" i="25" a="1"/>
  <c r="J55" i="25" s="1"/>
  <c r="X55" i="25" a="1"/>
  <c r="X55" i="25" s="1"/>
  <c r="V43" i="25" a="1"/>
  <c r="V43" i="25" s="1"/>
  <c r="H35" i="25" a="1"/>
  <c r="H35" i="25" s="1"/>
  <c r="P27" i="25" a="1"/>
  <c r="P27" i="25" s="1"/>
  <c r="AB27" i="25" a="1"/>
  <c r="AB27" i="25" s="1"/>
  <c r="E27" i="25"/>
  <c r="R27" i="25" a="1"/>
  <c r="R27" i="25" s="1"/>
  <c r="AD27" i="25" a="1"/>
  <c r="AD27" i="25" s="1"/>
  <c r="L27" i="25" a="1"/>
  <c r="L27" i="25" s="1"/>
  <c r="Z27" i="25" a="1"/>
  <c r="Z27" i="25" s="1"/>
  <c r="N27" i="25" a="1"/>
  <c r="N27" i="25" s="1"/>
  <c r="F26" i="25"/>
  <c r="L26" i="25" a="1"/>
  <c r="L26" i="25" s="1"/>
  <c r="Z26" i="25" a="1"/>
  <c r="Z26" i="25" s="1"/>
  <c r="N26" i="25" a="1"/>
  <c r="N26" i="25" s="1"/>
  <c r="AB26" i="25" a="1"/>
  <c r="AB26" i="25" s="1"/>
  <c r="L24" i="25" a="1"/>
  <c r="L24" i="25" s="1"/>
  <c r="J25" i="25" a="1"/>
  <c r="J25" i="25" s="1"/>
  <c r="V25" i="25" a="1"/>
  <c r="V25" i="25" s="1"/>
  <c r="L25" i="25" a="1"/>
  <c r="L25" i="25" s="1"/>
  <c r="X25" i="25" a="1"/>
  <c r="X25" i="25" s="1"/>
  <c r="H25" i="25" a="1"/>
  <c r="H25" i="25" s="1"/>
  <c r="Z25" i="25" a="1"/>
  <c r="Z25" i="25" s="1"/>
  <c r="N25" i="25" a="1"/>
  <c r="N25" i="25" s="1"/>
  <c r="AB25" i="25" a="1"/>
  <c r="AB25" i="25" s="1"/>
  <c r="P35" i="25" a="1"/>
  <c r="P35" i="25" s="1"/>
  <c r="AB35" i="25" a="1"/>
  <c r="AB35" i="25" s="1"/>
  <c r="E35" i="25"/>
  <c r="R35" i="25" a="1"/>
  <c r="R35" i="25" s="1"/>
  <c r="AD35" i="25" a="1"/>
  <c r="AD35" i="25" s="1"/>
  <c r="L35" i="25" a="1"/>
  <c r="L35" i="25" s="1"/>
  <c r="Z35" i="25" a="1"/>
  <c r="Z35" i="25" s="1"/>
  <c r="N35" i="25" a="1"/>
  <c r="N35" i="25" s="1"/>
  <c r="F24" i="25"/>
  <c r="H24" i="25" a="1"/>
  <c r="H24" i="25" s="1"/>
  <c r="V24" i="25" a="1"/>
  <c r="V24" i="25" s="1"/>
  <c r="J24" i="25" a="1"/>
  <c r="J24" i="25" s="1"/>
  <c r="X24" i="25" a="1"/>
  <c r="X24" i="25" s="1"/>
  <c r="Z24" i="25" a="1"/>
  <c r="Z24" i="25" s="1"/>
  <c r="H54" i="25" a="1"/>
  <c r="H54" i="25" s="1"/>
  <c r="H46" i="25" a="1"/>
  <c r="H46" i="25" s="1"/>
  <c r="T45" i="25" a="1"/>
  <c r="T45" i="25" s="1"/>
  <c r="X39" i="25" a="1"/>
  <c r="X39" i="25" s="1"/>
  <c r="J39" i="25" a="1"/>
  <c r="J39" i="25" s="1"/>
  <c r="H38" i="25" a="1"/>
  <c r="H38" i="25" s="1"/>
  <c r="T37" i="25" a="1"/>
  <c r="T37" i="25" s="1"/>
  <c r="X31" i="25" a="1"/>
  <c r="X31" i="25" s="1"/>
  <c r="J31" i="25" a="1"/>
  <c r="J31" i="25" s="1"/>
  <c r="H30" i="25" a="1"/>
  <c r="H30" i="25" s="1"/>
  <c r="T29" i="25" a="1"/>
  <c r="T29" i="25" s="1"/>
  <c r="X23" i="25" a="1"/>
  <c r="X23" i="25" s="1"/>
  <c r="J23" i="25" a="1"/>
  <c r="J23" i="25" s="1"/>
  <c r="H22" i="25" a="1"/>
  <c r="H22" i="25" s="1"/>
  <c r="T21" i="25" a="1"/>
  <c r="T21" i="25" s="1"/>
  <c r="J45" i="25" a="1"/>
  <c r="J45" i="25" s="1"/>
  <c r="V45" i="25" a="1"/>
  <c r="V45" i="25" s="1"/>
  <c r="L45" i="25" a="1"/>
  <c r="L45" i="25" s="1"/>
  <c r="X45" i="25" a="1"/>
  <c r="X45" i="25" s="1"/>
  <c r="J37" i="25" a="1"/>
  <c r="J37" i="25" s="1"/>
  <c r="V37" i="25" a="1"/>
  <c r="V37" i="25" s="1"/>
  <c r="L37" i="25" a="1"/>
  <c r="L37" i="25" s="1"/>
  <c r="X37" i="25" a="1"/>
  <c r="X37" i="25" s="1"/>
  <c r="J29" i="25" a="1"/>
  <c r="J29" i="25" s="1"/>
  <c r="V29" i="25" a="1"/>
  <c r="V29" i="25" s="1"/>
  <c r="L29" i="25" a="1"/>
  <c r="L29" i="25" s="1"/>
  <c r="X29" i="25" a="1"/>
  <c r="X29" i="25" s="1"/>
  <c r="J21" i="25" a="1"/>
  <c r="J21" i="25" s="1"/>
  <c r="V21" i="25" a="1"/>
  <c r="V21" i="25" s="1"/>
  <c r="L21" i="25" a="1"/>
  <c r="L21" i="25" s="1"/>
  <c r="X21" i="25" a="1"/>
  <c r="X21" i="25" s="1"/>
  <c r="R45" i="25" a="1"/>
  <c r="R45" i="25" s="1"/>
  <c r="V39" i="25" a="1"/>
  <c r="V39" i="25" s="1"/>
  <c r="R37" i="25" a="1"/>
  <c r="R37" i="25" s="1"/>
  <c r="V31" i="25" a="1"/>
  <c r="V31" i="25" s="1"/>
  <c r="R29" i="25" a="1"/>
  <c r="R29" i="25" s="1"/>
  <c r="V23" i="25" a="1"/>
  <c r="V23" i="25" s="1"/>
  <c r="R21" i="25" a="1"/>
  <c r="R21" i="25" s="1"/>
  <c r="P39" i="25" a="1"/>
  <c r="P39" i="25" s="1"/>
  <c r="AB39" i="25" a="1"/>
  <c r="AB39" i="25" s="1"/>
  <c r="E39" i="25"/>
  <c r="R39" i="25" a="1"/>
  <c r="R39" i="25" s="1"/>
  <c r="AD39" i="25" a="1"/>
  <c r="AD39" i="25" s="1"/>
  <c r="P31" i="25" a="1"/>
  <c r="P31" i="25" s="1"/>
  <c r="AB31" i="25" a="1"/>
  <c r="AB31" i="25" s="1"/>
  <c r="E31" i="25"/>
  <c r="R31" i="25" a="1"/>
  <c r="R31" i="25" s="1"/>
  <c r="AD31" i="25" a="1"/>
  <c r="AD31" i="25" s="1"/>
  <c r="P23" i="25" a="1"/>
  <c r="P23" i="25" s="1"/>
  <c r="AB23" i="25" a="1"/>
  <c r="AB23" i="25" s="1"/>
  <c r="E23" i="25"/>
  <c r="R23" i="25" a="1"/>
  <c r="R23" i="25" s="1"/>
  <c r="AD23" i="25" a="1"/>
  <c r="AD23" i="25" s="1"/>
  <c r="AD19" i="25" a="1"/>
  <c r="AD19" i="25" s="1"/>
  <c r="R19" i="25" a="1"/>
  <c r="R19" i="25" s="1"/>
  <c r="E19" i="25"/>
  <c r="T18" i="25" a="1"/>
  <c r="T18" i="25" s="1"/>
  <c r="H18" i="25" a="1"/>
  <c r="H18" i="25" s="1"/>
  <c r="AB19" i="25" a="1"/>
  <c r="AB19" i="25" s="1"/>
  <c r="I2" i="5"/>
  <c r="M47" i="1" a="1"/>
  <c r="M34" i="1" a="1"/>
  <c r="R40" i="1" a="1"/>
  <c r="M38" i="1" a="1"/>
  <c r="R16" i="1" a="1"/>
  <c r="R43" i="1" a="1"/>
  <c r="M25" i="1" a="1"/>
  <c r="R30" i="1" a="1"/>
  <c r="M39" i="1" a="1"/>
  <c r="M14" i="1" a="1"/>
  <c r="S43" i="1" a="1"/>
  <c r="R42" i="1" a="1"/>
  <c r="M37" i="1" a="1"/>
  <c r="M24" i="1" a="1"/>
  <c r="M11" i="1" a="1"/>
  <c r="R21" i="1" a="1"/>
  <c r="M26" i="1" a="1"/>
  <c r="R36" i="1" a="1"/>
  <c r="M27" i="1" a="1"/>
  <c r="R23" i="1" a="1"/>
  <c r="R33" i="1" a="1"/>
  <c r="M19" i="1" a="1"/>
  <c r="O28" i="1" a="1"/>
  <c r="O42" i="1" a="1"/>
  <c r="O75" i="1" a="1"/>
  <c r="O71" i="1" a="1"/>
  <c r="O82" i="1" a="1"/>
  <c r="O55" i="1" a="1"/>
  <c r="O87" i="1" a="1"/>
  <c r="O69" i="1" a="1"/>
  <c r="O4" i="1" a="1"/>
  <c r="O63" i="1" a="1"/>
  <c r="O95" i="1" a="1"/>
  <c r="O94" i="1" a="1"/>
  <c r="M3" i="1" a="1"/>
  <c r="O54" i="1" a="1"/>
  <c r="O59" i="1" a="1"/>
  <c r="O7" i="1" a="1"/>
  <c r="O65" i="1" a="1"/>
  <c r="O96" i="1" a="1"/>
  <c r="O57" i="1" a="1"/>
  <c r="R6" i="1" a="1"/>
  <c r="R36" i="1" l="1"/>
  <c r="R30" i="1"/>
  <c r="R33" i="1"/>
  <c r="M38" i="1"/>
  <c r="R38" i="1" s="1" a="1"/>
  <c r="O65" i="1"/>
  <c r="U65" i="1" s="1" a="1"/>
  <c r="U65" i="1" s="1"/>
  <c r="M25" i="1"/>
  <c r="R25" i="1" s="1" a="1"/>
  <c r="O82" i="1"/>
  <c r="U82" i="1" s="1" a="1"/>
  <c r="U82" i="1" s="1"/>
  <c r="O69" i="1"/>
  <c r="U69" i="1" s="1" a="1"/>
  <c r="U69" i="1" s="1"/>
  <c r="O75" i="1"/>
  <c r="U75" i="1" s="1" a="1"/>
  <c r="U75" i="1" s="1"/>
  <c r="R16" i="1"/>
  <c r="R21" i="1"/>
  <c r="M14" i="1"/>
  <c r="R14" i="1" s="1" a="1"/>
  <c r="M27" i="1"/>
  <c r="R27" i="1" s="1" a="1"/>
  <c r="O63" i="1"/>
  <c r="U63" i="1" s="1" a="1"/>
  <c r="U63" i="1" s="1"/>
  <c r="O57" i="1"/>
  <c r="U57" i="1" s="1" a="1"/>
  <c r="U57" i="1" s="1"/>
  <c r="O59" i="1"/>
  <c r="U59" i="1" s="1" a="1"/>
  <c r="U59" i="1" s="1"/>
  <c r="M11" i="1"/>
  <c r="R11" i="1" s="1" a="1"/>
  <c r="R23" i="1"/>
  <c r="M26" i="1"/>
  <c r="R26" i="1" s="1" a="1"/>
  <c r="O55" i="1"/>
  <c r="U55" i="1" s="1" a="1"/>
  <c r="U55" i="1" s="1"/>
  <c r="O96" i="1"/>
  <c r="U96" i="1" s="1" a="1"/>
  <c r="U96" i="1" s="1"/>
  <c r="O94" i="1"/>
  <c r="U94" i="1" s="1" a="1"/>
  <c r="U94" i="1" s="1"/>
  <c r="M34" i="1"/>
  <c r="R34" i="1" s="1" a="1"/>
  <c r="M24" i="1"/>
  <c r="R24" i="1" s="1" a="1"/>
  <c r="F18" i="25"/>
  <c r="S43" i="1"/>
  <c r="R42" i="1"/>
  <c r="R43" i="1"/>
  <c r="R40" i="1"/>
  <c r="R28" i="1"/>
  <c r="R6" i="1"/>
  <c r="R12" i="1"/>
  <c r="M47" i="1"/>
  <c r="S47" i="1" s="1" a="1"/>
  <c r="S47" i="1" s="1"/>
  <c r="O87" i="1"/>
  <c r="U87" i="1" s="1" a="1"/>
  <c r="U87" i="1" s="1"/>
  <c r="M39" i="1"/>
  <c r="M3" i="1"/>
  <c r="M37" i="1"/>
  <c r="M19" i="1"/>
  <c r="O54" i="1"/>
  <c r="U54" i="1" s="1" a="1"/>
  <c r="U54" i="1" s="1"/>
  <c r="O71" i="1"/>
  <c r="U71" i="1" s="1" a="1"/>
  <c r="U71" i="1" s="1"/>
  <c r="O95" i="1"/>
  <c r="U95" i="1" s="1" a="1"/>
  <c r="U95" i="1" s="1"/>
  <c r="O28" i="1"/>
  <c r="U28" i="1" s="1" a="1"/>
  <c r="U28" i="1" s="1"/>
  <c r="O42" i="1"/>
  <c r="U42" i="1" s="1" a="1"/>
  <c r="U42" i="1" s="1"/>
  <c r="U5" i="1" a="1"/>
  <c r="U5" i="1" s="1"/>
  <c r="O4" i="1"/>
  <c r="O7" i="1"/>
  <c r="U7" i="1" s="1" a="1"/>
  <c r="U7" i="1" s="1"/>
  <c r="J35" i="11" a="1"/>
  <c r="J35" i="11" s="1"/>
  <c r="M51" i="1" a="1"/>
  <c r="T43" i="1" a="1"/>
  <c r="U4" i="1" a="1"/>
  <c r="U4" i="1" l="1"/>
  <c r="R11" i="1"/>
  <c r="R25" i="1"/>
  <c r="R24" i="1"/>
  <c r="R26" i="1"/>
  <c r="R27" i="1"/>
  <c r="R34" i="1"/>
  <c r="R14" i="1"/>
  <c r="R38" i="1"/>
  <c r="T43" i="1"/>
  <c r="T47" i="1" a="1"/>
  <c r="T47" i="1" s="1"/>
  <c r="R47" i="1" a="1"/>
  <c r="R47" i="1" s="1"/>
  <c r="M51" i="1"/>
  <c r="S51" i="1" s="1" a="1"/>
  <c r="S51" i="1" s="1"/>
  <c r="A47" i="25"/>
  <c r="A46" i="25"/>
  <c r="A45" i="25"/>
  <c r="A44" i="25"/>
  <c r="A43" i="25"/>
  <c r="A42" i="25"/>
  <c r="A41" i="25"/>
  <c r="A40" i="25"/>
  <c r="A39" i="25"/>
  <c r="A38" i="25"/>
  <c r="A37" i="25"/>
  <c r="A36" i="25"/>
  <c r="A35" i="25"/>
  <c r="A34" i="25"/>
  <c r="A33" i="25"/>
  <c r="A32" i="25"/>
  <c r="A31" i="25"/>
  <c r="A30" i="25"/>
  <c r="A29" i="25"/>
  <c r="A28" i="25"/>
  <c r="A27" i="25"/>
  <c r="A26" i="25"/>
  <c r="A25" i="25"/>
  <c r="A24" i="25"/>
  <c r="A23" i="25"/>
  <c r="A22" i="25"/>
  <c r="A21" i="25"/>
  <c r="A20" i="25"/>
  <c r="A19" i="25"/>
  <c r="C17" i="25"/>
  <c r="A18" i="25"/>
  <c r="C16" i="25"/>
  <c r="AD16" i="25" s="1" a="1"/>
  <c r="AD16" i="25" s="1"/>
  <c r="C15" i="25"/>
  <c r="AB15" i="25" s="1" a="1"/>
  <c r="AB15" i="25" s="1"/>
  <c r="A15" i="25"/>
  <c r="A16" i="25" s="1"/>
  <c r="C14" i="25"/>
  <c r="R14" i="25" s="1" a="1"/>
  <c r="R14" i="25" s="1"/>
  <c r="AD13" i="25" a="1"/>
  <c r="AD13" i="25" s="1"/>
  <c r="AB13" i="25" a="1"/>
  <c r="AB13" i="25" s="1"/>
  <c r="Z13" i="25" a="1"/>
  <c r="Z13" i="25" s="1"/>
  <c r="X13" i="25" a="1"/>
  <c r="X13" i="25" s="1"/>
  <c r="V13" i="25" a="1"/>
  <c r="V13" i="25" s="1"/>
  <c r="T13" i="25" a="1"/>
  <c r="T13" i="25" s="1"/>
  <c r="R13" i="25" a="1"/>
  <c r="R13" i="25" s="1"/>
  <c r="P13" i="25" a="1"/>
  <c r="P13" i="25" s="1"/>
  <c r="N13" i="25" a="1"/>
  <c r="N13" i="25" s="1"/>
  <c r="L13" i="25" a="1"/>
  <c r="L13" i="25" s="1"/>
  <c r="J13" i="25" a="1"/>
  <c r="J13" i="25" s="1"/>
  <c r="H13" i="25" a="1"/>
  <c r="H13" i="25" s="1"/>
  <c r="E13" i="25"/>
  <c r="AD12" i="25" a="1"/>
  <c r="AD12" i="25" s="1"/>
  <c r="AB12" i="25" a="1"/>
  <c r="AB12" i="25" s="1"/>
  <c r="Z12" i="25" a="1"/>
  <c r="Z12" i="25" s="1"/>
  <c r="X12" i="25" a="1"/>
  <c r="X12" i="25" s="1"/>
  <c r="V12" i="25" a="1"/>
  <c r="V12" i="25" s="1"/>
  <c r="T12" i="25" a="1"/>
  <c r="T12" i="25" s="1"/>
  <c r="R12" i="25" a="1"/>
  <c r="R12" i="25" s="1"/>
  <c r="P12" i="25" a="1"/>
  <c r="P12" i="25" s="1"/>
  <c r="N12" i="25" a="1"/>
  <c r="N12" i="25" s="1"/>
  <c r="L12" i="25" a="1"/>
  <c r="L12" i="25" s="1"/>
  <c r="J12" i="25" a="1"/>
  <c r="J12" i="25" s="1"/>
  <c r="H12" i="25" a="1"/>
  <c r="H12" i="25" s="1"/>
  <c r="F12" i="25" s="1"/>
  <c r="AD11" i="25" a="1"/>
  <c r="AD11" i="25" s="1"/>
  <c r="AB11" i="25" a="1"/>
  <c r="AB11" i="25" s="1"/>
  <c r="Z11" i="25" a="1"/>
  <c r="Z11" i="25" s="1"/>
  <c r="X11" i="25" a="1"/>
  <c r="X11" i="25" s="1"/>
  <c r="V11" i="25" a="1"/>
  <c r="V11" i="25" s="1"/>
  <c r="T11" i="25" a="1"/>
  <c r="T11" i="25" s="1"/>
  <c r="R11" i="25" a="1"/>
  <c r="R11" i="25" s="1"/>
  <c r="P11" i="25" a="1"/>
  <c r="P11" i="25" s="1"/>
  <c r="N11" i="25" a="1"/>
  <c r="N11" i="25" s="1"/>
  <c r="L11" i="25" a="1"/>
  <c r="L11" i="25" s="1"/>
  <c r="J11" i="25" a="1"/>
  <c r="J11" i="25" s="1"/>
  <c r="H11" i="25" a="1"/>
  <c r="H11" i="25" s="1"/>
  <c r="E11" i="25"/>
  <c r="AD10" i="25" a="1"/>
  <c r="AD10" i="25" s="1"/>
  <c r="AB10" i="25" a="1"/>
  <c r="AB10" i="25" s="1"/>
  <c r="Z10" i="25" a="1"/>
  <c r="Z10" i="25" s="1"/>
  <c r="X10" i="25" a="1"/>
  <c r="X10" i="25" s="1"/>
  <c r="V10" i="25" a="1"/>
  <c r="V10" i="25" s="1"/>
  <c r="T10" i="25" a="1"/>
  <c r="T10" i="25" s="1"/>
  <c r="R10" i="25" a="1"/>
  <c r="R10" i="25" s="1"/>
  <c r="P10" i="25" a="1"/>
  <c r="P10" i="25" s="1"/>
  <c r="N10" i="25" a="1"/>
  <c r="N10" i="25" s="1"/>
  <c r="L10" i="25" a="1"/>
  <c r="L10" i="25" s="1"/>
  <c r="J10" i="25" a="1"/>
  <c r="J10" i="25" s="1"/>
  <c r="H10" i="25" a="1"/>
  <c r="H10" i="25" s="1"/>
  <c r="E10" i="25"/>
  <c r="AD9" i="25" a="1"/>
  <c r="AD9" i="25" s="1"/>
  <c r="AB9" i="25" a="1"/>
  <c r="AB9" i="25" s="1"/>
  <c r="Z9" i="25" a="1"/>
  <c r="Z9" i="25" s="1"/>
  <c r="X9" i="25" a="1"/>
  <c r="X9" i="25" s="1"/>
  <c r="V9" i="25" a="1"/>
  <c r="V9" i="25" s="1"/>
  <c r="T9" i="25" a="1"/>
  <c r="T9" i="25" s="1"/>
  <c r="R9" i="25" a="1"/>
  <c r="R9" i="25" s="1"/>
  <c r="P9" i="25" a="1"/>
  <c r="P9" i="25" s="1"/>
  <c r="N9" i="25" a="1"/>
  <c r="N9" i="25" s="1"/>
  <c r="L9" i="25" a="1"/>
  <c r="L9" i="25" s="1"/>
  <c r="J9" i="25" a="1"/>
  <c r="J9" i="25" s="1"/>
  <c r="H9" i="25" a="1"/>
  <c r="H9" i="25" s="1"/>
  <c r="E9" i="25"/>
  <c r="AD8" i="25" a="1"/>
  <c r="AD8" i="25" s="1"/>
  <c r="AB8" i="25" a="1"/>
  <c r="AB8" i="25" s="1"/>
  <c r="Z8" i="25" a="1"/>
  <c r="Z8" i="25" s="1"/>
  <c r="X8" i="25" a="1"/>
  <c r="X8" i="25" s="1"/>
  <c r="V8" i="25" a="1"/>
  <c r="V8" i="25" s="1"/>
  <c r="T8" i="25" a="1"/>
  <c r="T8" i="25" s="1"/>
  <c r="R8" i="25" a="1"/>
  <c r="R8" i="25" s="1"/>
  <c r="P8" i="25" a="1"/>
  <c r="P8" i="25" s="1"/>
  <c r="N8" i="25" a="1"/>
  <c r="N8" i="25" s="1"/>
  <c r="L8" i="25" a="1"/>
  <c r="L8" i="25" s="1"/>
  <c r="J8" i="25" a="1"/>
  <c r="J8" i="25" s="1"/>
  <c r="H8" i="25" a="1"/>
  <c r="H8" i="25" s="1"/>
  <c r="E8" i="25"/>
  <c r="OE4" i="25"/>
  <c r="OD4" i="25"/>
  <c r="OC4" i="25"/>
  <c r="OB4" i="25"/>
  <c r="OA4" i="25"/>
  <c r="NZ4" i="25"/>
  <c r="NY4" i="25"/>
  <c r="NX4" i="25"/>
  <c r="NW4" i="25"/>
  <c r="NV4" i="25"/>
  <c r="NU4" i="25"/>
  <c r="NT4" i="25"/>
  <c r="NS4" i="25"/>
  <c r="NR4" i="25"/>
  <c r="NQ4" i="25"/>
  <c r="NP4" i="25"/>
  <c r="NO4" i="25"/>
  <c r="NN4" i="25"/>
  <c r="NM4" i="25"/>
  <c r="NL4" i="25"/>
  <c r="NK4" i="25"/>
  <c r="NJ4" i="25"/>
  <c r="NI4" i="25"/>
  <c r="NH4" i="25"/>
  <c r="NG4" i="25"/>
  <c r="NF4" i="25"/>
  <c r="NE4" i="25"/>
  <c r="ND4" i="25"/>
  <c r="NC4" i="25"/>
  <c r="NB4" i="25"/>
  <c r="NA4" i="25"/>
  <c r="MZ4" i="25"/>
  <c r="MY4" i="25"/>
  <c r="MX4" i="25"/>
  <c r="MW4" i="25"/>
  <c r="MV4" i="25"/>
  <c r="MU4" i="25"/>
  <c r="MT4" i="25"/>
  <c r="MS4" i="25"/>
  <c r="MR4" i="25"/>
  <c r="MQ4" i="25"/>
  <c r="MP4" i="25"/>
  <c r="MO4" i="25"/>
  <c r="MN4" i="25"/>
  <c r="MM4" i="25"/>
  <c r="ML4" i="25"/>
  <c r="MK4" i="25"/>
  <c r="MJ4" i="25"/>
  <c r="MI4" i="25"/>
  <c r="MH4" i="25"/>
  <c r="MG4" i="25"/>
  <c r="MF4" i="25"/>
  <c r="ME4" i="25"/>
  <c r="MD4" i="25"/>
  <c r="MC4" i="25"/>
  <c r="MB4" i="25"/>
  <c r="MA4" i="25"/>
  <c r="LZ4" i="25"/>
  <c r="LY4" i="25"/>
  <c r="LX4" i="25"/>
  <c r="LW4" i="25"/>
  <c r="LV4" i="25"/>
  <c r="LU4" i="25"/>
  <c r="LT4" i="25"/>
  <c r="LS4" i="25"/>
  <c r="LR4" i="25"/>
  <c r="LQ4" i="25"/>
  <c r="LP4" i="25"/>
  <c r="LO4" i="25"/>
  <c r="LN4" i="25"/>
  <c r="LM4" i="25"/>
  <c r="LL4" i="25"/>
  <c r="LK4" i="25"/>
  <c r="LJ4" i="25"/>
  <c r="LI4" i="25"/>
  <c r="LH4" i="25"/>
  <c r="LG4" i="25"/>
  <c r="LF4" i="25"/>
  <c r="LE4" i="25"/>
  <c r="LD4" i="25"/>
  <c r="LC4" i="25"/>
  <c r="LB4" i="25"/>
  <c r="LA4" i="25"/>
  <c r="KZ4" i="25"/>
  <c r="KY4" i="25"/>
  <c r="KX4" i="25"/>
  <c r="KW4" i="25"/>
  <c r="KV4" i="25"/>
  <c r="KU4" i="25"/>
  <c r="KT4" i="25"/>
  <c r="KS4" i="25"/>
  <c r="KR4" i="25"/>
  <c r="KQ4" i="25"/>
  <c r="KP4" i="25"/>
  <c r="KO4" i="25"/>
  <c r="KN4" i="25"/>
  <c r="KM4" i="25"/>
  <c r="KL4" i="25"/>
  <c r="KK4" i="25"/>
  <c r="KJ4" i="25"/>
  <c r="KI4" i="25"/>
  <c r="KH4" i="25"/>
  <c r="KG4" i="25"/>
  <c r="KF4" i="25"/>
  <c r="KE4" i="25"/>
  <c r="KD4" i="25"/>
  <c r="KC4" i="25"/>
  <c r="KB4" i="25"/>
  <c r="KA4" i="25"/>
  <c r="JZ4" i="25"/>
  <c r="JY4" i="25"/>
  <c r="JX4" i="25"/>
  <c r="JW4" i="25"/>
  <c r="JV4" i="25"/>
  <c r="JU4" i="25"/>
  <c r="JT4" i="25"/>
  <c r="JS4" i="25"/>
  <c r="JR4" i="25"/>
  <c r="JQ4" i="25"/>
  <c r="JP4" i="25"/>
  <c r="JO4" i="25"/>
  <c r="JN4" i="25"/>
  <c r="JM4" i="25"/>
  <c r="JL4" i="25"/>
  <c r="JK4" i="25"/>
  <c r="JJ4" i="25"/>
  <c r="JI4" i="25"/>
  <c r="JH4" i="25"/>
  <c r="JG4" i="25"/>
  <c r="JF4" i="25"/>
  <c r="JE4" i="25"/>
  <c r="JD4" i="25"/>
  <c r="JC4" i="25"/>
  <c r="JB4" i="25"/>
  <c r="JA4" i="25"/>
  <c r="IZ4" i="25"/>
  <c r="IY4" i="25"/>
  <c r="IX4" i="25"/>
  <c r="IW4" i="25"/>
  <c r="IV4" i="25"/>
  <c r="IU4" i="25"/>
  <c r="IT4" i="25"/>
  <c r="IS4" i="25"/>
  <c r="IR4" i="25"/>
  <c r="IQ4" i="25"/>
  <c r="IP4" i="25"/>
  <c r="IO4" i="25"/>
  <c r="IN4" i="25"/>
  <c r="IM4" i="25"/>
  <c r="IL4" i="25"/>
  <c r="IK4" i="25"/>
  <c r="IJ4" i="25"/>
  <c r="II4" i="25"/>
  <c r="IH4" i="25"/>
  <c r="IG4" i="25"/>
  <c r="IF4" i="25"/>
  <c r="IE4" i="25"/>
  <c r="ID4" i="25"/>
  <c r="IC4" i="25"/>
  <c r="IB4" i="25"/>
  <c r="IA4" i="25"/>
  <c r="HZ4" i="25"/>
  <c r="HY4" i="25"/>
  <c r="HX4" i="25"/>
  <c r="HW4" i="25"/>
  <c r="HV4" i="25"/>
  <c r="HU4" i="25"/>
  <c r="HT4" i="25"/>
  <c r="HS4" i="25"/>
  <c r="HR4" i="25"/>
  <c r="HQ4" i="25"/>
  <c r="HP4" i="25"/>
  <c r="HO4" i="25"/>
  <c r="HN4" i="25"/>
  <c r="HM4" i="25"/>
  <c r="HL4" i="25"/>
  <c r="HK4" i="25"/>
  <c r="HJ4" i="25"/>
  <c r="HI4" i="25"/>
  <c r="HH4" i="25"/>
  <c r="HG4" i="25"/>
  <c r="HF4" i="25"/>
  <c r="HE4" i="25"/>
  <c r="HD4" i="25"/>
  <c r="HC4" i="25"/>
  <c r="HB4" i="25"/>
  <c r="HA4" i="25"/>
  <c r="GZ4" i="25"/>
  <c r="GY4" i="25"/>
  <c r="GX4" i="25"/>
  <c r="GW4" i="25"/>
  <c r="GV4" i="25"/>
  <c r="GU4" i="25"/>
  <c r="GT4" i="25"/>
  <c r="GS4" i="25"/>
  <c r="GR4" i="25"/>
  <c r="GQ4" i="25"/>
  <c r="GP4" i="25"/>
  <c r="GO4" i="25"/>
  <c r="GN4" i="25"/>
  <c r="GM4" i="25"/>
  <c r="GL4" i="25"/>
  <c r="GK4" i="25"/>
  <c r="GJ4" i="25"/>
  <c r="GI4" i="25"/>
  <c r="GH4" i="25"/>
  <c r="GG4" i="25"/>
  <c r="GF4" i="25"/>
  <c r="GE4" i="25"/>
  <c r="GD4" i="25"/>
  <c r="GC4" i="25"/>
  <c r="GB4" i="25"/>
  <c r="GA4" i="25"/>
  <c r="FZ4" i="25"/>
  <c r="FY4" i="25"/>
  <c r="FX4" i="25"/>
  <c r="FW4" i="25"/>
  <c r="FV4" i="25"/>
  <c r="FU4" i="25"/>
  <c r="FT4" i="25"/>
  <c r="FS4" i="25"/>
  <c r="FR4" i="25"/>
  <c r="FQ4" i="25"/>
  <c r="FP4" i="25"/>
  <c r="FO4" i="25"/>
  <c r="FN4" i="25"/>
  <c r="FM4" i="25"/>
  <c r="FL4" i="25"/>
  <c r="FK4" i="25"/>
  <c r="FJ4" i="25"/>
  <c r="FI4" i="25"/>
  <c r="FH4" i="25"/>
  <c r="FG4" i="25"/>
  <c r="FF4" i="25"/>
  <c r="FE4" i="25"/>
  <c r="FD4" i="25"/>
  <c r="FC4" i="25"/>
  <c r="FB4" i="25"/>
  <c r="FA4" i="25"/>
  <c r="EZ4" i="25"/>
  <c r="EY4" i="25"/>
  <c r="EX4" i="25"/>
  <c r="EW4" i="25"/>
  <c r="EV4" i="25"/>
  <c r="EU4" i="25"/>
  <c r="ET4" i="25"/>
  <c r="ES4" i="25"/>
  <c r="ER4" i="25"/>
  <c r="EQ4" i="25"/>
  <c r="EP4" i="25"/>
  <c r="EO4" i="25"/>
  <c r="EN4" i="25"/>
  <c r="EM4" i="25"/>
  <c r="EL4" i="25"/>
  <c r="EK4" i="25"/>
  <c r="EJ4" i="25"/>
  <c r="EI4" i="25"/>
  <c r="EH4" i="25"/>
  <c r="EG4" i="25"/>
  <c r="EF4" i="25"/>
  <c r="EE4" i="25"/>
  <c r="ED4" i="25"/>
  <c r="EC4" i="25"/>
  <c r="EB4" i="25"/>
  <c r="EA4" i="25"/>
  <c r="DZ4" i="25"/>
  <c r="DY4" i="25"/>
  <c r="DX4" i="25"/>
  <c r="DW4" i="25"/>
  <c r="DV4" i="25"/>
  <c r="DU4" i="25"/>
  <c r="DT4" i="25"/>
  <c r="DS4" i="25"/>
  <c r="DR4" i="25"/>
  <c r="DQ4" i="25"/>
  <c r="DP4" i="25"/>
  <c r="DO4" i="25"/>
  <c r="DN4" i="25"/>
  <c r="DM4" i="25"/>
  <c r="DL4" i="25"/>
  <c r="DK4" i="25"/>
  <c r="DJ4" i="25"/>
  <c r="DI4" i="25"/>
  <c r="DH4" i="25"/>
  <c r="DG4" i="25"/>
  <c r="DF4" i="25"/>
  <c r="DE4" i="25"/>
  <c r="DD4" i="25"/>
  <c r="DC4" i="25"/>
  <c r="DB4" i="25"/>
  <c r="DA4" i="25"/>
  <c r="CZ4" i="25"/>
  <c r="CY4" i="25"/>
  <c r="CX4" i="25"/>
  <c r="CW4" i="25"/>
  <c r="CV4" i="25"/>
  <c r="CU4" i="25"/>
  <c r="CT4" i="25"/>
  <c r="CS4" i="25"/>
  <c r="CR4" i="25"/>
  <c r="CQ4" i="25"/>
  <c r="CP4" i="25"/>
  <c r="CO4" i="25"/>
  <c r="CN4" i="25"/>
  <c r="CM4" i="25"/>
  <c r="CL4" i="25"/>
  <c r="CK4" i="25"/>
  <c r="CJ4" i="25"/>
  <c r="CI4" i="25"/>
  <c r="CH4" i="25"/>
  <c r="CG4" i="25"/>
  <c r="CF4" i="25"/>
  <c r="CE4" i="25"/>
  <c r="CD4" i="25"/>
  <c r="CC4" i="25"/>
  <c r="CB4" i="25"/>
  <c r="CA4" i="25"/>
  <c r="BZ4" i="25"/>
  <c r="BY4" i="25"/>
  <c r="BX4" i="25"/>
  <c r="BW4" i="25"/>
  <c r="BV4" i="25"/>
  <c r="BU4" i="25"/>
  <c r="BT4" i="25"/>
  <c r="BS4" i="25"/>
  <c r="BR4" i="25"/>
  <c r="BQ4" i="25"/>
  <c r="BP4" i="25"/>
  <c r="BO4" i="25"/>
  <c r="BN4" i="25"/>
  <c r="BM4" i="25"/>
  <c r="BL4" i="25"/>
  <c r="BK4" i="25"/>
  <c r="BJ4" i="25"/>
  <c r="BI4" i="25"/>
  <c r="BH4" i="25"/>
  <c r="BG4" i="25"/>
  <c r="BF4" i="25"/>
  <c r="BE4" i="25"/>
  <c r="BD4" i="25"/>
  <c r="BC4" i="25"/>
  <c r="BB4" i="25"/>
  <c r="BA4" i="25"/>
  <c r="AZ4" i="25"/>
  <c r="AY4" i="25"/>
  <c r="AX4" i="25"/>
  <c r="AW4" i="25"/>
  <c r="AV4" i="25"/>
  <c r="AU4" i="25"/>
  <c r="AT4" i="25"/>
  <c r="AS4" i="25"/>
  <c r="AR4" i="25"/>
  <c r="AQ4" i="25"/>
  <c r="AP4" i="25"/>
  <c r="AO4" i="25"/>
  <c r="AN4" i="25"/>
  <c r="AM4" i="25"/>
  <c r="AL4" i="25"/>
  <c r="AK4" i="25"/>
  <c r="AJ4" i="25"/>
  <c r="AI4" i="25"/>
  <c r="AH4" i="25"/>
  <c r="AG4" i="25"/>
  <c r="AF4" i="25"/>
  <c r="AE4" i="25"/>
  <c r="OC3" i="25"/>
  <c r="NV3" i="25"/>
  <c r="NO3" i="25"/>
  <c r="NH3" i="25"/>
  <c r="NA3" i="25"/>
  <c r="MT3" i="25"/>
  <c r="MM3" i="25"/>
  <c r="MF3" i="25"/>
  <c r="LY3" i="25"/>
  <c r="LR3" i="25"/>
  <c r="LK3" i="25"/>
  <c r="LD3" i="25"/>
  <c r="KW3" i="25"/>
  <c r="KP3" i="25"/>
  <c r="KI3" i="25"/>
  <c r="KB3" i="25"/>
  <c r="JU3" i="25"/>
  <c r="JN3" i="25"/>
  <c r="JG3" i="25"/>
  <c r="IZ3" i="25"/>
  <c r="IS3" i="25"/>
  <c r="IL3" i="25"/>
  <c r="IE3" i="25"/>
  <c r="HX3" i="25"/>
  <c r="HQ3" i="25"/>
  <c r="HJ3" i="25"/>
  <c r="HC3" i="25"/>
  <c r="GV3" i="25"/>
  <c r="GO3" i="25"/>
  <c r="GH3" i="25"/>
  <c r="GA3" i="25"/>
  <c r="FT3" i="25"/>
  <c r="FM3" i="25"/>
  <c r="FF3" i="25"/>
  <c r="EY3" i="25"/>
  <c r="ER3" i="25"/>
  <c r="EK3" i="25"/>
  <c r="ED3" i="25"/>
  <c r="DW3" i="25"/>
  <c r="DP3" i="25"/>
  <c r="DI3" i="25"/>
  <c r="DB3" i="25"/>
  <c r="CU3" i="25"/>
  <c r="CN3" i="25"/>
  <c r="CG3" i="25"/>
  <c r="BZ3" i="25"/>
  <c r="BS3" i="25"/>
  <c r="BL3" i="25"/>
  <c r="BE3" i="25"/>
  <c r="AX3" i="25"/>
  <c r="AQ3" i="25"/>
  <c r="AJ3" i="25"/>
  <c r="AE3" i="25"/>
  <c r="NA2" i="25"/>
  <c r="LW2" i="25"/>
  <c r="KR2" i="25"/>
  <c r="JN2" i="25"/>
  <c r="II2" i="25"/>
  <c r="HD2" i="25"/>
  <c r="FZ2" i="25"/>
  <c r="EU2" i="25"/>
  <c r="DQ2" i="25"/>
  <c r="CL2" i="25"/>
  <c r="BJ2" i="25"/>
  <c r="AE2" i="25"/>
  <c r="J49" i="11"/>
  <c r="J41" i="11" a="1"/>
  <c r="J41" i="11" s="1"/>
  <c r="J39" i="11" a="1"/>
  <c r="J39" i="11" s="1"/>
  <c r="R37" i="1" a="1"/>
  <c r="R41" i="1" a="1"/>
  <c r="M35" i="1" a="1"/>
  <c r="R19" i="1" a="1"/>
  <c r="R39" i="1" a="1"/>
  <c r="O34" i="1" a="1"/>
  <c r="O77" i="1" a="1"/>
  <c r="O66" i="1" a="1"/>
  <c r="R3" i="1" a="1"/>
  <c r="O89" i="1" a="1"/>
  <c r="O90" i="1" a="1"/>
  <c r="O13" i="1" a="1"/>
  <c r="O29" i="1" a="1"/>
  <c r="U3" i="1" a="1"/>
  <c r="U3" i="1" l="1"/>
  <c r="F13" i="25"/>
  <c r="V17" i="25" a="1"/>
  <c r="V17" i="25" s="1"/>
  <c r="R37" i="1"/>
  <c r="O89" i="1"/>
  <c r="U89" i="1" s="1" a="1"/>
  <c r="U89" i="1" s="1"/>
  <c r="O66" i="1"/>
  <c r="U66" i="1" s="1" a="1"/>
  <c r="U66" i="1" s="1"/>
  <c r="R3" i="1"/>
  <c r="O34" i="1"/>
  <c r="U34" i="1" s="1" a="1"/>
  <c r="U34" i="1" s="1"/>
  <c r="O90" i="1"/>
  <c r="U90" i="1" s="1" a="1"/>
  <c r="U90" i="1" s="1"/>
  <c r="R41" i="1"/>
  <c r="O77" i="1"/>
  <c r="U77" i="1" s="1" a="1"/>
  <c r="U77" i="1" s="1"/>
  <c r="O29" i="1"/>
  <c r="U29" i="1" s="1" a="1"/>
  <c r="U29" i="1" s="1"/>
  <c r="R39" i="1"/>
  <c r="M35" i="1"/>
  <c r="R19" i="1"/>
  <c r="T51" i="1" a="1"/>
  <c r="T51" i="1" s="1"/>
  <c r="R51" i="1" a="1"/>
  <c r="R51" i="1" s="1"/>
  <c r="V51" i="1"/>
  <c r="O13" i="1"/>
  <c r="U13" i="1" s="1" a="1"/>
  <c r="U13" i="1" s="1"/>
  <c r="V49" i="1"/>
  <c r="V48" i="1"/>
  <c r="V47" i="1"/>
  <c r="X14" i="25" a="1"/>
  <c r="X14" i="25" s="1"/>
  <c r="Z14" i="25" a="1"/>
  <c r="Z14" i="25" s="1"/>
  <c r="T15" i="25" a="1"/>
  <c r="T15" i="25" s="1"/>
  <c r="V15" i="25" a="1"/>
  <c r="V15" i="25" s="1"/>
  <c r="Z15" i="25" a="1"/>
  <c r="Z15" i="25" s="1"/>
  <c r="AD15" i="25" a="1"/>
  <c r="AD15" i="25" s="1"/>
  <c r="L14" i="25" a="1"/>
  <c r="L14" i="25" s="1"/>
  <c r="X17" i="25" a="1"/>
  <c r="X17" i="25" s="1"/>
  <c r="L17" i="25" a="1"/>
  <c r="L17" i="25" s="1"/>
  <c r="R17" i="25" a="1"/>
  <c r="R17" i="25" s="1"/>
  <c r="H15" i="25" a="1"/>
  <c r="H15" i="25" s="1"/>
  <c r="R16" i="25" a="1"/>
  <c r="R16" i="25" s="1"/>
  <c r="J15" i="25" a="1"/>
  <c r="J15" i="25" s="1"/>
  <c r="V16" i="25" a="1"/>
  <c r="V16" i="25" s="1"/>
  <c r="P16" i="25" a="1"/>
  <c r="P16" i="25" s="1"/>
  <c r="N15" i="25" a="1"/>
  <c r="N15" i="25" s="1"/>
  <c r="R15" i="25" a="1"/>
  <c r="R15" i="25" s="1"/>
  <c r="F8" i="25"/>
  <c r="F11" i="25"/>
  <c r="F9" i="25"/>
  <c r="F10" i="25"/>
  <c r="T14" i="25" a="1"/>
  <c r="T14" i="25" s="1"/>
  <c r="H14" i="25" a="1"/>
  <c r="H14" i="25" s="1"/>
  <c r="AB14" i="25" a="1"/>
  <c r="AB14" i="25" s="1"/>
  <c r="P14" i="25" a="1"/>
  <c r="P14" i="25" s="1"/>
  <c r="AD14" i="25" a="1"/>
  <c r="AD14" i="25" s="1"/>
  <c r="N14" i="25" a="1"/>
  <c r="N14" i="25" s="1"/>
  <c r="J14" i="25" a="1"/>
  <c r="J14" i="25" s="1"/>
  <c r="X16" i="25" a="1"/>
  <c r="X16" i="25" s="1"/>
  <c r="L16" i="25" a="1"/>
  <c r="L16" i="25" s="1"/>
  <c r="T16" i="25" a="1"/>
  <c r="T16" i="25" s="1"/>
  <c r="H16" i="25" a="1"/>
  <c r="H16" i="25" s="1"/>
  <c r="AB16" i="25" a="1"/>
  <c r="AB16" i="25" s="1"/>
  <c r="Z16" i="25" a="1"/>
  <c r="Z16" i="25" s="1"/>
  <c r="V14" i="25" a="1"/>
  <c r="V14" i="25" s="1"/>
  <c r="J16" i="25" a="1"/>
  <c r="J16" i="25" s="1"/>
  <c r="T17" i="25" a="1"/>
  <c r="T17" i="25" s="1"/>
  <c r="H17" i="25" a="1"/>
  <c r="H17" i="25" s="1"/>
  <c r="AB17" i="25" a="1"/>
  <c r="AB17" i="25" s="1"/>
  <c r="P17" i="25" a="1"/>
  <c r="P17" i="25" s="1"/>
  <c r="N17" i="25" a="1"/>
  <c r="N17" i="25" s="1"/>
  <c r="AD17" i="25" a="1"/>
  <c r="AD17" i="25" s="1"/>
  <c r="Z17" i="25" a="1"/>
  <c r="Z17" i="25" s="1"/>
  <c r="J17" i="25" a="1"/>
  <c r="J17" i="25" s="1"/>
  <c r="N16" i="25" a="1"/>
  <c r="N16" i="25" s="1"/>
  <c r="L15" i="25" a="1"/>
  <c r="L15" i="25" s="1"/>
  <c r="X15" i="25" a="1"/>
  <c r="X15" i="25" s="1"/>
  <c r="P15" i="25" a="1"/>
  <c r="P15" i="25" s="1"/>
  <c r="V36" i="1"/>
  <c r="V24" i="1"/>
  <c r="V14" i="1"/>
  <c r="V41" i="1"/>
  <c r="V29" i="1"/>
  <c r="V40" i="1"/>
  <c r="V28" i="1"/>
  <c r="V17" i="1"/>
  <c r="V7" i="1"/>
  <c r="V45" i="1"/>
  <c r="V33" i="1"/>
  <c r="V21" i="1"/>
  <c r="V16" i="1"/>
  <c r="V4" i="1"/>
  <c r="V38" i="1"/>
  <c r="V32" i="1"/>
  <c r="V26" i="1"/>
  <c r="V20" i="1"/>
  <c r="V15" i="1"/>
  <c r="V10" i="1"/>
  <c r="V5" i="1"/>
  <c r="V42" i="1"/>
  <c r="V30" i="1"/>
  <c r="V18" i="1"/>
  <c r="V23" i="1"/>
  <c r="V13" i="1"/>
  <c r="V8" i="1"/>
  <c r="V46" i="1"/>
  <c r="V34" i="1"/>
  <c r="V22" i="1"/>
  <c r="V12" i="1"/>
  <c r="V39" i="1"/>
  <c r="V27" i="1"/>
  <c r="V11" i="1"/>
  <c r="V6" i="1"/>
  <c r="V44" i="1"/>
  <c r="V43" i="1"/>
  <c r="V37" i="1"/>
  <c r="V31" i="1"/>
  <c r="V25" i="1"/>
  <c r="V19" i="1"/>
  <c r="V9" i="1"/>
  <c r="J47" i="11"/>
  <c r="J48" i="11" s="1"/>
  <c r="F17" i="25" l="1"/>
  <c r="F15" i="25"/>
  <c r="F14" i="25"/>
  <c r="E23" i="11" a="1"/>
  <c r="E23" i="11" s="1"/>
  <c r="E24" i="11" a="1"/>
  <c r="E24" i="11" s="1"/>
  <c r="E22" i="11" a="1"/>
  <c r="E22" i="11" s="1"/>
  <c r="C24" i="11" a="1"/>
  <c r="C24" i="11" s="1"/>
  <c r="C7" i="29" s="1"/>
  <c r="C22" i="11" a="1"/>
  <c r="C22" i="11" s="1"/>
  <c r="C23" i="11" a="1"/>
  <c r="C23" i="11" s="1"/>
  <c r="C6" i="29" s="1"/>
  <c r="D23" i="11" a="1"/>
  <c r="D23" i="11" s="1"/>
  <c r="D22" i="11" a="1"/>
  <c r="D22" i="11" s="1"/>
  <c r="V35" i="1"/>
  <c r="D24" i="11" a="1"/>
  <c r="D24" i="11" s="1"/>
  <c r="R7" i="25"/>
  <c r="AB7" i="25"/>
  <c r="P7" i="25"/>
  <c r="J7" i="25"/>
  <c r="X7" i="25"/>
  <c r="N7" i="25"/>
  <c r="AD7" i="25"/>
  <c r="E7" i="25"/>
  <c r="H7" i="25"/>
  <c r="T7" i="25"/>
  <c r="L7" i="25"/>
  <c r="V7" i="25"/>
  <c r="Z7" i="25"/>
  <c r="V3" i="1"/>
  <c r="F16" i="25"/>
  <c r="T29" i="1" a="1"/>
  <c r="S42" i="1" a="1"/>
  <c r="T15" i="1" a="1"/>
  <c r="T8" i="1" a="1"/>
  <c r="T5" i="1" a="1"/>
  <c r="T8" i="1" l="1"/>
  <c r="C5" i="29"/>
  <c r="C8" i="29" s="1"/>
  <c r="S42" i="1"/>
  <c r="T15" i="1"/>
  <c r="T5" i="1"/>
  <c r="T29" i="1"/>
  <c r="F7" i="25"/>
  <c r="F6" i="25" a="1"/>
  <c r="F6" i="25" s="1"/>
  <c r="D18" i="11" a="1"/>
  <c r="D18" i="11" s="1"/>
  <c r="E18" i="11" a="1"/>
  <c r="E18" i="11" s="1"/>
  <c r="C18" i="11" a="1"/>
  <c r="C18" i="11" s="1"/>
  <c r="B8" i="11" a="1"/>
  <c r="N34" i="11"/>
  <c r="M34" i="11"/>
  <c r="L34" i="11"/>
  <c r="C34" i="11" a="1"/>
  <c r="D20" i="11" a="1"/>
  <c r="D20" i="11" s="1"/>
  <c r="C19" i="11" a="1"/>
  <c r="C19" i="11" s="1"/>
  <c r="S40" i="1" a="1"/>
  <c r="T23" i="1" a="1"/>
  <c r="S39" i="1" a="1"/>
  <c r="I43" i="11" a="1"/>
  <c r="G43" i="11" a="1"/>
  <c r="O47" i="1" a="1"/>
  <c r="O31" i="1" a="1"/>
  <c r="O21" i="1" a="1"/>
  <c r="O11" i="1" a="1"/>
  <c r="G43" i="11" l="1"/>
  <c r="I43" i="11"/>
  <c r="O47" i="1"/>
  <c r="U47" i="1" s="1" a="1"/>
  <c r="U47" i="1" s="1"/>
  <c r="S39" i="1"/>
  <c r="T23" i="1"/>
  <c r="O21" i="1"/>
  <c r="U21" i="1" s="1" a="1"/>
  <c r="U21" i="1" s="1"/>
  <c r="O31" i="1"/>
  <c r="U31" i="1" s="1" a="1"/>
  <c r="U31" i="1" s="1"/>
  <c r="O11" i="1"/>
  <c r="U11" i="1" s="1" a="1"/>
  <c r="U11" i="1" s="1"/>
  <c r="S40" i="1"/>
  <c r="E17" i="11" a="1"/>
  <c r="E17" i="11" s="1"/>
  <c r="C17" i="11" a="1"/>
  <c r="C17" i="11" s="1"/>
  <c r="D17" i="11" a="1"/>
  <c r="D17" i="11" s="1"/>
  <c r="C16" i="11" a="1"/>
  <c r="C16" i="11" s="1"/>
  <c r="E16" i="11" a="1"/>
  <c r="E16" i="11" s="1"/>
  <c r="D16" i="11" a="1"/>
  <c r="D16" i="11" s="1"/>
  <c r="F46" i="11"/>
  <c r="G46" i="11"/>
  <c r="H46" i="11"/>
  <c r="I46" i="11"/>
  <c r="D46" i="11"/>
  <c r="E46" i="11"/>
  <c r="B8" i="11"/>
  <c r="C34" i="11"/>
  <c r="E20" i="11" a="1"/>
  <c r="E20" i="11" s="1"/>
  <c r="E19" i="11" a="1"/>
  <c r="E19" i="11" s="1"/>
  <c r="C20" i="11" a="1"/>
  <c r="C20" i="11" s="1"/>
  <c r="D19" i="11" a="1"/>
  <c r="D19" i="11" s="1"/>
  <c r="F19" i="11" a="1"/>
  <c r="F19" i="11" s="1"/>
  <c r="F18" i="11" a="1"/>
  <c r="F18" i="11" s="1"/>
  <c r="S11" i="1" a="1"/>
  <c r="T11" i="1" a="1"/>
  <c r="T24" i="1" a="1"/>
  <c r="S24" i="1" a="1"/>
  <c r="S41" i="1" a="1"/>
  <c r="H43" i="11" a="1"/>
  <c r="O14" i="1" a="1"/>
  <c r="O19" i="1" a="1"/>
  <c r="T6" i="1" a="1"/>
  <c r="O26" i="1" a="1"/>
  <c r="C43" i="11" a="1"/>
  <c r="C36" i="11" a="1"/>
  <c r="O6" i="1" a="1"/>
  <c r="O27" i="1" a="1"/>
  <c r="D8" i="11" l="1" a="1"/>
  <c r="D8" i="11" s="1"/>
  <c r="C8" i="11" a="1"/>
  <c r="C8" i="11" s="1"/>
  <c r="E8" i="11" a="1"/>
  <c r="E8" i="11" s="1"/>
  <c r="C36" i="11"/>
  <c r="C43" i="11"/>
  <c r="T24" i="1"/>
  <c r="S41" i="1"/>
  <c r="T6" i="1"/>
  <c r="S24" i="1"/>
  <c r="T11" i="1"/>
  <c r="O26" i="1"/>
  <c r="U26" i="1" s="1" a="1"/>
  <c r="U26" i="1" s="1"/>
  <c r="O14" i="1"/>
  <c r="U14" i="1" s="1" a="1"/>
  <c r="O6" i="1"/>
  <c r="S11" i="1"/>
  <c r="O19" i="1"/>
  <c r="U19" i="1" s="1" a="1"/>
  <c r="U19" i="1" s="1"/>
  <c r="O27" i="1"/>
  <c r="U27" i="1" s="1" a="1"/>
  <c r="U27" i="1" s="1"/>
  <c r="H43" i="11"/>
  <c r="C46" i="11"/>
  <c r="K46" i="11" s="1"/>
  <c r="M14" i="29" s="1"/>
  <c r="F20" i="11" a="1"/>
  <c r="F20" i="11" s="1"/>
  <c r="D10" i="11" a="1"/>
  <c r="D10" i="11" s="1"/>
  <c r="D15" i="11" a="1"/>
  <c r="D15" i="11" s="1"/>
  <c r="D12" i="11" a="1"/>
  <c r="D12" i="11" s="1"/>
  <c r="D13" i="11" a="1"/>
  <c r="D13" i="11" s="1"/>
  <c r="D11" i="11" a="1"/>
  <c r="D11" i="11" s="1"/>
  <c r="D14" i="11" a="1"/>
  <c r="D14" i="11" s="1"/>
  <c r="D9" i="11" a="1"/>
  <c r="D9" i="11" s="1"/>
  <c r="E9" i="11" a="1"/>
  <c r="E9" i="11" s="1"/>
  <c r="E15" i="11" a="1"/>
  <c r="E15" i="11" s="1"/>
  <c r="E12" i="11" a="1"/>
  <c r="E12" i="11" s="1"/>
  <c r="E10" i="11" a="1"/>
  <c r="E10" i="11" s="1"/>
  <c r="E13" i="11" a="1"/>
  <c r="E13" i="11" s="1"/>
  <c r="E11" i="11" a="1"/>
  <c r="E11" i="11" s="1"/>
  <c r="E14" i="11" a="1"/>
  <c r="E14" i="11" s="1"/>
  <c r="C13" i="11" a="1"/>
  <c r="C13" i="11" s="1"/>
  <c r="C12" i="11" a="1"/>
  <c r="C12" i="11" s="1"/>
  <c r="C9" i="11" a="1"/>
  <c r="C9" i="11" s="1"/>
  <c r="C11" i="11" a="1"/>
  <c r="C11" i="11" s="1"/>
  <c r="C10" i="11" a="1"/>
  <c r="C10" i="11" s="1"/>
  <c r="C15" i="11" a="1"/>
  <c r="C15" i="11" s="1"/>
  <c r="C14" i="11" a="1"/>
  <c r="C14" i="11" s="1"/>
  <c r="S28" i="1" a="1"/>
  <c r="T18" i="1" a="1"/>
  <c r="S37" i="1" a="1"/>
  <c r="S30" i="1" a="1"/>
  <c r="T42" i="1" a="1"/>
  <c r="S16" i="1" a="1"/>
  <c r="T19" i="1" a="1"/>
  <c r="S15" i="1" a="1"/>
  <c r="T31" i="1" a="1"/>
  <c r="S20" i="1" a="1"/>
  <c r="T40" i="1" a="1"/>
  <c r="S23" i="1" a="1"/>
  <c r="T38" i="1" a="1"/>
  <c r="T39" i="1" a="1"/>
  <c r="T21" i="1" a="1"/>
  <c r="S29" i="1" a="1"/>
  <c r="S19" i="1" a="1"/>
  <c r="R35" i="1" a="1"/>
  <c r="S18" i="1" a="1"/>
  <c r="T30" i="1" a="1"/>
  <c r="S21" i="1" a="1"/>
  <c r="S31" i="1" a="1"/>
  <c r="T28" i="1" a="1"/>
  <c r="T41" i="1" a="1"/>
  <c r="T36" i="1" a="1"/>
  <c r="T37" i="1" a="1"/>
  <c r="S38" i="1" a="1"/>
  <c r="S36" i="1" a="1"/>
  <c r="T16" i="1" a="1"/>
  <c r="T20" i="1" a="1"/>
  <c r="F43" i="11" a="1"/>
  <c r="S10" i="1" a="1"/>
  <c r="O17" i="1" a="1"/>
  <c r="O20" i="1" a="1"/>
  <c r="O49" i="1" a="1"/>
  <c r="S5" i="1" a="1"/>
  <c r="O33" i="1" a="1"/>
  <c r="E43" i="11" a="1"/>
  <c r="T9" i="1" a="1"/>
  <c r="O39" i="1" a="1"/>
  <c r="O44" i="1" a="1"/>
  <c r="O43" i="1" a="1"/>
  <c r="O8" i="1" a="1"/>
  <c r="S6" i="1" a="1"/>
  <c r="C42" i="11" a="1"/>
  <c r="O9" i="1" a="1"/>
  <c r="O25" i="1" a="1"/>
  <c r="O41" i="1" a="1"/>
  <c r="O30" i="1" a="1"/>
  <c r="O22" i="1" a="1"/>
  <c r="O15" i="1" a="1"/>
  <c r="O32" i="1" a="1"/>
  <c r="O45" i="1" a="1"/>
  <c r="O40" i="1" a="1"/>
  <c r="O24" i="1" a="1"/>
  <c r="O48" i="1" a="1"/>
  <c r="L46" i="11" l="1" a="1"/>
  <c r="L46" i="11" s="1"/>
  <c r="M15" i="29" s="1"/>
  <c r="M46" i="11" a="1"/>
  <c r="M46" i="11" s="1"/>
  <c r="M16" i="29" s="1"/>
  <c r="U6" i="1" a="1"/>
  <c r="U6" i="1" s="1"/>
  <c r="O8" i="1"/>
  <c r="T40" i="1"/>
  <c r="T16" i="1"/>
  <c r="T21" i="1"/>
  <c r="T31" i="1"/>
  <c r="S5" i="1"/>
  <c r="O44" i="1"/>
  <c r="U44" i="1" s="1" a="1"/>
  <c r="U44" i="1" s="1"/>
  <c r="S6" i="1"/>
  <c r="O24" i="1"/>
  <c r="U24" i="1" s="1" a="1"/>
  <c r="U24" i="1" s="1"/>
  <c r="S19" i="1"/>
  <c r="S28" i="1"/>
  <c r="S31" i="1"/>
  <c r="T28" i="1"/>
  <c r="T30" i="1"/>
  <c r="O40" i="1"/>
  <c r="U40" i="1" s="1" a="1"/>
  <c r="U40" i="1" s="1"/>
  <c r="O49" i="1"/>
  <c r="U49" i="1" s="1" a="1"/>
  <c r="U49" i="1" s="1"/>
  <c r="T20" i="1"/>
  <c r="O17" i="1"/>
  <c r="U17" i="1" s="1" a="1"/>
  <c r="U17" i="1" s="1"/>
  <c r="S29" i="1"/>
  <c r="T18" i="1"/>
  <c r="S18" i="1"/>
  <c r="S21" i="1"/>
  <c r="O30" i="1"/>
  <c r="U30" i="1" s="1" a="1"/>
  <c r="U30" i="1" s="1"/>
  <c r="S10" i="1"/>
  <c r="T38" i="1"/>
  <c r="O48" i="1"/>
  <c r="U48" i="1" s="1" a="1"/>
  <c r="U48" i="1" s="1"/>
  <c r="S16" i="1"/>
  <c r="O43" i="1"/>
  <c r="U43" i="1" s="1" a="1"/>
  <c r="U43" i="1" s="1"/>
  <c r="O33" i="1"/>
  <c r="U33" i="1" s="1" a="1"/>
  <c r="U33" i="1" s="1"/>
  <c r="S15" i="1"/>
  <c r="S36" i="1"/>
  <c r="C42" i="11"/>
  <c r="T19" i="1"/>
  <c r="O15" i="1"/>
  <c r="U15" i="1" s="1" a="1"/>
  <c r="U15" i="1" s="1"/>
  <c r="O32" i="1"/>
  <c r="U32" i="1" s="1" a="1"/>
  <c r="U32" i="1" s="1"/>
  <c r="T42" i="1"/>
  <c r="S23" i="1"/>
  <c r="S38" i="1"/>
  <c r="F43" i="11"/>
  <c r="E43" i="11"/>
  <c r="R35" i="1"/>
  <c r="S20" i="1"/>
  <c r="O22" i="1"/>
  <c r="U22" i="1" s="1" a="1"/>
  <c r="U22" i="1" s="1"/>
  <c r="T36" i="1"/>
  <c r="O39" i="1"/>
  <c r="U39" i="1" s="1" a="1"/>
  <c r="U39" i="1" s="1"/>
  <c r="O25" i="1"/>
  <c r="U25" i="1" s="1" a="1"/>
  <c r="U25" i="1" s="1"/>
  <c r="T9" i="1"/>
  <c r="T41" i="1"/>
  <c r="T37" i="1"/>
  <c r="O20" i="1"/>
  <c r="U20" i="1" s="1" a="1"/>
  <c r="U20" i="1" s="1"/>
  <c r="T39" i="1"/>
  <c r="O45" i="1"/>
  <c r="U45" i="1" s="1" a="1"/>
  <c r="U45" i="1" s="1"/>
  <c r="S37" i="1"/>
  <c r="O41" i="1"/>
  <c r="U41" i="1" s="1" a="1"/>
  <c r="U41" i="1" s="1"/>
  <c r="S30" i="1"/>
  <c r="O9" i="1"/>
  <c r="U9" i="1" s="1" a="1"/>
  <c r="U9" i="1" s="1"/>
  <c r="U10" i="1" a="1"/>
  <c r="U10" i="1" s="1"/>
  <c r="U14" i="1"/>
  <c r="N46" i="11" a="1"/>
  <c r="N46" i="11" s="1"/>
  <c r="M17" i="29" s="1"/>
  <c r="T10" i="1" a="1"/>
  <c r="O35" i="1" a="1"/>
  <c r="O18" i="1" a="1"/>
  <c r="T7" i="1" a="1"/>
  <c r="S7" i="1" a="1"/>
  <c r="O46" i="1" a="1"/>
  <c r="O12" i="1" a="1"/>
  <c r="O36" i="1" a="1"/>
  <c r="O16" i="1" a="1"/>
  <c r="O38" i="1" a="1"/>
  <c r="O23" i="1" a="1"/>
  <c r="O37" i="1" a="1"/>
  <c r="O37" i="1" l="1"/>
  <c r="U37" i="1" s="1" a="1"/>
  <c r="U37" i="1" s="1"/>
  <c r="O23" i="1"/>
  <c r="U23" i="1" s="1" a="1"/>
  <c r="U23" i="1" s="1"/>
  <c r="O38" i="1"/>
  <c r="U38" i="1" s="1" a="1"/>
  <c r="U38" i="1" s="1"/>
  <c r="O16" i="1"/>
  <c r="U16" i="1" s="1" a="1"/>
  <c r="U16" i="1" s="1"/>
  <c r="O36" i="1"/>
  <c r="U36" i="1" s="1" a="1"/>
  <c r="U36" i="1" s="1"/>
  <c r="O12" i="1"/>
  <c r="U12" i="1" s="1" a="1"/>
  <c r="U12" i="1" s="1"/>
  <c r="O46" i="1"/>
  <c r="U46" i="1" s="1" a="1"/>
  <c r="U46" i="1" s="1"/>
  <c r="S7" i="1"/>
  <c r="T7" i="1"/>
  <c r="O18" i="1"/>
  <c r="U18" i="1" s="1" a="1"/>
  <c r="U18" i="1" s="1"/>
  <c r="O35" i="1"/>
  <c r="U35" i="1" s="1" a="1"/>
  <c r="U35" i="1" s="1"/>
  <c r="T10" i="1"/>
  <c r="I10" i="11" a="1"/>
  <c r="I10" i="11" s="1"/>
  <c r="H10" i="11" a="1"/>
  <c r="H10" i="11" s="1"/>
  <c r="H9" i="11" a="1"/>
  <c r="H9" i="11" s="1"/>
  <c r="I9" i="11" a="1"/>
  <c r="I9" i="11" s="1"/>
  <c r="I22" i="11" a="1"/>
  <c r="I22" i="11" s="1"/>
  <c r="G5" i="29" s="1"/>
  <c r="H24" i="11" a="1"/>
  <c r="H24" i="11" s="1"/>
  <c r="F7" i="29" s="1"/>
  <c r="G24" i="11" a="1"/>
  <c r="G24" i="11" s="1"/>
  <c r="E7" i="29" s="1"/>
  <c r="H22" i="11" a="1"/>
  <c r="H22" i="11" s="1"/>
  <c r="F5" i="29" s="1"/>
  <c r="H23" i="11" a="1"/>
  <c r="H23" i="11" s="1"/>
  <c r="F6" i="29" s="1"/>
  <c r="I23" i="11" a="1"/>
  <c r="I23" i="11" s="1"/>
  <c r="G6" i="29" s="1"/>
  <c r="I24" i="11" a="1"/>
  <c r="I24" i="11" s="1"/>
  <c r="G7" i="29" s="1"/>
  <c r="G23" i="11" a="1"/>
  <c r="G23" i="11" s="1"/>
  <c r="E6" i="29" s="1"/>
  <c r="F22" i="11" a="1"/>
  <c r="F22" i="11" s="1"/>
  <c r="D5" i="29" s="1"/>
  <c r="F23" i="11" a="1"/>
  <c r="F23" i="11" s="1"/>
  <c r="D6" i="29" s="1"/>
  <c r="F24" i="11" a="1"/>
  <c r="F24" i="11" s="1"/>
  <c r="D7" i="29" s="1"/>
  <c r="G22" i="11" a="1"/>
  <c r="G22" i="11" s="1"/>
  <c r="E5" i="29" s="1"/>
  <c r="F8" i="11" a="1"/>
  <c r="F8" i="11" s="1"/>
  <c r="H8" i="11" a="1"/>
  <c r="H8" i="11" s="1"/>
  <c r="I8" i="11" a="1"/>
  <c r="I8" i="11" s="1"/>
  <c r="G13" i="11" a="1"/>
  <c r="G13" i="11" s="1"/>
  <c r="G14" i="11" a="1"/>
  <c r="G14" i="11" s="1"/>
  <c r="F15" i="11" a="1"/>
  <c r="F15" i="11" s="1"/>
  <c r="G10" i="11" a="1"/>
  <c r="G10" i="11" s="1"/>
  <c r="G15" i="11" a="1"/>
  <c r="G15" i="11" s="1"/>
  <c r="G12" i="11" a="1"/>
  <c r="G12" i="11" s="1"/>
  <c r="F17" i="11" a="1"/>
  <c r="F17" i="11" s="1"/>
  <c r="G11" i="11" a="1"/>
  <c r="G11" i="11" s="1"/>
  <c r="G16" i="11" a="1"/>
  <c r="G16" i="11" s="1"/>
  <c r="F13" i="11" a="1"/>
  <c r="F13" i="11" s="1"/>
  <c r="F11" i="11" a="1"/>
  <c r="F11" i="11" s="1"/>
  <c r="G17" i="11" a="1"/>
  <c r="G17" i="11" s="1"/>
  <c r="G9" i="11" a="1"/>
  <c r="G9" i="11" s="1"/>
  <c r="G8" i="11" a="1"/>
  <c r="G8" i="11" s="1"/>
  <c r="F9" i="11" a="1"/>
  <c r="F9" i="11" s="1"/>
  <c r="F12" i="11" a="1"/>
  <c r="F12" i="11" s="1"/>
  <c r="F14" i="11" a="1"/>
  <c r="F14" i="11" s="1"/>
  <c r="F16" i="11" a="1"/>
  <c r="F16" i="11" s="1"/>
  <c r="F10" i="11" a="1"/>
  <c r="F10" i="11" s="1"/>
  <c r="U8" i="1" a="1"/>
  <c r="U8" i="1" s="1"/>
  <c r="E8" i="29" l="1"/>
  <c r="G8" i="29"/>
  <c r="F8" i="29"/>
  <c r="D8" i="29"/>
  <c r="G42" i="11" l="1" a="1"/>
  <c r="E44" i="11" a="1"/>
  <c r="E45" i="11" a="1"/>
  <c r="E44" i="11" l="1"/>
  <c r="G42" i="11"/>
  <c r="E45" i="11"/>
  <c r="S13" i="1" a="1"/>
  <c r="S22" i="1" a="1"/>
  <c r="S32" i="1" a="1"/>
  <c r="S27" i="1" a="1"/>
  <c r="S14" i="1" a="1"/>
  <c r="S12" i="1" a="1"/>
  <c r="S26" i="1" a="1"/>
  <c r="S25" i="1" a="1"/>
  <c r="S17" i="1" a="1"/>
  <c r="S34" i="1" a="1"/>
  <c r="S35" i="1" a="1"/>
  <c r="S33" i="1" a="1"/>
  <c r="H45" i="11" a="1"/>
  <c r="H44" i="11" a="1"/>
  <c r="I35" i="11" a="1"/>
  <c r="D43" i="11" a="1"/>
  <c r="S4" i="1" a="1"/>
  <c r="D43" i="11" l="1"/>
  <c r="S34" i="1"/>
  <c r="S26" i="1"/>
  <c r="S12" i="1"/>
  <c r="S35" i="1"/>
  <c r="S4" i="1"/>
  <c r="S27" i="1"/>
  <c r="S33" i="1"/>
  <c r="S14" i="1"/>
  <c r="S32" i="1"/>
  <c r="S17" i="1"/>
  <c r="S22" i="1"/>
  <c r="S25" i="1"/>
  <c r="S13" i="1"/>
  <c r="H44" i="11"/>
  <c r="I35" i="11"/>
  <c r="H45" i="11"/>
  <c r="T14" i="1" a="1"/>
  <c r="T32" i="1" a="1"/>
  <c r="T22" i="1" a="1"/>
  <c r="T35" i="1" a="1"/>
  <c r="T26" i="1" a="1"/>
  <c r="T34" i="1" a="1"/>
  <c r="T25" i="1" a="1"/>
  <c r="T27" i="1" a="1"/>
  <c r="T12" i="1" a="1"/>
  <c r="T17" i="1" a="1"/>
  <c r="T33" i="1" a="1"/>
  <c r="T13" i="1" a="1"/>
  <c r="F42" i="11" a="1"/>
  <c r="T4" i="1" a="1"/>
  <c r="T3" i="1" a="1"/>
  <c r="L43" i="11" l="1" a="1"/>
  <c r="L43" i="11" s="1"/>
  <c r="M43" i="11" a="1"/>
  <c r="M43" i="11" s="1"/>
  <c r="T12" i="1"/>
  <c r="T34" i="1"/>
  <c r="T33" i="1"/>
  <c r="T3" i="1"/>
  <c r="T14" i="1"/>
  <c r="T35" i="1"/>
  <c r="T17" i="1"/>
  <c r="T26" i="1"/>
  <c r="T25" i="1"/>
  <c r="T32" i="1"/>
  <c r="T4" i="1"/>
  <c r="T22" i="1"/>
  <c r="T27" i="1"/>
  <c r="T13" i="1"/>
  <c r="F42" i="11"/>
  <c r="E14" i="5"/>
  <c r="E13" i="5"/>
  <c r="E12" i="5"/>
  <c r="I42" i="11" a="1"/>
  <c r="G45" i="11" a="1"/>
  <c r="F44" i="11" a="1"/>
  <c r="G36" i="11" a="1"/>
  <c r="H36" i="11" a="1"/>
  <c r="F45" i="11" a="1"/>
  <c r="I45" i="11" a="1"/>
  <c r="F36" i="11" a="1"/>
  <c r="I37" i="11" a="1"/>
  <c r="I44" i="11" a="1"/>
  <c r="G44" i="11" a="1"/>
  <c r="I36" i="11" a="1"/>
  <c r="H42" i="11" a="1"/>
  <c r="D36" i="11" a="1"/>
  <c r="C44" i="11" a="1"/>
  <c r="C38" i="11" a="1"/>
  <c r="D44" i="11" a="1"/>
  <c r="D42" i="11" a="1"/>
  <c r="E36" i="11" a="1"/>
  <c r="C45" i="11" a="1"/>
  <c r="E42" i="11" a="1"/>
  <c r="D45" i="11" a="1"/>
  <c r="C37" i="11" a="1"/>
  <c r="I15" i="29" l="1"/>
  <c r="I16" i="29"/>
  <c r="E1" i="5" a="1"/>
  <c r="E1" i="5" s="1"/>
  <c r="I44" i="11"/>
  <c r="F45" i="11"/>
  <c r="G45" i="11"/>
  <c r="C38" i="11"/>
  <c r="I42" i="11"/>
  <c r="I45" i="11"/>
  <c r="G44" i="11"/>
  <c r="D42" i="11"/>
  <c r="H36" i="11"/>
  <c r="E36" i="11"/>
  <c r="I37" i="11"/>
  <c r="D44" i="11"/>
  <c r="G36" i="11"/>
  <c r="I36" i="11"/>
  <c r="D45" i="11"/>
  <c r="D36" i="11"/>
  <c r="F44" i="11"/>
  <c r="E42" i="11"/>
  <c r="C37" i="11"/>
  <c r="C44" i="11"/>
  <c r="H42" i="11"/>
  <c r="F36" i="11"/>
  <c r="C45" i="11"/>
  <c r="C49" i="11" l="1"/>
  <c r="M45" i="11" a="1"/>
  <c r="M45" i="11" s="1"/>
  <c r="M44" i="11" a="1"/>
  <c r="M44" i="11" s="1"/>
  <c r="M42" i="11" a="1"/>
  <c r="M42" i="11" s="1"/>
  <c r="M36" i="11" a="1"/>
  <c r="M36" i="11" s="1"/>
  <c r="L45" i="11" a="1"/>
  <c r="L45" i="11" s="1"/>
  <c r="L44" i="11" a="1"/>
  <c r="L44" i="11" s="1"/>
  <c r="L42" i="11" a="1"/>
  <c r="L42" i="11" s="1"/>
  <c r="L36" i="11" a="1"/>
  <c r="L36" i="11" s="1"/>
  <c r="K36" i="11"/>
  <c r="K45" i="11"/>
  <c r="H14" i="29" s="1"/>
  <c r="N44" i="11" a="1"/>
  <c r="N44" i="11" s="1"/>
  <c r="G17" i="29" s="1"/>
  <c r="N36" i="11" a="1"/>
  <c r="N36" i="11" s="1"/>
  <c r="K44" i="11"/>
  <c r="G14" i="29" s="1"/>
  <c r="N45" i="11" a="1"/>
  <c r="N45" i="11" s="1"/>
  <c r="H17" i="29" s="1"/>
  <c r="N43" i="11" a="1"/>
  <c r="N43" i="11" s="1"/>
  <c r="I17" i="29" s="1"/>
  <c r="K43" i="11"/>
  <c r="I14" i="29" s="1"/>
  <c r="K42" i="11"/>
  <c r="J14" i="29" s="1"/>
  <c r="N42" i="11" a="1"/>
  <c r="N42" i="11" s="1"/>
  <c r="J17" i="29" s="1"/>
  <c r="J15" i="29" l="1"/>
  <c r="G15" i="29"/>
  <c r="H15" i="29"/>
  <c r="J16" i="29"/>
  <c r="H16" i="29"/>
  <c r="G16" i="29"/>
  <c r="H39" i="11" l="1" a="1"/>
  <c r="H40" i="11" a="1"/>
  <c r="F35" i="11" a="1"/>
  <c r="I40" i="11" a="1"/>
  <c r="F40" i="11" a="1"/>
  <c r="F41" i="11" a="1"/>
  <c r="F39" i="11" a="1"/>
  <c r="I38" i="11" a="1"/>
  <c r="H35" i="11" a="1"/>
  <c r="G40" i="11" a="1"/>
  <c r="G39" i="11" a="1"/>
  <c r="F38" i="11" a="1"/>
  <c r="F37" i="11" a="1"/>
  <c r="G38" i="11" a="1"/>
  <c r="G37" i="11" a="1"/>
  <c r="G41" i="11" a="1"/>
  <c r="I41" i="11" a="1"/>
  <c r="G35" i="11" a="1"/>
  <c r="H41" i="11" a="1"/>
  <c r="I39" i="11" a="1"/>
  <c r="H37" i="11" a="1"/>
  <c r="H38" i="11" a="1"/>
  <c r="E37" i="11" a="1"/>
  <c r="F37" i="11" l="1"/>
  <c r="G39" i="11"/>
  <c r="G37" i="11"/>
  <c r="F38" i="11"/>
  <c r="G38" i="11"/>
  <c r="H38" i="11"/>
  <c r="H37" i="11"/>
  <c r="F35" i="11"/>
  <c r="I40" i="11"/>
  <c r="I38" i="11"/>
  <c r="G41" i="11"/>
  <c r="I41" i="11"/>
  <c r="F41" i="11"/>
  <c r="I39" i="11"/>
  <c r="G35" i="11"/>
  <c r="H39" i="11"/>
  <c r="H40" i="11"/>
  <c r="H35" i="11"/>
  <c r="F39" i="11"/>
  <c r="F40" i="11"/>
  <c r="H41" i="11"/>
  <c r="E37" i="11"/>
  <c r="G40" i="11"/>
  <c r="E39" i="11" a="1"/>
  <c r="D39" i="11" a="1"/>
  <c r="D39" i="11" l="1"/>
  <c r="E39" i="11"/>
  <c r="G49" i="11"/>
  <c r="H47" i="11"/>
  <c r="H48" i="11" s="1"/>
  <c r="I47" i="11"/>
  <c r="I48" i="11" s="1"/>
  <c r="I49" i="11"/>
  <c r="H49" i="11"/>
  <c r="G47" i="11"/>
  <c r="G48" i="11" s="1"/>
  <c r="F47" i="11"/>
  <c r="F48" i="11" s="1"/>
  <c r="F49" i="11"/>
  <c r="C41" i="11" a="1"/>
  <c r="E40" i="11" a="1"/>
  <c r="D41" i="11" a="1"/>
  <c r="D38" i="11" a="1"/>
  <c r="D37" i="11" a="1"/>
  <c r="E38" i="11" a="1"/>
  <c r="D35" i="11" a="1"/>
  <c r="C39" i="11" a="1"/>
  <c r="E35" i="11" a="1"/>
  <c r="E41" i="11" a="1"/>
  <c r="C40" i="11" a="1"/>
  <c r="D40" i="11" a="1"/>
  <c r="D41" i="11" l="1"/>
  <c r="E41" i="11"/>
  <c r="D38" i="11"/>
  <c r="C40" i="11"/>
  <c r="E35" i="11"/>
  <c r="D40" i="11"/>
  <c r="E40" i="11"/>
  <c r="C39" i="11"/>
  <c r="E38" i="11"/>
  <c r="E49" i="11" s="1"/>
  <c r="C41" i="11"/>
  <c r="D35" i="11"/>
  <c r="D37" i="11"/>
  <c r="L37" i="11" s="1" a="1"/>
  <c r="L37" i="11" s="1"/>
  <c r="N41" i="11" a="1"/>
  <c r="N41" i="11" s="1"/>
  <c r="K17" i="29" s="1"/>
  <c r="N39" i="11" a="1"/>
  <c r="N39" i="11" s="1"/>
  <c r="L17" i="29" s="1"/>
  <c r="L41" i="11" a="1"/>
  <c r="L41" i="11" s="1"/>
  <c r="K15" i="29" s="1"/>
  <c r="N38" i="11" a="1"/>
  <c r="N38" i="11" s="1"/>
  <c r="E17" i="29" s="1"/>
  <c r="K39" i="11"/>
  <c r="L14" i="29" s="1"/>
  <c r="M39" i="11" a="1"/>
  <c r="M39" i="11" s="1"/>
  <c r="L16" i="29" s="1"/>
  <c r="M41" i="11" a="1"/>
  <c r="M41" i="11" s="1"/>
  <c r="K16" i="29" s="1"/>
  <c r="L39" i="11" a="1"/>
  <c r="L39" i="11" s="1"/>
  <c r="L15" i="29" s="1"/>
  <c r="D47" i="11"/>
  <c r="D48" i="11" s="1"/>
  <c r="K41" i="11"/>
  <c r="K14" i="29" s="1"/>
  <c r="M40" i="11" a="1"/>
  <c r="M40" i="11" s="1"/>
  <c r="F16" i="29" s="1"/>
  <c r="C47" i="11"/>
  <c r="N40" i="11" a="1"/>
  <c r="N40" i="11" s="1"/>
  <c r="F17" i="29" s="1"/>
  <c r="L40" i="11" a="1"/>
  <c r="L40" i="11" s="1"/>
  <c r="F15" i="29" s="1"/>
  <c r="K40" i="11"/>
  <c r="F14" i="29" s="1"/>
  <c r="K37" i="11"/>
  <c r="D49" i="11"/>
  <c r="M37" i="11" a="1"/>
  <c r="M37" i="11" s="1"/>
  <c r="N37" i="11" a="1"/>
  <c r="N37" i="11" s="1"/>
  <c r="L38" i="11" l="1" a="1"/>
  <c r="L38" i="11" s="1"/>
  <c r="M38" i="11" a="1"/>
  <c r="M38" i="11" s="1"/>
  <c r="E16" i="29" s="1"/>
  <c r="K38" i="11"/>
  <c r="E14" i="29" s="1"/>
  <c r="E47" i="11"/>
  <c r="E48" i="11" s="1"/>
  <c r="K49" i="11"/>
  <c r="E47" i="29" s="1"/>
  <c r="D47" i="29"/>
  <c r="M47" i="11" a="1"/>
  <c r="M47" i="11" s="1"/>
  <c r="D16" i="29" s="1"/>
  <c r="N49" i="11"/>
  <c r="N47" i="11" a="1"/>
  <c r="N47" i="11" s="1"/>
  <c r="D17" i="29" s="1"/>
  <c r="K47" i="11"/>
  <c r="D14" i="29" s="1"/>
  <c r="L47" i="11" a="1"/>
  <c r="L47" i="11" s="1"/>
  <c r="D15" i="29" s="1"/>
  <c r="C47" i="29"/>
  <c r="S6" i="25" a="1"/>
  <c r="S6" i="25" s="1"/>
  <c r="W6" i="25" a="1"/>
  <c r="W6" i="25" s="1"/>
  <c r="N6" i="25" a="1"/>
  <c r="N6" i="25" s="1"/>
  <c r="P6" i="25" a="1"/>
  <c r="P6" i="25" s="1"/>
  <c r="G6" i="25" a="1"/>
  <c r="G6" i="25" s="1"/>
  <c r="AF7" i="25"/>
  <c r="H6" i="25" s="1" a="1"/>
  <c r="H6" i="25" s="1"/>
  <c r="AA6" i="25" a="1"/>
  <c r="AA6" i="25" s="1"/>
  <c r="M49" i="11" l="1"/>
  <c r="E15" i="29"/>
  <c r="L49" i="11"/>
  <c r="O6" i="25" a="1"/>
  <c r="O6" i="25" s="1"/>
  <c r="L6" i="25" a="1"/>
  <c r="L6" i="25" s="1"/>
  <c r="Y6" i="25" a="1"/>
  <c r="Y6" i="25" s="1"/>
  <c r="I6" i="25" a="1"/>
  <c r="I6" i="25" s="1"/>
  <c r="U6" i="25" a="1"/>
  <c r="U6" i="25" s="1"/>
  <c r="K6" i="25" a="1"/>
  <c r="K6" i="25" s="1"/>
  <c r="J6" i="25" a="1"/>
  <c r="J6" i="25" s="1"/>
  <c r="R6" i="25" a="1"/>
  <c r="R6" i="25" s="1"/>
  <c r="Q6" i="25" a="1"/>
  <c r="Q6" i="25" s="1"/>
  <c r="T6" i="25" a="1"/>
  <c r="T6" i="25" s="1"/>
  <c r="AD6" i="25" a="1"/>
  <c r="AD6" i="25" s="1"/>
  <c r="AB6" i="25" a="1"/>
  <c r="AB6" i="25" s="1"/>
  <c r="M6" i="25" a="1"/>
  <c r="M6" i="25" s="1"/>
  <c r="Z6" i="25" a="1"/>
  <c r="Z6" i="25" s="1"/>
  <c r="X6" i="25" a="1"/>
  <c r="X6" i="25" s="1"/>
  <c r="V6" i="25" a="1"/>
  <c r="V6" i="25" s="1"/>
  <c r="AC6" i="25" a="1"/>
  <c r="AC6" i="25" s="1"/>
  <c r="U2" i="5" a="1"/>
  <c r="P2" i="5" a="1"/>
  <c r="J2" i="5" a="1"/>
  <c r="S2" i="5" a="1"/>
  <c r="L2" i="5" a="1"/>
  <c r="K2" i="5" a="1"/>
  <c r="N2" i="5" a="1"/>
  <c r="E6" i="25" l="1" a="1"/>
  <c r="E6" i="25" s="1"/>
  <c r="L2" i="5"/>
  <c r="S2" i="5"/>
  <c r="U2" i="5"/>
  <c r="K2" i="5"/>
  <c r="N2" i="5"/>
  <c r="P2" i="5"/>
  <c r="J2" i="5"/>
  <c r="O2" i="5" a="1"/>
  <c r="O2" i="5" l="1"/>
  <c r="T2" i="5" a="1"/>
  <c r="Q2" i="5" a="1"/>
  <c r="M2" i="5" a="1"/>
  <c r="R2" i="5" a="1"/>
  <c r="C35" i="11" a="1"/>
  <c r="T2" i="5" l="1"/>
  <c r="C35" i="11"/>
  <c r="K35" i="11" s="1"/>
  <c r="C14" i="29" s="1"/>
  <c r="M2" i="5"/>
  <c r="R2" i="5"/>
  <c r="Q2" i="5"/>
  <c r="V2" i="5"/>
  <c r="W2" i="5" s="1"/>
  <c r="M35" i="11" a="1"/>
  <c r="M35" i="11" s="1"/>
  <c r="C48" i="11"/>
  <c r="L35" i="11" l="1" a="1"/>
  <c r="L35" i="11" s="1"/>
  <c r="C15" i="29" s="1"/>
  <c r="N35" i="11" a="1"/>
  <c r="N35" i="11" s="1"/>
  <c r="C17" i="29" s="1"/>
  <c r="K48" i="11"/>
  <c r="N14" i="29" s="1"/>
  <c r="B47" i="29"/>
  <c r="C16" i="29"/>
  <c r="M48" i="11"/>
  <c r="N48" i="11" l="1"/>
  <c r="N17" i="29" s="1"/>
  <c r="L48" i="11"/>
  <c r="N15" i="29" s="1"/>
  <c r="N16" i="29"/>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<sst xmlns="http://schemas.openxmlformats.org/spreadsheetml/2006/main" count="467" uniqueCount="187">
  <si>
    <t>ELECTRONICS PLATFORM - Projecta</t>
  </si>
  <si>
    <t>Task No</t>
  </si>
  <si>
    <t>PRJ NO</t>
  </si>
  <si>
    <t>Description/ Activity Note</t>
  </si>
  <si>
    <t>Project Objective</t>
  </si>
  <si>
    <t>Task Type</t>
  </si>
  <si>
    <t>Business unit</t>
  </si>
  <si>
    <t>Product Family</t>
  </si>
  <si>
    <t>Market Segment</t>
  </si>
  <si>
    <t>Application</t>
  </si>
  <si>
    <t>Customer</t>
  </si>
  <si>
    <t>Project Leader</t>
  </si>
  <si>
    <t>Orgin</t>
  </si>
  <si>
    <t>Engineer</t>
  </si>
  <si>
    <t>Priority</t>
  </si>
  <si>
    <t>Status</t>
  </si>
  <si>
    <t>Project 
received date</t>
  </si>
  <si>
    <t>Planned
End date</t>
  </si>
  <si>
    <t>Actual Start Date</t>
  </si>
  <si>
    <t>Estimated hours</t>
  </si>
  <si>
    <t>Actual Hours</t>
  </si>
  <si>
    <t>Actual 
End date</t>
  </si>
  <si>
    <t>Member Count</t>
  </si>
  <si>
    <t>Remarks</t>
  </si>
  <si>
    <t>PRJ_202601</t>
  </si>
  <si>
    <t>Setup FPGA design &amp; development framework</t>
  </si>
  <si>
    <t>Installation of all required softwares and tools, get access for repository  like Sharepoint, GIT , Source tree and arrange all necessary hardwares. Create a document describing the procedure required to setup a PC for working in firmware development environment using Vivado SDK</t>
  </si>
  <si>
    <t>TASK</t>
  </si>
  <si>
    <t>Projecta</t>
  </si>
  <si>
    <t>FPGA</t>
  </si>
  <si>
    <t>General</t>
  </si>
  <si>
    <t>Tile printing</t>
  </si>
  <si>
    <t>Aslam Khan</t>
  </si>
  <si>
    <t>Global</t>
  </si>
  <si>
    <t>12/03/2026: Keeping the project on Hold. SOP document completed and reviewed with Merlin. Hardware details yet to be collected. High prioriy to  Debug message optimization task.</t>
  </si>
  <si>
    <t>PRJ_202602</t>
  </si>
  <si>
    <t>Apollo - Digital printer</t>
  </si>
  <si>
    <t>Study of Apollo project documents and understanding of source code, remote virtual setup with PC, communication protocol between PC and Head driver card</t>
  </si>
  <si>
    <t>PRJ_202603</t>
  </si>
  <si>
    <t>Apollo - Debug message optimization</t>
  </si>
  <si>
    <t>Current controller (HDC) logs contain verbose message (unwanted) that include unnecessary working, this increases the log size. The objective is to simplyfy and optimize the log messages and maintain the essential diagnostic information. (Ticket number: 3275)</t>
  </si>
  <si>
    <t>Approval pending from projecta for proposed message formats</t>
  </si>
  <si>
    <t>PRJ_202604</t>
  </si>
  <si>
    <t>Setup Dotnet development environment</t>
  </si>
  <si>
    <t xml:space="preserve">Installation of all required softwares and tools, get access for repository  like Sharepoint, GIT , Source tree and arrange all necessary softwares. Create a document describing the procedure required to setup a PC for working in software development environment using MS Visual studio </t>
  </si>
  <si>
    <t>Dotnet Development</t>
  </si>
  <si>
    <t>Mounika Chitrala</t>
  </si>
  <si>
    <t>PRJ_202605</t>
  </si>
  <si>
    <t>SprintaIOT console application development</t>
  </si>
  <si>
    <t>Implement Fsyncro simulator and IoTPro service and communication between simulator and service using modbus protocol</t>
  </si>
  <si>
    <t>PRJ_202606</t>
  </si>
  <si>
    <t>Documentation of the Splitter module in Programmable Logic</t>
  </si>
  <si>
    <t>The purpose of this Ticket is to write a document that describe and documentate how the Splitter module in the Programmable Logic works. The document shall specify as well how parameters collected in the Media record structure from the Processing System are processed in the splitter module. (Ticket number: 3309)</t>
  </si>
  <si>
    <t>PRJ_202607</t>
  </si>
  <si>
    <t>Jyothish Chandra</t>
  </si>
  <si>
    <t>PRJ_202608</t>
  </si>
  <si>
    <t>Date of Joining</t>
  </si>
  <si>
    <t>S.No</t>
  </si>
  <si>
    <t>TASK NO</t>
  </si>
  <si>
    <t>Estimated Hours</t>
  </si>
  <si>
    <t>Monthly Total Hours</t>
  </si>
  <si>
    <t>JAN</t>
  </si>
  <si>
    <t>FEB</t>
  </si>
  <si>
    <t>MAR</t>
  </si>
  <si>
    <t>APR</t>
  </si>
  <si>
    <t>MAY</t>
  </si>
  <si>
    <t>JUN</t>
  </si>
  <si>
    <t>JUL</t>
  </si>
  <si>
    <t>AUG</t>
  </si>
  <si>
    <t>SEP</t>
  </si>
  <si>
    <t>OCT</t>
  </si>
  <si>
    <t>NOV</t>
  </si>
  <si>
    <t>DEC</t>
  </si>
  <si>
    <t>Est</t>
  </si>
  <si>
    <t>Total</t>
  </si>
  <si>
    <t>l</t>
  </si>
  <si>
    <t>A</t>
  </si>
  <si>
    <t>Operation Support</t>
  </si>
  <si>
    <t>B</t>
  </si>
  <si>
    <t>Sales Support</t>
  </si>
  <si>
    <t>C</t>
  </si>
  <si>
    <t>Strategic Goals</t>
  </si>
  <si>
    <t>D</t>
  </si>
  <si>
    <t>Stand-VAVE-MA-BM</t>
  </si>
  <si>
    <t>E</t>
  </si>
  <si>
    <t>TRAINING/EXPO/CONFERENCES</t>
  </si>
  <si>
    <t>Other Hours</t>
  </si>
  <si>
    <t>WIP</t>
  </si>
  <si>
    <t>COMPLETED</t>
  </si>
  <si>
    <t>HOLD</t>
  </si>
  <si>
    <t>S.NO</t>
  </si>
  <si>
    <t>NAME</t>
  </si>
  <si>
    <t>Joining Date @ Team</t>
  </si>
  <si>
    <t>Last Date @Team</t>
  </si>
  <si>
    <t>SL</t>
  </si>
  <si>
    <t>CL</t>
  </si>
  <si>
    <t>EL</t>
  </si>
  <si>
    <t>JANUARY</t>
  </si>
  <si>
    <t>FEBRUARY</t>
  </si>
  <si>
    <t>MARCH</t>
  </si>
  <si>
    <t>APRIL</t>
  </si>
  <si>
    <t>JUNE</t>
  </si>
  <si>
    <t>JULY</t>
  </si>
  <si>
    <t>AUGUST</t>
  </si>
  <si>
    <t>SEPTEMBER</t>
  </si>
  <si>
    <t>OCTOBER</t>
  </si>
  <si>
    <t>NOVEMBER</t>
  </si>
  <si>
    <t>DECEMBER</t>
  </si>
  <si>
    <t>AVAILED</t>
  </si>
  <si>
    <t>BALANCE</t>
  </si>
  <si>
    <t>Public Holidays</t>
  </si>
  <si>
    <t>Holiday List</t>
  </si>
  <si>
    <t>Date</t>
  </si>
  <si>
    <t>Pongal</t>
  </si>
  <si>
    <t>Republic Day</t>
  </si>
  <si>
    <t>Tamil New Year</t>
  </si>
  <si>
    <t>May Day</t>
  </si>
  <si>
    <t>Vinayakar Chathurthi</t>
  </si>
  <si>
    <t>Gandhi Jayanthi</t>
  </si>
  <si>
    <t>Ayutha Pooja</t>
  </si>
  <si>
    <t>Diwali</t>
  </si>
  <si>
    <t>Christmas</t>
  </si>
  <si>
    <t>Projects Status YTD.</t>
  </si>
  <si>
    <t>ELECTRONICS PLATFORM</t>
  </si>
  <si>
    <t>Projects YTD</t>
  </si>
  <si>
    <t>Total no of Projects</t>
  </si>
  <si>
    <t>Origin</t>
  </si>
  <si>
    <t>Completed</t>
  </si>
  <si>
    <t>Hold</t>
  </si>
  <si>
    <t>NYS</t>
  </si>
  <si>
    <t>India</t>
  </si>
  <si>
    <t/>
  </si>
  <si>
    <t>PLC Programming</t>
  </si>
  <si>
    <t>Software Development</t>
  </si>
  <si>
    <t>Month</t>
  </si>
  <si>
    <t>FOR COMPLETED ACTIVITIES</t>
  </si>
  <si>
    <t>Total Available Hours</t>
  </si>
  <si>
    <t>Estimated Hours (For Completed year)</t>
  </si>
  <si>
    <t>Estimated Hours (Completed activities)</t>
  </si>
  <si>
    <t>Actual Hours (Completed activities)</t>
  </si>
  <si>
    <t>Actual Hours (Other Hours)</t>
  </si>
  <si>
    <t>Actual Hours (WIP activities)</t>
  </si>
  <si>
    <t>Actual Hours (Trainings/Expo/Conferences)</t>
  </si>
  <si>
    <t>Actual Hours (Standardization/VAVE/ MA/BM Activities)</t>
  </si>
  <si>
    <t>Actual Hours (Operations Support)</t>
  </si>
  <si>
    <t>Actual Hours (Strategic Goal)</t>
  </si>
  <si>
    <t>Actual Hours (Sales Support)</t>
  </si>
  <si>
    <t>Actual Hours (Research)</t>
  </si>
  <si>
    <t>Total Actual Working Hours</t>
  </si>
  <si>
    <t>Efficiency wrt Available vs Actual Hours</t>
  </si>
  <si>
    <t>Efficiency wrt Estimated vs Actual (Completed)</t>
  </si>
  <si>
    <t>Segments</t>
  </si>
  <si>
    <t>Team Members</t>
  </si>
  <si>
    <t>Type</t>
  </si>
  <si>
    <t>Manager</t>
  </si>
  <si>
    <t>Quantitative</t>
  </si>
  <si>
    <t>Praveen</t>
  </si>
  <si>
    <t>PRJ</t>
  </si>
  <si>
    <t>Saravanan U</t>
  </si>
  <si>
    <t>PROJECTS YTD</t>
  </si>
  <si>
    <t>Summary</t>
  </si>
  <si>
    <t>Project Origin</t>
  </si>
  <si>
    <t>Platform name</t>
  </si>
  <si>
    <t xml:space="preserve"> Completed</t>
  </si>
  <si>
    <t>Active</t>
  </si>
  <si>
    <t>No of Persons</t>
  </si>
  <si>
    <t xml:space="preserve"> PLC Programming</t>
  </si>
  <si>
    <t>Grand Total</t>
  </si>
  <si>
    <t>Note: No of persons includes Manager count as extra</t>
  </si>
  <si>
    <t>EFFICIENCY (TOTAL HOURS)</t>
  </si>
  <si>
    <t>Platform Name</t>
  </si>
  <si>
    <t>Total Available hours</t>
  </si>
  <si>
    <t>Total Actual hours</t>
  </si>
  <si>
    <t>Actual hours for completed activites</t>
  </si>
  <si>
    <t>Actual hours for WIP activites</t>
  </si>
  <si>
    <t>Actual hours for Strategic goals</t>
  </si>
  <si>
    <t>Actual hours for Sales support</t>
  </si>
  <si>
    <t>Actual hours for Operations support</t>
  </si>
  <si>
    <t>Actual hours for Stand-VAVE-MA-BM Activities</t>
  </si>
  <si>
    <t>Actual hours for Trainings-Expo-Conferences</t>
  </si>
  <si>
    <t>Actual hours for Other Hours</t>
  </si>
  <si>
    <t>Actual hours for Research</t>
  </si>
  <si>
    <t>Efficiency</t>
  </si>
  <si>
    <t xml:space="preserve">Projecta </t>
  </si>
  <si>
    <t>EFFICIENCY (COMPLETED ACTIVITES)</t>
  </si>
  <si>
    <t>Estimated Hours
for Completed Activites</t>
  </si>
  <si>
    <t>Actual Hours
for Completed Activites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</si>
</sst>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14009]dd/mm/yy;@"/>
    <numFmt numFmtId="165" formatCode="0.0"/>
    <numFmt numFmtId="166" formatCode="ddd"/>
    <numFmt numFmtId="167" formatCode="dd"/>
    <numFmt numFmtId="168" formatCode="[$-14009]dd/mm/yyyy;@"/>
    <numFmt numFmtId="169" formatCode="[$-14009]dd\ mmmm\ yyyy;@"/>
    <numFmt numFmtId="170" formatCode=";;;"/>
    <numFmt numFmtId="171" formatCode="0.0;\-0.0;;@"/>
    <numFmt numFmtId="172" formatCode="[$-F800]dddd\,\ mmmm\ dd\,\ yyyy"/>
  </numFmts>
  <fonts count="28">
    <font>
      <sz val="11"/>
      <color theme="1"/>
      <name val="Aptos Narrow"/>
      <family val="2"/>
      <scheme val="minor"/>
    </font>
    <font>
      <sz val="11"/>
      <color theme="1"/>
      <name val="Aptos Narrow"/>
      <family val="2"/>
      <scheme val="minor"/>
    </font>
    <font>
      <sz val="11"/>
      <name val="Aptos Narrow"/>
      <family val="2"/>
      <scheme val="minor"/>
    </font>
    <font>
      <b/>
      <sz val="11"/>
      <color theme="9" tint="-0.499984740745262"/>
      <name val="Aptos Narrow"/>
      <family val="2"/>
      <scheme val="minor"/>
    </font>
    <font>
      <b/>
      <sz val="9"/>
      <name val="Aptos Narrow"/>
      <family val="2"/>
      <scheme val="minor"/>
    </font>
    <font>
      <b/>
      <sz val="9"/>
      <color rgb="FFFF0000"/>
      <name val="Aptos Narrow"/>
      <family val="2"/>
      <scheme val="minor"/>
    </font>
    <font>
      <sz val="9"/>
      <name val="Aptos Narrow"/>
      <family val="2"/>
      <scheme val="minor"/>
    </font>
    <font>
      <b/>
      <sz val="9"/>
      <color theme="1"/>
      <name val="Aptos Narrow"/>
      <family val="2"/>
      <scheme val="minor"/>
    </font>
    <font>
      <b/>
      <sz val="9"/>
      <color rgb="FFC00000"/>
      <name val="Aptos Narrow"/>
      <family val="2"/>
      <scheme val="minor"/>
    </font>
    <font>
      <sz val="9"/>
      <color theme="1"/>
      <name val="Aptos Narrow"/>
      <family val="2"/>
      <scheme val="minor"/>
    </font>
    <font>
      <sz val="9"/>
      <color rgb="FFC00000"/>
      <name val="Aptos Narrow"/>
      <family val="2"/>
      <scheme val="minor"/>
    </font>
    <font>
      <sz val="8"/>
      <name val="Aptos Narrow"/>
      <family val="2"/>
      <scheme val="minor"/>
    </font>
    <font>
      <b/>
      <sz val="11"/>
      <name val="Aptos Narrow"/>
      <family val="2"/>
      <scheme val="minor"/>
    </font>
    <font>
      <b/>
      <sz val="11"/>
      <color rgb="FFC00000"/>
      <name val="Aptos Narrow"/>
      <family val="2"/>
      <scheme val="minor"/>
    </font>
    <font>
      <sz val="11"/>
      <color rgb="FFC00000"/>
      <name val="Aptos Narrow"/>
      <family val="2"/>
      <scheme val="minor"/>
    </font>
    <font>
      <b/>
      <sz val="12"/>
      <color rgb="FFC00000"/>
      <name val="Aptos Narrow"/>
      <family val="2"/>
      <scheme val="minor"/>
    </font>
    <font>
      <b/>
      <sz val="12"/>
      <color theme="1"/>
      <name val="Aptos Narrow"/>
      <family val="2"/>
      <scheme val="minor"/>
    </font>
    <font>
      <sz val="12"/>
      <color theme="1"/>
      <name val="Aptos Narrow"/>
      <family val="2"/>
      <scheme val="minor"/>
    </font>
    <font>
      <sz val="9"/>
      <color theme="0" tint="-0.499984740745262"/>
      <name val="Aptos Narrow"/>
      <family val="2"/>
      <scheme val="minor"/>
    </font>
    <font>
      <b/>
      <sz val="11"/>
      <color theme="1"/>
      <name val="Aptos Narrow"/>
      <family val="2"/>
      <scheme val="minor"/>
    </font>
    <font>
      <b/>
      <sz val="16"/>
      <color rgb="FFC00000"/>
      <name val="Aptos Narrow"/>
      <family val="2"/>
      <scheme val="minor"/>
    </font>
    <font>
      <b/>
      <sz val="11"/>
      <color theme="3" tint="0.499984740745262"/>
      <name val="Aptos Narrow"/>
      <family val="2"/>
      <scheme val="minor"/>
    </font>
    <font>
      <b/>
      <sz val="11"/>
      <color rgb="FF0070C0"/>
      <name val="Aptos Narrow"/>
      <family val="2"/>
      <scheme val="minor"/>
    </font>
    <font>
      <b/>
      <sz val="11"/>
      <color rgb="FF1F497D"/>
      <name val="Aptos Narrow"/>
      <family val="2"/>
      <scheme val="minor"/>
    </font>
    <font>
      <b/>
      <sz val="18"/>
      <color rgb="FFC00000"/>
      <name val="Aptos Narrow"/>
      <family val="2"/>
      <scheme val="minor"/>
    </font>
    <font>
      <b/>
      <sz val="14"/>
      <color rgb="FFC00000"/>
      <name val="Aptos Narrow"/>
      <family val="2"/>
      <scheme val="minor"/>
    </font>
    <font>
      <sz val="11"/>
      <color rgb="FF242424"/>
      <name val="Aptos Narrow"/>
      <charset val="1"/>
    </font>
    <font>
      <sz val="11"/>
      <color rgb="FF000000"/>
      <name val="Aptos Narrow"/>
      <charset val="1"/>
    </font>
  </fonts>
  <fills count="17">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DDD9C4"/>
        <bgColor rgb="FF000000"/>
      </patternFill>
    </fill>
    <fill>
      <patternFill patternType="solid">
        <fgColor rgb="FFD9D9D9"/>
        <bgColor rgb="FF000000"/>
      </patternFill>
    </fill>
    <fill>
      <patternFill patternType="solid">
        <fgColor indexed="42"/>
        <bgColor indexed="64"/>
      </patternFill>
    </fill>
    <fill>
      <patternFill patternType="solid">
        <fgColor indexed="41"/>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3" tint="0.89999084444715716"/>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14999847407452621"/>
        <bgColor indexed="64"/>
      </patternFill>
    </fill>
  </fills>
  <borders count="46">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thin">
        <color rgb="FF000000"/>
      </left>
      <right style="thin">
        <color rgb="FF000000"/>
      </right>
      <top style="medium">
        <color indexed="64"/>
      </top>
      <bottom style="thin">
        <color rgb="FF000000"/>
      </bottom>
      <diagonal/>
    </border>
    <border>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rgb="FF000000"/>
      </left>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s>
  <cellStyleXfs count="4">
    <xf numFmtId="0" fontId="0" fillId="0" borderId="0"/>
    <xf numFmtId="0" fontId="1" fillId="0" borderId="0"/>
    <xf numFmtId="9" fontId="1" fillId="0" borderId="0" applyFont="0" applyFill="0" applyBorder="0" applyAlignment="0" applyProtection="0"/>
    <xf numFmtId="0" fontId="17" fillId="0" borderId="0"/>
  </cellStyleXfs>
  <cellXfs count="247">
    <xf numFmtId="0" fontId="0" fillId="0" borderId="0" xfId="0"/>
    <xf numFmtId="0" fontId="0" fillId="0" borderId="0" xfId="0" applyAlignment="1">
      <alignment horizontal="center" vertical="center"/>
    </xf>
    <xf numFmtId="0" fontId="0" fillId="0" borderId="0" xfId="0" applyAlignment="1">
      <alignment horizontal="center" vertical="center" wrapText="1"/>
    </xf>
    <xf numFmtId="0" fontId="4" fillId="0" borderId="4" xfId="0" applyFont="1" applyBorder="1" applyAlignment="1" applyProtection="1">
      <alignment horizontal="center" vertical="center"/>
      <protection locked="0"/>
    </xf>
    <xf numFmtId="0" fontId="0" fillId="0" borderId="3"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1" fontId="0" fillId="0" borderId="0" xfId="0" applyNumberFormat="1" applyAlignment="1">
      <alignment horizontal="center" vertical="center"/>
    </xf>
    <xf numFmtId="0" fontId="6" fillId="0" borderId="0" xfId="0" applyFont="1" applyAlignment="1">
      <alignment horizontal="center"/>
    </xf>
    <xf numFmtId="166" fontId="4" fillId="0" borderId="3" xfId="1" applyNumberFormat="1" applyFont="1" applyBorder="1" applyAlignment="1">
      <alignment horizontal="center" vertical="center"/>
    </xf>
    <xf numFmtId="167" fontId="4" fillId="0" borderId="3" xfId="1" applyNumberFormat="1" applyFont="1" applyBorder="1" applyAlignment="1">
      <alignment horizontal="center" vertical="center"/>
    </xf>
    <xf numFmtId="170" fontId="12" fillId="6" borderId="3" xfId="1" applyNumberFormat="1" applyFont="1" applyFill="1" applyBorder="1" applyAlignment="1">
      <alignment horizontal="center" vertical="center" wrapText="1"/>
    </xf>
    <xf numFmtId="1" fontId="12" fillId="6" borderId="3" xfId="1" applyNumberFormat="1" applyFont="1" applyFill="1" applyBorder="1" applyAlignment="1">
      <alignment horizontal="center" vertical="center" wrapText="1"/>
    </xf>
    <xf numFmtId="165" fontId="6" fillId="7" borderId="3" xfId="1" applyNumberFormat="1" applyFont="1" applyFill="1" applyBorder="1" applyAlignment="1">
      <alignment horizontal="center" vertical="center"/>
    </xf>
    <xf numFmtId="1" fontId="4" fillId="0" borderId="5" xfId="0" applyNumberFormat="1" applyFont="1" applyBorder="1" applyAlignment="1">
      <alignment horizontal="center" vertical="center"/>
    </xf>
    <xf numFmtId="0" fontId="0" fillId="0" borderId="5" xfId="0" applyBorder="1" applyAlignment="1">
      <alignment vertical="center" wrapText="1"/>
    </xf>
    <xf numFmtId="1" fontId="0" fillId="0" borderId="5" xfId="0" applyNumberFormat="1" applyBorder="1" applyAlignment="1">
      <alignment horizontal="center" vertical="center"/>
    </xf>
    <xf numFmtId="165" fontId="6" fillId="7" borderId="1" xfId="1" applyNumberFormat="1" applyFont="1" applyFill="1" applyBorder="1" applyAlignment="1">
      <alignment horizontal="center" vertical="center"/>
    </xf>
    <xf numFmtId="1" fontId="4" fillId="0" borderId="3" xfId="0" applyNumberFormat="1" applyFont="1" applyBorder="1" applyAlignment="1">
      <alignment horizontal="center" vertical="center"/>
    </xf>
    <xf numFmtId="0" fontId="0" fillId="0" borderId="3" xfId="0" applyBorder="1" applyAlignment="1">
      <alignment vertical="center" wrapText="1"/>
    </xf>
    <xf numFmtId="165" fontId="6" fillId="0" borderId="3" xfId="1" applyNumberFormat="1" applyFont="1" applyBorder="1" applyAlignment="1">
      <alignment horizontal="center" vertical="center"/>
    </xf>
    <xf numFmtId="0" fontId="19" fillId="0" borderId="0" xfId="0" applyFont="1"/>
    <xf numFmtId="0" fontId="0" fillId="0" borderId="5" xfId="0" applyBorder="1" applyAlignment="1">
      <alignment horizontal="center" vertical="center"/>
    </xf>
    <xf numFmtId="165" fontId="6" fillId="0" borderId="6" xfId="1" applyNumberFormat="1" applyFont="1" applyBorder="1" applyAlignment="1" applyProtection="1">
      <alignment horizontal="center" vertical="center"/>
      <protection locked="0"/>
    </xf>
    <xf numFmtId="165" fontId="6" fillId="0" borderId="3" xfId="1" applyNumberFormat="1" applyFont="1" applyBorder="1" applyAlignment="1" applyProtection="1">
      <alignment horizontal="center" vertical="center"/>
      <protection locked="0"/>
    </xf>
    <xf numFmtId="165" fontId="4" fillId="0" borderId="6" xfId="1" applyNumberFormat="1" applyFont="1" applyBorder="1" applyAlignment="1" applyProtection="1">
      <alignment horizontal="center" vertical="center"/>
      <protection locked="0"/>
    </xf>
    <xf numFmtId="0" fontId="0" fillId="0" borderId="0" xfId="0" applyProtection="1">
      <protection locked="0"/>
    </xf>
    <xf numFmtId="0" fontId="0" fillId="0" borderId="0" xfId="0" applyAlignment="1" applyProtection="1">
      <alignment horizontal="center" vertical="center"/>
      <protection locked="0"/>
    </xf>
    <xf numFmtId="170" fontId="4" fillId="7" borderId="3" xfId="1" applyNumberFormat="1" applyFont="1" applyFill="1" applyBorder="1" applyAlignment="1">
      <alignment horizontal="center" vertical="center"/>
    </xf>
    <xf numFmtId="165" fontId="4" fillId="7" borderId="6" xfId="1" applyNumberFormat="1" applyFont="1" applyFill="1" applyBorder="1" applyAlignment="1">
      <alignment horizontal="center" vertical="center"/>
    </xf>
    <xf numFmtId="166" fontId="4" fillId="0" borderId="18" xfId="1" applyNumberFormat="1" applyFont="1" applyBorder="1" applyAlignment="1">
      <alignment horizontal="center" vertical="center"/>
    </xf>
    <xf numFmtId="0" fontId="6" fillId="0" borderId="19" xfId="1" applyFont="1" applyBorder="1" applyAlignment="1">
      <alignment horizontal="center" vertical="center"/>
    </xf>
    <xf numFmtId="0" fontId="6" fillId="0" borderId="13" xfId="1" applyFont="1" applyBorder="1" applyAlignment="1">
      <alignment horizontal="center" vertical="center"/>
    </xf>
    <xf numFmtId="0" fontId="0" fillId="0" borderId="20" xfId="0" applyBorder="1" applyAlignment="1">
      <alignment horizontal="center" vertical="center"/>
    </xf>
    <xf numFmtId="0" fontId="6" fillId="0" borderId="0" xfId="0" applyFont="1" applyAlignment="1">
      <alignment horizontal="center" vertical="center"/>
    </xf>
    <xf numFmtId="0" fontId="0" fillId="0" borderId="20" xfId="0" applyBorder="1" applyAlignment="1">
      <alignment vertical="center"/>
    </xf>
    <xf numFmtId="0" fontId="0" fillId="0" borderId="22" xfId="0" applyBorder="1" applyAlignment="1">
      <alignment vertical="center"/>
    </xf>
    <xf numFmtId="0" fontId="0" fillId="0" borderId="23" xfId="0" applyBorder="1" applyAlignment="1">
      <alignment horizontal="center" vertical="center"/>
    </xf>
    <xf numFmtId="1" fontId="0" fillId="0" borderId="23" xfId="0" applyNumberFormat="1" applyBorder="1" applyAlignment="1">
      <alignment horizontal="center" vertical="center"/>
    </xf>
    <xf numFmtId="0" fontId="0" fillId="0" borderId="25" xfId="0" applyBorder="1" applyAlignment="1">
      <alignment vertical="center"/>
    </xf>
    <xf numFmtId="0" fontId="0" fillId="0" borderId="26" xfId="0" applyBorder="1" applyAlignment="1">
      <alignment horizontal="center" vertical="center"/>
    </xf>
    <xf numFmtId="0" fontId="0" fillId="0" borderId="26" xfId="0" applyBorder="1" applyAlignment="1">
      <alignment vertical="center" wrapText="1"/>
    </xf>
    <xf numFmtId="0" fontId="7" fillId="0" borderId="27" xfId="0" applyFont="1" applyBorder="1" applyAlignment="1">
      <alignment horizontal="center" vertical="center"/>
    </xf>
    <xf numFmtId="0" fontId="6" fillId="0" borderId="26" xfId="0" applyFont="1" applyBorder="1" applyAlignment="1">
      <alignment horizontal="center"/>
    </xf>
    <xf numFmtId="0" fontId="0" fillId="0" borderId="23" xfId="0" applyBorder="1" applyAlignment="1">
      <alignment horizontal="center" vertical="center" wrapText="1"/>
    </xf>
    <xf numFmtId="0" fontId="6" fillId="0" borderId="23" xfId="0" applyFont="1" applyBorder="1" applyAlignment="1">
      <alignment horizontal="center" vertical="center"/>
    </xf>
    <xf numFmtId="165" fontId="6" fillId="0" borderId="18" xfId="1" applyNumberFormat="1" applyFon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165" fontId="0" fillId="0" borderId="21" xfId="0" applyNumberFormat="1" applyBorder="1" applyAlignment="1" applyProtection="1">
      <alignment horizontal="center" vertical="center"/>
      <protection locked="0"/>
    </xf>
    <xf numFmtId="0" fontId="0" fillId="0" borderId="21" xfId="0" applyBorder="1" applyProtection="1">
      <protection locked="0"/>
    </xf>
    <xf numFmtId="0" fontId="0" fillId="0" borderId="23" xfId="0" applyBorder="1" applyAlignment="1" applyProtection="1">
      <alignment horizontal="center" vertical="center"/>
      <protection locked="0"/>
    </xf>
    <xf numFmtId="0" fontId="0" fillId="0" borderId="23" xfId="0" applyBorder="1" applyProtection="1">
      <protection locked="0"/>
    </xf>
    <xf numFmtId="0" fontId="0" fillId="0" borderId="24" xfId="0" applyBorder="1" applyProtection="1">
      <protection locked="0"/>
    </xf>
    <xf numFmtId="49" fontId="0" fillId="0" borderId="0" xfId="0" applyNumberFormat="1" applyProtection="1">
      <protection locked="0"/>
    </xf>
    <xf numFmtId="0" fontId="0" fillId="0" borderId="0" xfId="0" applyAlignment="1" applyProtection="1">
      <alignment wrapText="1"/>
      <protection locked="0"/>
    </xf>
    <xf numFmtId="0" fontId="0" fillId="3" borderId="0" xfId="0" applyFill="1" applyProtection="1">
      <protection locked="0"/>
    </xf>
    <xf numFmtId="0" fontId="0" fillId="0" borderId="3" xfId="0" applyBorder="1" applyAlignment="1">
      <alignment horizontal="center" vertical="center" wrapText="1"/>
    </xf>
    <xf numFmtId="0" fontId="0" fillId="0" borderId="0" xfId="0" applyAlignment="1">
      <alignment wrapText="1"/>
    </xf>
    <xf numFmtId="14" fontId="0" fillId="0" borderId="3" xfId="0" applyNumberFormat="1" applyBorder="1" applyAlignment="1">
      <alignment horizontal="center" vertical="center"/>
    </xf>
    <xf numFmtId="1" fontId="0" fillId="0" borderId="0" xfId="0" applyNumberFormat="1"/>
    <xf numFmtId="0" fontId="0" fillId="0" borderId="0" xfId="0" applyAlignment="1">
      <alignment horizontal="center"/>
    </xf>
    <xf numFmtId="14" fontId="2" fillId="3" borderId="3" xfId="0" applyNumberFormat="1" applyFont="1" applyFill="1" applyBorder="1" applyAlignment="1">
      <alignment horizontal="center" vertical="center"/>
    </xf>
    <xf numFmtId="0" fontId="15" fillId="8" borderId="13" xfId="0" applyFont="1" applyFill="1" applyBorder="1" applyAlignment="1">
      <alignment horizontal="center" vertical="center"/>
    </xf>
    <xf numFmtId="1" fontId="14" fillId="11" borderId="3" xfId="0" applyNumberFormat="1" applyFont="1" applyFill="1" applyBorder="1" applyAlignment="1">
      <alignment horizontal="center" vertical="center"/>
    </xf>
    <xf numFmtId="0" fontId="15" fillId="8" borderId="15" xfId="0" applyFont="1" applyFill="1" applyBorder="1" applyAlignment="1">
      <alignment horizontal="center" vertical="center"/>
    </xf>
    <xf numFmtId="1" fontId="14" fillId="11" borderId="30" xfId="0" applyNumberFormat="1" applyFont="1" applyFill="1" applyBorder="1" applyAlignment="1">
      <alignment horizontal="center" vertical="center"/>
    </xf>
    <xf numFmtId="0" fontId="16" fillId="10" borderId="15" xfId="0" applyFont="1" applyFill="1" applyBorder="1" applyAlignment="1">
      <alignment horizontal="center" vertical="center"/>
    </xf>
    <xf numFmtId="0" fontId="4" fillId="0" borderId="11" xfId="0" applyFont="1" applyBorder="1" applyAlignment="1">
      <alignment horizontal="left" vertical="center"/>
    </xf>
    <xf numFmtId="0" fontId="6" fillId="0" borderId="11" xfId="0" applyFont="1" applyBorder="1" applyAlignment="1">
      <alignment horizontal="center" vertical="center"/>
    </xf>
    <xf numFmtId="0" fontId="6" fillId="0" borderId="11" xfId="0" applyFont="1" applyBorder="1"/>
    <xf numFmtId="0" fontId="18" fillId="0" borderId="11" xfId="0" applyFont="1" applyBorder="1"/>
    <xf numFmtId="0" fontId="6" fillId="0" borderId="0" xfId="0" applyFont="1"/>
    <xf numFmtId="0" fontId="8" fillId="8" borderId="3" xfId="0" applyFont="1" applyFill="1" applyBorder="1" applyAlignment="1">
      <alignment horizontal="center" vertical="center"/>
    </xf>
    <xf numFmtId="0" fontId="8" fillId="10" borderId="1" xfId="0" applyFont="1" applyFill="1" applyBorder="1" applyAlignment="1">
      <alignment horizontal="left" vertical="center"/>
    </xf>
    <xf numFmtId="165" fontId="9" fillId="10" borderId="3" xfId="0" applyNumberFormat="1" applyFont="1" applyFill="1" applyBorder="1" applyAlignment="1">
      <alignment horizontal="center" vertical="center"/>
    </xf>
    <xf numFmtId="165" fontId="8" fillId="10" borderId="3" xfId="0" applyNumberFormat="1" applyFont="1" applyFill="1" applyBorder="1" applyAlignment="1">
      <alignment horizontal="center"/>
    </xf>
    <xf numFmtId="165" fontId="8" fillId="9" borderId="6" xfId="0" applyNumberFormat="1" applyFont="1" applyFill="1" applyBorder="1" applyAlignment="1">
      <alignment horizontal="center"/>
    </xf>
    <xf numFmtId="0" fontId="8" fillId="12" borderId="3" xfId="0" applyFont="1" applyFill="1" applyBorder="1" applyAlignment="1">
      <alignment horizontal="left" vertical="center"/>
    </xf>
    <xf numFmtId="165" fontId="8" fillId="12" borderId="6" xfId="0" applyNumberFormat="1" applyFont="1" applyFill="1" applyBorder="1" applyAlignment="1">
      <alignment horizontal="center"/>
    </xf>
    <xf numFmtId="10" fontId="8" fillId="13" borderId="1" xfId="2" applyNumberFormat="1" applyFont="1" applyFill="1" applyBorder="1" applyAlignment="1" applyProtection="1">
      <alignment horizontal="left" vertical="center"/>
    </xf>
    <xf numFmtId="10" fontId="8" fillId="13" borderId="3" xfId="2" quotePrefix="1" applyNumberFormat="1" applyFont="1" applyFill="1" applyBorder="1" applyAlignment="1" applyProtection="1">
      <alignment horizontal="center"/>
    </xf>
    <xf numFmtId="10" fontId="8" fillId="13" borderId="3" xfId="2" applyNumberFormat="1" applyFont="1" applyFill="1" applyBorder="1" applyAlignment="1" applyProtection="1">
      <alignment horizontal="center"/>
    </xf>
    <xf numFmtId="0" fontId="8" fillId="0" borderId="0" xfId="0" applyFont="1" applyAlignment="1">
      <alignment horizontal="left" vertical="center"/>
    </xf>
    <xf numFmtId="169" fontId="10" fillId="0" borderId="0" xfId="0" applyNumberFormat="1" applyFont="1" applyAlignment="1">
      <alignment horizontal="center" vertical="center"/>
    </xf>
    <xf numFmtId="10" fontId="10" fillId="0" borderId="0" xfId="0" applyNumberFormat="1" applyFont="1" applyAlignment="1">
      <alignment horizontal="center" vertical="center"/>
    </xf>
    <xf numFmtId="10" fontId="0" fillId="0" borderId="0" xfId="0" applyNumberFormat="1"/>
    <xf numFmtId="0" fontId="15" fillId="8" borderId="19" xfId="0" applyFont="1" applyFill="1" applyBorder="1" applyAlignment="1">
      <alignment horizontal="center" vertical="center"/>
    </xf>
    <xf numFmtId="1" fontId="14" fillId="11" borderId="5" xfId="0" applyNumberFormat="1" applyFont="1" applyFill="1" applyBorder="1" applyAlignment="1">
      <alignment horizontal="center" vertical="center"/>
    </xf>
    <xf numFmtId="1" fontId="14" fillId="11" borderId="32" xfId="0" applyNumberFormat="1" applyFont="1" applyFill="1" applyBorder="1" applyAlignment="1">
      <alignment horizontal="center" vertical="center"/>
    </xf>
    <xf numFmtId="168" fontId="15" fillId="10" borderId="12" xfId="0" applyNumberFormat="1" applyFont="1" applyFill="1" applyBorder="1" applyAlignment="1">
      <alignment horizontal="center" vertical="center"/>
    </xf>
    <xf numFmtId="0" fontId="7" fillId="0" borderId="3" xfId="0" applyFont="1" applyBorder="1" applyAlignment="1">
      <alignment horizontal="center" vertical="center"/>
    </xf>
    <xf numFmtId="0" fontId="7" fillId="0" borderId="3" xfId="0" applyFont="1" applyBorder="1" applyAlignment="1">
      <alignment horizontal="center" vertical="center" wrapText="1"/>
    </xf>
    <xf numFmtId="2" fontId="8" fillId="0" borderId="3" xfId="0" applyNumberFormat="1" applyFont="1" applyBorder="1" applyAlignment="1">
      <alignment horizontal="center" vertical="center" wrapText="1"/>
    </xf>
    <xf numFmtId="0" fontId="8" fillId="0" borderId="3" xfId="0" applyFont="1" applyBorder="1" applyAlignment="1">
      <alignment horizontal="center" vertical="center"/>
    </xf>
    <xf numFmtId="0" fontId="7" fillId="0" borderId="3" xfId="0" applyFont="1" applyBorder="1" applyAlignment="1">
      <alignment horizontal="left" vertical="center"/>
    </xf>
    <xf numFmtId="14" fontId="7" fillId="0" borderId="3" xfId="0" applyNumberFormat="1" applyFont="1" applyBorder="1" applyAlignment="1">
      <alignment horizontal="center" vertical="center"/>
    </xf>
    <xf numFmtId="2" fontId="8" fillId="0" borderId="3" xfId="0" applyNumberFormat="1" applyFont="1" applyBorder="1" applyAlignment="1">
      <alignment horizontal="center" vertical="center"/>
    </xf>
    <xf numFmtId="0" fontId="9" fillId="0" borderId="3" xfId="0" applyFont="1" applyBorder="1" applyAlignment="1">
      <alignment horizontal="center" vertical="center"/>
    </xf>
    <xf numFmtId="171" fontId="9" fillId="0" borderId="3" xfId="0" applyNumberFormat="1" applyFont="1" applyBorder="1" applyAlignment="1">
      <alignment horizontal="center" vertical="center"/>
    </xf>
    <xf numFmtId="165" fontId="7" fillId="0" borderId="3" xfId="0" applyNumberFormat="1" applyFont="1" applyBorder="1" applyAlignment="1">
      <alignment horizontal="center" vertical="center"/>
    </xf>
    <xf numFmtId="14" fontId="5" fillId="0" borderId="3" xfId="0" applyNumberFormat="1" applyFont="1" applyBorder="1" applyAlignment="1">
      <alignment horizontal="center" vertical="center"/>
    </xf>
    <xf numFmtId="165" fontId="9" fillId="0" borderId="3" xfId="0" applyNumberFormat="1" applyFont="1" applyBorder="1" applyAlignment="1">
      <alignment horizontal="center" vertical="center"/>
    </xf>
    <xf numFmtId="0" fontId="9" fillId="0" borderId="3" xfId="0" applyFont="1" applyBorder="1"/>
    <xf numFmtId="0" fontId="8" fillId="8" borderId="1" xfId="0" applyFont="1" applyFill="1" applyBorder="1" applyAlignment="1">
      <alignment horizontal="center" vertical="center"/>
    </xf>
    <xf numFmtId="0" fontId="8" fillId="8" borderId="6" xfId="0" applyFont="1" applyFill="1" applyBorder="1" applyAlignment="1">
      <alignment horizontal="center" vertical="center"/>
    </xf>
    <xf numFmtId="0" fontId="8" fillId="8" borderId="4" xfId="0" applyFont="1" applyFill="1" applyBorder="1" applyAlignment="1">
      <alignment horizontal="center" vertical="center"/>
    </xf>
    <xf numFmtId="0" fontId="4" fillId="9" borderId="1" xfId="0" applyFont="1" applyFill="1" applyBorder="1" applyAlignment="1">
      <alignment horizontal="left" vertical="center"/>
    </xf>
    <xf numFmtId="0" fontId="4" fillId="9" borderId="6" xfId="0" applyFont="1" applyFill="1" applyBorder="1" applyAlignment="1">
      <alignment horizontal="left" vertical="center"/>
    </xf>
    <xf numFmtId="14" fontId="4" fillId="2" borderId="3" xfId="0" applyNumberFormat="1" applyFont="1" applyFill="1" applyBorder="1" applyAlignment="1">
      <alignment horizontal="center" vertical="center"/>
    </xf>
    <xf numFmtId="14" fontId="4" fillId="2" borderId="5" xfId="0" applyNumberFormat="1" applyFont="1" applyFill="1" applyBorder="1" applyAlignment="1">
      <alignment horizontal="center" vertical="center"/>
    </xf>
    <xf numFmtId="0" fontId="0" fillId="0" borderId="0" xfId="0" quotePrefix="1"/>
    <xf numFmtId="0" fontId="3" fillId="0" borderId="0" xfId="0" applyFont="1" applyAlignment="1">
      <alignment horizontal="center" vertical="center" wrapText="1"/>
    </xf>
    <xf numFmtId="0" fontId="0" fillId="0" borderId="0" xfId="0" applyAlignment="1">
      <alignment horizontal="left" vertical="center"/>
    </xf>
    <xf numFmtId="0" fontId="2" fillId="0" borderId="0" xfId="0" applyFont="1" applyAlignment="1">
      <alignment horizontal="center" vertical="center"/>
    </xf>
    <xf numFmtId="0" fontId="6" fillId="0" borderId="26" xfId="0" applyFont="1" applyBorder="1" applyAlignment="1" applyProtection="1">
      <alignment horizontal="center"/>
      <protection locked="0"/>
    </xf>
    <xf numFmtId="0" fontId="0" fillId="0" borderId="26" xfId="0" applyBorder="1" applyProtection="1">
      <protection locked="0"/>
    </xf>
    <xf numFmtId="0" fontId="0" fillId="0" borderId="28" xfId="0" applyBorder="1" applyProtection="1">
      <protection locked="0"/>
    </xf>
    <xf numFmtId="165" fontId="6" fillId="0" borderId="18" xfId="1" applyNumberFormat="1" applyFont="1" applyBorder="1" applyAlignment="1">
      <alignment horizontal="center" vertical="center"/>
    </xf>
    <xf numFmtId="165" fontId="4" fillId="0" borderId="3" xfId="1" applyNumberFormat="1" applyFont="1" applyBorder="1" applyAlignment="1" applyProtection="1">
      <alignment horizontal="center" vertical="center"/>
      <protection locked="0"/>
    </xf>
    <xf numFmtId="165" fontId="4" fillId="0" borderId="18" xfId="1" applyNumberFormat="1" applyFont="1" applyBorder="1" applyAlignment="1" applyProtection="1">
      <alignment horizontal="center" vertical="center"/>
      <protection locked="0"/>
    </xf>
    <xf numFmtId="49" fontId="21" fillId="5" borderId="3" xfId="0" applyNumberFormat="1" applyFont="1" applyFill="1" applyBorder="1" applyAlignment="1" applyProtection="1">
      <alignment horizontal="center" vertical="center" wrapText="1"/>
      <protection locked="0"/>
    </xf>
    <xf numFmtId="1" fontId="22" fillId="5" borderId="3" xfId="0" applyNumberFormat="1" applyFont="1" applyFill="1" applyBorder="1" applyAlignment="1" applyProtection="1">
      <alignment horizontal="center" vertical="center" textRotation="90" wrapText="1"/>
      <protection locked="0"/>
    </xf>
    <xf numFmtId="49" fontId="22" fillId="5" borderId="3" xfId="0" applyNumberFormat="1" applyFont="1" applyFill="1" applyBorder="1" applyAlignment="1" applyProtection="1">
      <alignment horizontal="center" vertical="center" textRotation="90" wrapText="1"/>
      <protection locked="0"/>
    </xf>
    <xf numFmtId="14" fontId="12" fillId="5" borderId="3" xfId="0" applyNumberFormat="1" applyFont="1" applyFill="1" applyBorder="1" applyAlignment="1">
      <alignment horizontal="center" vertical="center" textRotation="90" wrapText="1"/>
    </xf>
    <xf numFmtId="164" fontId="22" fillId="5" borderId="3" xfId="0" applyNumberFormat="1" applyFont="1" applyFill="1" applyBorder="1" applyAlignment="1" applyProtection="1">
      <alignment horizontal="center" vertical="center" textRotation="90" wrapText="1"/>
      <protection locked="0"/>
    </xf>
    <xf numFmtId="1" fontId="12" fillId="5" borderId="3" xfId="0" applyNumberFormat="1" applyFont="1" applyFill="1" applyBorder="1" applyAlignment="1">
      <alignment horizontal="center" vertical="center" textRotation="90" wrapText="1"/>
    </xf>
    <xf numFmtId="164" fontId="12" fillId="5" borderId="3" xfId="0" applyNumberFormat="1" applyFont="1" applyFill="1" applyBorder="1" applyAlignment="1">
      <alignment horizontal="center" vertical="center" textRotation="90" wrapText="1"/>
    </xf>
    <xf numFmtId="0" fontId="0" fillId="0" borderId="3" xfId="0"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23" fillId="4" borderId="3" xfId="0" applyFont="1" applyFill="1" applyBorder="1" applyAlignment="1" applyProtection="1">
      <alignment horizontal="centerContinuous" vertical="center"/>
      <protection locked="0"/>
    </xf>
    <xf numFmtId="0" fontId="23" fillId="4" borderId="3" xfId="0" applyFont="1" applyFill="1" applyBorder="1" applyAlignment="1">
      <alignment horizontal="centerContinuous" vertical="center" wrapText="1"/>
    </xf>
    <xf numFmtId="0" fontId="23" fillId="4" borderId="3" xfId="0" applyFont="1" applyFill="1" applyBorder="1" applyAlignment="1">
      <alignment horizontal="centerContinuous" vertical="center"/>
    </xf>
    <xf numFmtId="14" fontId="23" fillId="4" borderId="3" xfId="0" applyNumberFormat="1" applyFont="1" applyFill="1" applyBorder="1" applyAlignment="1" applyProtection="1">
      <alignment horizontal="centerContinuous" vertical="center"/>
      <protection locked="0"/>
    </xf>
    <xf numFmtId="14" fontId="23" fillId="4" borderId="3" xfId="0" applyNumberFormat="1" applyFont="1" applyFill="1" applyBorder="1" applyAlignment="1">
      <alignment horizontal="centerContinuous" vertical="center"/>
    </xf>
    <xf numFmtId="1" fontId="23" fillId="4" borderId="3" xfId="0" applyNumberFormat="1" applyFont="1" applyFill="1" applyBorder="1" applyAlignment="1">
      <alignment horizontal="centerContinuous" vertical="center"/>
    </xf>
    <xf numFmtId="1" fontId="2" fillId="3" borderId="3" xfId="0" applyNumberFormat="1" applyFont="1" applyFill="1" applyBorder="1" applyAlignment="1" applyProtection="1">
      <alignment horizontal="center" vertical="center"/>
      <protection locked="0"/>
    </xf>
    <xf numFmtId="1" fontId="2" fillId="3" borderId="3" xfId="0" applyNumberFormat="1" applyFont="1" applyFill="1" applyBorder="1" applyAlignment="1" applyProtection="1">
      <alignment horizontal="center" vertical="center" wrapText="1"/>
      <protection locked="0"/>
    </xf>
    <xf numFmtId="14" fontId="2" fillId="3" borderId="3" xfId="0" applyNumberFormat="1" applyFont="1" applyFill="1" applyBorder="1" applyAlignment="1" applyProtection="1">
      <alignment horizontal="center" vertical="center"/>
      <protection locked="0"/>
    </xf>
    <xf numFmtId="49" fontId="2" fillId="3" borderId="3" xfId="0" applyNumberFormat="1" applyFont="1" applyFill="1" applyBorder="1" applyAlignment="1" applyProtection="1">
      <alignment horizontal="center" vertical="center"/>
      <protection locked="0"/>
    </xf>
    <xf numFmtId="14" fontId="0" fillId="0" borderId="3" xfId="0" applyNumberFormat="1" applyBorder="1" applyAlignment="1" applyProtection="1">
      <alignment horizontal="center" vertical="center"/>
      <protection locked="0"/>
    </xf>
    <xf numFmtId="165" fontId="9" fillId="10" borderId="6" xfId="0" applyNumberFormat="1" applyFont="1" applyFill="1" applyBorder="1" applyAlignment="1">
      <alignment horizontal="center" vertical="center"/>
    </xf>
    <xf numFmtId="0" fontId="8" fillId="10" borderId="3" xfId="0" applyFont="1" applyFill="1" applyBorder="1" applyAlignment="1">
      <alignment horizontal="left" vertical="center"/>
    </xf>
    <xf numFmtId="165" fontId="8" fillId="0" borderId="3" xfId="0" applyNumberFormat="1" applyFont="1" applyBorder="1" applyAlignment="1">
      <alignment horizontal="center" vertical="center"/>
    </xf>
    <xf numFmtId="49" fontId="0" fillId="3" borderId="3" xfId="0" applyNumberFormat="1" applyFill="1" applyBorder="1" applyAlignment="1" applyProtection="1">
      <alignment horizontal="center" vertical="center"/>
      <protection locked="0"/>
    </xf>
    <xf numFmtId="168" fontId="13" fillId="9" borderId="5" xfId="0" applyNumberFormat="1" applyFont="1" applyFill="1" applyBorder="1" applyAlignment="1">
      <alignment horizontal="center" vertical="center"/>
    </xf>
    <xf numFmtId="168" fontId="13" fillId="15" borderId="5" xfId="0" applyNumberFormat="1" applyFont="1" applyFill="1" applyBorder="1" applyAlignment="1">
      <alignment horizontal="center" vertical="center"/>
    </xf>
    <xf numFmtId="1" fontId="14" fillId="0" borderId="3" xfId="0" applyNumberFormat="1" applyFont="1" applyBorder="1" applyAlignment="1">
      <alignment horizontal="center" vertical="center" wrapText="1"/>
    </xf>
    <xf numFmtId="1" fontId="14" fillId="0" borderId="3" xfId="0" applyNumberFormat="1" applyFont="1" applyBorder="1" applyAlignment="1">
      <alignment horizontal="center" vertical="center"/>
    </xf>
    <xf numFmtId="0" fontId="13" fillId="10" borderId="3" xfId="0" applyFont="1" applyFill="1" applyBorder="1" applyAlignment="1" applyProtection="1">
      <alignment horizontal="center" vertical="center"/>
      <protection locked="0"/>
    </xf>
    <xf numFmtId="0" fontId="13" fillId="10" borderId="3" xfId="0" applyFont="1" applyFill="1" applyBorder="1" applyAlignment="1">
      <alignment horizontal="center" vertical="center"/>
    </xf>
    <xf numFmtId="1" fontId="13" fillId="10" borderId="3" xfId="0" applyNumberFormat="1" applyFont="1" applyFill="1" applyBorder="1" applyAlignment="1">
      <alignment horizontal="center" vertical="center"/>
    </xf>
    <xf numFmtId="168" fontId="13" fillId="15" borderId="3" xfId="0" applyNumberFormat="1" applyFont="1" applyFill="1" applyBorder="1" applyAlignment="1">
      <alignment horizontal="center" vertical="center" wrapText="1"/>
    </xf>
    <xf numFmtId="2" fontId="14" fillId="0" borderId="3" xfId="0" applyNumberFormat="1" applyFont="1" applyBorder="1" applyAlignment="1">
      <alignment horizontal="center" vertical="center" wrapText="1"/>
    </xf>
    <xf numFmtId="10" fontId="14" fillId="0" borderId="3" xfId="0" applyNumberFormat="1" applyFont="1" applyBorder="1" applyAlignment="1">
      <alignment horizontal="center" vertical="center" wrapText="1"/>
    </xf>
    <xf numFmtId="1" fontId="14" fillId="0" borderId="0" xfId="0" applyNumberFormat="1" applyFont="1" applyAlignment="1">
      <alignment horizontal="center" vertical="center"/>
    </xf>
    <xf numFmtId="0" fontId="0" fillId="3" borderId="0" xfId="0" applyFill="1" applyAlignment="1">
      <alignment horizontal="center" vertical="center" wrapText="1"/>
    </xf>
    <xf numFmtId="165" fontId="0" fillId="3" borderId="0" xfId="0" applyNumberFormat="1" applyFill="1" applyAlignment="1">
      <alignment horizontal="center" vertical="center" wrapText="1"/>
    </xf>
    <xf numFmtId="0" fontId="14" fillId="0" borderId="3" xfId="0" applyFont="1" applyBorder="1" applyAlignment="1">
      <alignment horizontal="center" vertical="center" wrapText="1"/>
    </xf>
    <xf numFmtId="0" fontId="14" fillId="0" borderId="0" xfId="0" applyFont="1" applyAlignment="1">
      <alignment horizontal="center" vertical="center" wrapText="1"/>
    </xf>
    <xf numFmtId="1" fontId="14" fillId="0" borderId="0" xfId="0" applyNumberFormat="1" applyFont="1" applyAlignment="1">
      <alignment horizontal="center" vertical="center" wrapText="1"/>
    </xf>
    <xf numFmtId="9" fontId="14" fillId="0" borderId="0" xfId="2" applyFont="1" applyBorder="1" applyAlignment="1" applyProtection="1">
      <alignment horizontal="center" vertical="center" wrapText="1"/>
    </xf>
    <xf numFmtId="10" fontId="14" fillId="0" borderId="0" xfId="2" applyNumberFormat="1" applyFont="1" applyBorder="1" applyAlignment="1" applyProtection="1">
      <alignment horizontal="center" vertical="center" wrapText="1"/>
    </xf>
    <xf numFmtId="0" fontId="25" fillId="3" borderId="0" xfId="0" applyFont="1" applyFill="1" applyAlignment="1">
      <alignment horizontal="center" vertical="center" wrapText="1"/>
    </xf>
    <xf numFmtId="168" fontId="13" fillId="3" borderId="0" xfId="0" applyNumberFormat="1" applyFont="1" applyFill="1" applyAlignment="1">
      <alignment horizontal="center" vertical="center" wrapText="1"/>
    </xf>
    <xf numFmtId="0" fontId="14" fillId="3" borderId="0" xfId="0" applyFont="1" applyFill="1" applyAlignment="1" applyProtection="1">
      <alignment horizontal="center" vertical="center" wrapText="1"/>
      <protection locked="0"/>
    </xf>
    <xf numFmtId="10" fontId="14" fillId="0" borderId="3" xfId="2" applyNumberFormat="1" applyFont="1" applyBorder="1" applyAlignment="1" applyProtection="1">
      <alignment horizontal="center" vertical="center" wrapText="1"/>
    </xf>
    <xf numFmtId="0" fontId="0" fillId="0" borderId="0" xfId="0" applyAlignment="1">
      <alignment horizontal="left"/>
    </xf>
    <xf numFmtId="1" fontId="2" fillId="3" borderId="1" xfId="0" applyNumberFormat="1" applyFont="1" applyFill="1" applyBorder="1" applyAlignment="1">
      <alignment horizontal="center" vertical="center"/>
    </xf>
    <xf numFmtId="168" fontId="13" fillId="15" borderId="13" xfId="0" applyNumberFormat="1" applyFont="1" applyFill="1" applyBorder="1" applyAlignment="1">
      <alignment horizontal="center" vertical="center"/>
    </xf>
    <xf numFmtId="168" fontId="13" fillId="15" borderId="18" xfId="0" applyNumberFormat="1" applyFont="1" applyFill="1" applyBorder="1" applyAlignment="1">
      <alignment horizontal="center" vertical="center"/>
    </xf>
    <xf numFmtId="1" fontId="14" fillId="0" borderId="15" xfId="0" applyNumberFormat="1" applyFont="1" applyBorder="1" applyAlignment="1">
      <alignment horizontal="center" vertical="center"/>
    </xf>
    <xf numFmtId="1" fontId="14" fillId="0" borderId="31" xfId="0" applyNumberFormat="1" applyFont="1" applyBorder="1" applyAlignment="1">
      <alignment horizontal="center" vertical="center"/>
    </xf>
    <xf numFmtId="0" fontId="25" fillId="3" borderId="0" xfId="0" applyFont="1" applyFill="1" applyAlignment="1">
      <alignment vertical="center" wrapText="1"/>
    </xf>
    <xf numFmtId="0" fontId="8" fillId="8" borderId="17" xfId="0" applyFont="1" applyFill="1" applyBorder="1" applyAlignment="1">
      <alignment horizontal="center" vertical="center" wrapText="1"/>
    </xf>
    <xf numFmtId="0" fontId="8" fillId="8" borderId="4" xfId="0" applyFont="1" applyFill="1" applyBorder="1" applyAlignment="1">
      <alignment horizontal="center" vertical="center" wrapText="1"/>
    </xf>
    <xf numFmtId="0" fontId="8" fillId="8" borderId="16" xfId="0" applyFont="1" applyFill="1" applyBorder="1" applyAlignment="1">
      <alignment horizontal="center" vertical="center" wrapText="1"/>
    </xf>
    <xf numFmtId="0" fontId="8" fillId="8" borderId="3" xfId="0" applyFont="1" applyFill="1" applyBorder="1" applyAlignment="1">
      <alignment horizontal="center" vertical="center" wrapText="1"/>
    </xf>
    <xf numFmtId="1" fontId="14" fillId="11" borderId="14" xfId="0" applyNumberFormat="1" applyFont="1" applyFill="1" applyBorder="1" applyAlignment="1">
      <alignment horizontal="center" vertical="center"/>
    </xf>
    <xf numFmtId="1" fontId="14" fillId="11" borderId="39" xfId="0" applyNumberFormat="1" applyFont="1" applyFill="1" applyBorder="1" applyAlignment="1">
      <alignment horizontal="center" vertical="center"/>
    </xf>
    <xf numFmtId="0" fontId="16" fillId="10" borderId="40" xfId="0" applyFont="1" applyFill="1" applyBorder="1" applyAlignment="1">
      <alignment horizontal="center" vertical="center"/>
    </xf>
    <xf numFmtId="1" fontId="13" fillId="10" borderId="41" xfId="0" applyNumberFormat="1" applyFont="1" applyFill="1" applyBorder="1" applyAlignment="1">
      <alignment horizontal="center" vertical="center"/>
    </xf>
    <xf numFmtId="1" fontId="13" fillId="10" borderId="42" xfId="0" applyNumberFormat="1" applyFont="1" applyFill="1" applyBorder="1" applyAlignment="1">
      <alignment horizontal="center" vertical="center"/>
    </xf>
    <xf numFmtId="0" fontId="16" fillId="10" borderId="13" xfId="0" applyFont="1" applyFill="1" applyBorder="1" applyAlignment="1">
      <alignment horizontal="center" vertical="center"/>
    </xf>
    <xf numFmtId="1" fontId="13" fillId="10" borderId="18" xfId="0" applyNumberFormat="1" applyFont="1" applyFill="1" applyBorder="1" applyAlignment="1">
      <alignment horizontal="center" vertical="center"/>
    </xf>
    <xf numFmtId="1" fontId="13" fillId="10" borderId="30" xfId="0" applyNumberFormat="1" applyFont="1" applyFill="1" applyBorder="1" applyAlignment="1">
      <alignment horizontal="center" vertical="center"/>
    </xf>
    <xf numFmtId="1" fontId="13" fillId="10" borderId="31" xfId="0" applyNumberFormat="1" applyFont="1" applyFill="1" applyBorder="1" applyAlignment="1">
      <alignment horizontal="center" vertical="center"/>
    </xf>
    <xf numFmtId="0" fontId="26" fillId="0" borderId="43" xfId="0" applyFont="1" applyBorder="1" applyAlignment="1">
      <alignment horizontal="center"/>
    </xf>
    <xf numFmtId="0" fontId="0" fillId="0" borderId="44" xfId="0" applyBorder="1" applyAlignment="1">
      <alignment horizontal="center" vertical="center"/>
    </xf>
    <xf numFmtId="0" fontId="0" fillId="0" borderId="44" xfId="0" applyBorder="1" applyAlignment="1" applyProtection="1">
      <alignment horizontal="center" vertical="center"/>
      <protection locked="0"/>
    </xf>
    <xf numFmtId="0" fontId="0" fillId="0" borderId="44" xfId="0" applyBorder="1" applyAlignment="1">
      <alignment horizontal="center" vertical="center" wrapText="1"/>
    </xf>
    <xf numFmtId="0" fontId="26" fillId="0" borderId="44" xfId="0" applyFont="1" applyBorder="1" applyAlignment="1">
      <alignment horizontal="center"/>
    </xf>
    <xf numFmtId="0" fontId="0" fillId="0" borderId="44" xfId="0" applyBorder="1" applyProtection="1">
      <protection locked="0"/>
    </xf>
    <xf numFmtId="0" fontId="0" fillId="0" borderId="44" xfId="0" applyBorder="1" applyAlignment="1" applyProtection="1">
      <alignment horizontal="center" vertical="center" wrapText="1"/>
      <protection locked="0"/>
    </xf>
    <xf numFmtId="1" fontId="23" fillId="4" borderId="44" xfId="0" applyNumberFormat="1" applyFont="1" applyFill="1" applyBorder="1" applyAlignment="1">
      <alignment horizontal="centerContinuous" vertical="center"/>
    </xf>
    <xf numFmtId="0" fontId="19" fillId="16" borderId="44" xfId="0" applyFont="1" applyFill="1" applyBorder="1" applyAlignment="1" applyProtection="1">
      <alignment horizontal="center" vertical="center"/>
      <protection locked="0"/>
    </xf>
    <xf numFmtId="2" fontId="23" fillId="4" borderId="6" xfId="0" applyNumberFormat="1" applyFont="1" applyFill="1" applyBorder="1" applyAlignment="1" applyProtection="1">
      <alignment vertical="center" wrapText="1"/>
      <protection locked="0"/>
    </xf>
    <xf numFmtId="49" fontId="21" fillId="5" borderId="5" xfId="0" applyNumberFormat="1" applyFont="1" applyFill="1" applyBorder="1" applyAlignment="1" applyProtection="1">
      <alignment horizontal="center" vertical="center" textRotation="90" wrapText="1"/>
      <protection locked="0"/>
    </xf>
    <xf numFmtId="1" fontId="21" fillId="5" borderId="5" xfId="0" applyNumberFormat="1" applyFont="1" applyFill="1" applyBorder="1" applyAlignment="1" applyProtection="1">
      <alignment horizontal="center" vertical="center" textRotation="90" wrapText="1"/>
      <protection locked="0"/>
    </xf>
    <xf numFmtId="49" fontId="21" fillId="5" borderId="5" xfId="0" applyNumberFormat="1" applyFont="1" applyFill="1" applyBorder="1" applyAlignment="1" applyProtection="1">
      <alignment horizontal="center" vertical="center" wrapText="1"/>
      <protection locked="0"/>
    </xf>
    <xf numFmtId="49" fontId="23" fillId="4" borderId="43" xfId="0" applyNumberFormat="1" applyFont="1" applyFill="1" applyBorder="1" applyAlignment="1" applyProtection="1">
      <alignment horizontal="centerContinuous" vertical="center"/>
      <protection locked="0"/>
    </xf>
    <xf numFmtId="0" fontId="23" fillId="4" borderId="43" xfId="0" applyFont="1" applyFill="1" applyBorder="1" applyAlignment="1" applyProtection="1">
      <alignment horizontal="centerContinuous" vertical="center"/>
      <protection locked="0"/>
    </xf>
    <xf numFmtId="2" fontId="23" fillId="4" borderId="45" xfId="0" applyNumberFormat="1" applyFont="1" applyFill="1" applyBorder="1" applyAlignment="1" applyProtection="1">
      <alignment vertical="center" wrapText="1"/>
      <protection locked="0"/>
    </xf>
    <xf numFmtId="0" fontId="27" fillId="0" borderId="44" xfId="0" applyFont="1" applyBorder="1" applyAlignment="1">
      <alignment horizontal="center" vertical="center"/>
    </xf>
    <xf numFmtId="172" fontId="9" fillId="0" borderId="33" xfId="0" applyNumberFormat="1" applyFont="1" applyBorder="1" applyAlignment="1">
      <alignment horizontal="center" vertical="center"/>
    </xf>
    <xf numFmtId="172" fontId="9" fillId="0" borderId="34" xfId="0" applyNumberFormat="1" applyFont="1" applyBorder="1" applyAlignment="1">
      <alignment horizontal="center" vertical="center"/>
    </xf>
    <xf numFmtId="1" fontId="4" fillId="6" borderId="13" xfId="1" applyNumberFormat="1" applyFont="1" applyFill="1" applyBorder="1" applyAlignment="1">
      <alignment horizontal="center" vertical="center" wrapText="1"/>
    </xf>
    <xf numFmtId="1" fontId="4" fillId="6" borderId="3" xfId="1" applyNumberFormat="1" applyFont="1" applyFill="1" applyBorder="1" applyAlignment="1">
      <alignment horizontal="center" vertical="center" wrapText="1"/>
    </xf>
    <xf numFmtId="1" fontId="4" fillId="6" borderId="1" xfId="1" applyNumberFormat="1" applyFont="1" applyFill="1" applyBorder="1" applyAlignment="1">
      <alignment horizontal="center" vertical="center" wrapText="1"/>
    </xf>
    <xf numFmtId="0" fontId="4" fillId="0" borderId="1" xfId="1" applyFont="1" applyBorder="1" applyAlignment="1">
      <alignment horizontal="center" vertical="center"/>
    </xf>
    <xf numFmtId="0" fontId="4" fillId="0" borderId="2" xfId="1" applyFont="1" applyBorder="1" applyAlignment="1">
      <alignment horizontal="center" vertical="center"/>
    </xf>
    <xf numFmtId="0" fontId="4" fillId="0" borderId="29" xfId="1" applyFont="1" applyBorder="1" applyAlignment="1">
      <alignment horizontal="center" vertical="center"/>
    </xf>
    <xf numFmtId="165" fontId="4" fillId="7" borderId="7" xfId="1" applyNumberFormat="1" applyFont="1" applyFill="1" applyBorder="1" applyAlignment="1">
      <alignment horizontal="center" vertical="center"/>
    </xf>
    <xf numFmtId="165" fontId="4" fillId="7" borderId="5" xfId="1" applyNumberFormat="1" applyFont="1" applyFill="1" applyBorder="1" applyAlignment="1">
      <alignment horizontal="center" vertical="center"/>
    </xf>
    <xf numFmtId="0" fontId="4" fillId="0" borderId="6" xfId="1" applyFont="1" applyBorder="1" applyAlignment="1">
      <alignment horizontal="center" vertical="center"/>
    </xf>
    <xf numFmtId="0" fontId="4" fillId="0" borderId="8" xfId="1" applyFont="1" applyBorder="1" applyAlignment="1">
      <alignment horizontal="center" vertical="center"/>
    </xf>
    <xf numFmtId="0" fontId="4" fillId="0" borderId="9" xfId="1" applyFont="1" applyBorder="1" applyAlignment="1">
      <alignment horizontal="center" vertical="center"/>
    </xf>
    <xf numFmtId="0" fontId="4" fillId="0" borderId="10" xfId="1" applyFont="1" applyBorder="1" applyAlignment="1">
      <alignment horizontal="center" vertical="center"/>
    </xf>
    <xf numFmtId="0" fontId="4" fillId="0" borderId="3" xfId="1" applyFont="1" applyBorder="1" applyAlignment="1">
      <alignment horizontal="center" vertical="center"/>
    </xf>
    <xf numFmtId="165" fontId="4" fillId="0" borderId="3" xfId="1" applyNumberFormat="1" applyFont="1" applyBorder="1" applyAlignment="1">
      <alignment horizontal="center" vertical="center"/>
    </xf>
    <xf numFmtId="165" fontId="4" fillId="7" borderId="3" xfId="1" applyNumberFormat="1" applyFont="1" applyFill="1" applyBorder="1" applyAlignment="1">
      <alignment horizontal="center" vertical="center"/>
    </xf>
    <xf numFmtId="165" fontId="4" fillId="0" borderId="18" xfId="1" applyNumberFormat="1" applyFont="1" applyBorder="1" applyAlignment="1">
      <alignment horizontal="center" vertical="center"/>
    </xf>
    <xf numFmtId="165" fontId="4" fillId="7" borderId="6" xfId="1" applyNumberFormat="1" applyFont="1" applyFill="1" applyBorder="1" applyAlignment="1">
      <alignment horizontal="center" vertical="center"/>
    </xf>
    <xf numFmtId="0" fontId="4" fillId="9" borderId="1" xfId="0" applyFont="1" applyFill="1" applyBorder="1" applyAlignment="1">
      <alignment horizontal="left" vertical="center"/>
    </xf>
    <xf numFmtId="0" fontId="4" fillId="9" borderId="6" xfId="0" applyFont="1" applyFill="1" applyBorder="1" applyAlignment="1">
      <alignment horizontal="left" vertical="center"/>
    </xf>
    <xf numFmtId="0" fontId="0" fillId="0" borderId="1" xfId="0" applyBorder="1" applyAlignment="1">
      <alignment horizontal="center"/>
    </xf>
    <xf numFmtId="0" fontId="0" fillId="0" borderId="2" xfId="0" applyBorder="1" applyAlignment="1">
      <alignment horizontal="center"/>
    </xf>
    <xf numFmtId="0" fontId="0" fillId="0" borderId="6" xfId="0" applyBorder="1" applyAlignment="1">
      <alignment horizontal="center"/>
    </xf>
    <xf numFmtId="0" fontId="15" fillId="10" borderId="12" xfId="0" applyFont="1" applyFill="1" applyBorder="1" applyAlignment="1">
      <alignment horizontal="center" vertical="center"/>
    </xf>
    <xf numFmtId="168" fontId="15" fillId="10" borderId="12" xfId="0" applyNumberFormat="1" applyFont="1" applyFill="1" applyBorder="1" applyAlignment="1">
      <alignment horizontal="center" vertical="center" wrapText="1"/>
    </xf>
    <xf numFmtId="0" fontId="20" fillId="3" borderId="8" xfId="0" applyFont="1" applyFill="1" applyBorder="1" applyAlignment="1">
      <alignment horizontal="center"/>
    </xf>
    <xf numFmtId="0" fontId="20" fillId="3" borderId="9" xfId="0" applyFont="1" applyFill="1" applyBorder="1" applyAlignment="1">
      <alignment horizontal="center"/>
    </xf>
    <xf numFmtId="0" fontId="20" fillId="3" borderId="10" xfId="0" applyFont="1" applyFill="1" applyBorder="1" applyAlignment="1">
      <alignment horizontal="center"/>
    </xf>
    <xf numFmtId="0" fontId="15" fillId="10" borderId="8" xfId="0" applyFont="1" applyFill="1" applyBorder="1" applyAlignment="1">
      <alignment horizontal="center" vertical="center"/>
    </xf>
    <xf numFmtId="0" fontId="15" fillId="10" borderId="9" xfId="0" applyFont="1" applyFill="1" applyBorder="1" applyAlignment="1">
      <alignment horizontal="center" vertical="center"/>
    </xf>
    <xf numFmtId="0" fontId="15" fillId="10" borderId="10" xfId="0" applyFont="1" applyFill="1" applyBorder="1" applyAlignment="1">
      <alignment horizontal="center" vertical="center"/>
    </xf>
    <xf numFmtId="168" fontId="25" fillId="14" borderId="37" xfId="0" applyNumberFormat="1" applyFont="1" applyFill="1" applyBorder="1" applyAlignment="1">
      <alignment horizontal="center" vertical="center"/>
    </xf>
    <xf numFmtId="168" fontId="25" fillId="14" borderId="29" xfId="0" applyNumberFormat="1" applyFont="1" applyFill="1" applyBorder="1" applyAlignment="1">
      <alignment horizontal="center" vertical="center"/>
    </xf>
    <xf numFmtId="0" fontId="24" fillId="3" borderId="35" xfId="0" applyFont="1" applyFill="1" applyBorder="1" applyAlignment="1">
      <alignment horizontal="center" vertical="center"/>
    </xf>
    <xf numFmtId="0" fontId="24" fillId="3" borderId="36" xfId="0" applyFont="1" applyFill="1" applyBorder="1" applyAlignment="1">
      <alignment horizontal="center" vertical="center"/>
    </xf>
    <xf numFmtId="0" fontId="25" fillId="3" borderId="1" xfId="0" applyFont="1" applyFill="1" applyBorder="1" applyAlignment="1">
      <alignment horizontal="center" vertical="center" wrapText="1"/>
    </xf>
    <xf numFmtId="0" fontId="25" fillId="3" borderId="2" xfId="0" applyFont="1" applyFill="1" applyBorder="1" applyAlignment="1">
      <alignment horizontal="center" vertical="center" wrapText="1"/>
    </xf>
    <xf numFmtId="0" fontId="25" fillId="3" borderId="6" xfId="0" applyFont="1" applyFill="1" applyBorder="1" applyAlignment="1">
      <alignment horizontal="center" vertical="center" wrapText="1"/>
    </xf>
    <xf numFmtId="0" fontId="25" fillId="3" borderId="3" xfId="0" applyFont="1" applyFill="1" applyBorder="1" applyAlignment="1">
      <alignment horizontal="center" vertical="center" wrapText="1"/>
    </xf>
    <xf numFmtId="0" fontId="0" fillId="3" borderId="38" xfId="0" applyFill="1" applyBorder="1" applyAlignment="1">
      <alignment horizontal="left" vertical="center" wrapText="1"/>
    </xf>
    <xf numFmtId="0" fontId="25" fillId="3" borderId="0" xfId="0" applyFont="1" applyFill="1" applyAlignment="1">
      <alignment horizontal="center" vertical="center" wrapText="1"/>
    </xf>
    <xf numFmtId="0" fontId="24" fillId="3" borderId="3" xfId="0" applyFont="1" applyFill="1" applyBorder="1" applyAlignment="1">
      <alignment horizontal="center" vertical="center"/>
    </xf>
    <xf numFmtId="168" fontId="25" fillId="14" borderId="3" xfId="0" applyNumberFormat="1" applyFont="1" applyFill="1" applyBorder="1" applyAlignment="1">
      <alignment horizontal="center" vertical="center"/>
    </xf>
  </cellXfs>
  <cellStyles count="4">
    <cellStyle name="Normal" xfId="0" builtinId="0"/>
    <cellStyle name="Normal 3" xfId="1" xr:uid="{46C81BCC-2ACE-4A9A-BCDC-63C1F3E32E1D}"/>
    <cellStyle name="Normal 5" xfId="3" xr:uid="{E2364A55-1D04-41A5-B4C5-D2E8365B4EDF}"/>
    <cellStyle name="Percent" xfId="2" builtinId="5"/>
  </cellStyles>
  <dxfs count="113">
    <dxf>
      <fill>
        <patternFill>
          <bgColor rgb="FFCCFFCC"/>
        </patternFill>
      </fill>
      <border>
        <left style="thin">
          <color auto="1"/>
        </left>
        <right style="thin">
          <color auto="1"/>
        </right>
        <top style="thin">
          <color auto="1"/>
        </top>
        <bottom style="thin">
          <color auto="1"/>
        </bottom>
      </border>
    </dxf>
    <dxf>
      <fill>
        <patternFill>
          <bgColor theme="6" tint="0.59996337778862885"/>
        </patternFill>
      </fill>
    </dxf>
    <dxf>
      <fill>
        <patternFill>
          <bgColor theme="9" tint="0.39994506668294322"/>
        </patternFill>
      </fill>
    </dxf>
    <dxf>
      <fill>
        <patternFill>
          <bgColor theme="9" tint="0.59996337778862885"/>
        </patternFill>
      </fill>
    </dxf>
    <dxf>
      <font>
        <b/>
        <i val="0"/>
        <color auto="1"/>
      </font>
      <fill>
        <patternFill>
          <bgColor theme="3" tint="0.749961851863155"/>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rgb="FFE7FFE7"/>
        </patternFill>
      </fill>
      <border>
        <left style="thin">
          <color auto="1"/>
        </left>
        <right style="thin">
          <color auto="1"/>
        </right>
        <top style="thin">
          <color auto="1"/>
        </top>
        <bottom style="thin">
          <color auto="1"/>
        </bottom>
      </border>
    </dxf>
    <dxf>
      <fill>
        <patternFill>
          <bgColor theme="5" tint="0.79998168889431442"/>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border>
        <left/>
        <right/>
        <top/>
        <bottom/>
      </border>
    </dxf>
    <dxf>
      <fill>
        <patternFill>
          <bgColor rgb="FFCCFFCC"/>
        </patternFill>
      </fill>
      <border>
        <left style="thin">
          <color auto="1"/>
        </left>
        <right style="thin">
          <color auto="1"/>
        </right>
        <top style="thin">
          <color auto="1"/>
        </top>
        <bottom style="thin">
          <color auto="1"/>
        </bottom>
      </border>
    </dxf>
    <dxf>
      <fill>
        <patternFill>
          <bgColor theme="6" tint="0.59996337778862885"/>
        </patternFill>
      </fill>
    </dxf>
    <dxf>
      <fill>
        <patternFill>
          <bgColor theme="9" tint="0.39994506668294322"/>
        </patternFill>
      </fill>
    </dxf>
    <dxf>
      <fill>
        <patternFill>
          <bgColor theme="9" tint="0.59996337778862885"/>
        </patternFill>
      </fill>
    </dxf>
    <dxf>
      <font>
        <b/>
        <i val="0"/>
        <color auto="1"/>
      </font>
      <fill>
        <patternFill>
          <bgColor theme="3" tint="0.749961851863155"/>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rgb="FFE7FFE7"/>
        </patternFill>
      </fill>
      <border>
        <left style="thin">
          <color auto="1"/>
        </left>
        <right style="thin">
          <color auto="1"/>
        </right>
        <top style="thin">
          <color auto="1"/>
        </top>
        <bottom style="thin">
          <color auto="1"/>
        </bottom>
      </border>
    </dxf>
    <dxf>
      <fill>
        <patternFill>
          <bgColor theme="5" tint="0.79998168889431442"/>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border>
        <left/>
        <right/>
        <top/>
        <bottom/>
      </border>
    </dxf>
    <dxf>
      <font>
        <color rgb="FFFF0000"/>
      </font>
    </dxf>
    <dxf>
      <border>
        <left style="thin">
          <color auto="1"/>
        </left>
        <right style="thin">
          <color auto="1"/>
        </right>
        <top style="thin">
          <color auto="1"/>
        </top>
        <bottom style="thin">
          <color auto="1"/>
        </bottom>
        <vertical/>
        <horizontal/>
      </border>
    </dxf>
    <dxf>
      <font>
        <color rgb="FFFF0000"/>
      </font>
    </dxf>
    <dxf>
      <font>
        <color rgb="FFFF0000"/>
      </font>
    </dxf>
    <dxf>
      <border>
        <left style="thin">
          <color auto="1"/>
        </left>
        <right style="thin">
          <color auto="1"/>
        </right>
        <top style="thin">
          <color auto="1"/>
        </top>
        <bottom style="thin">
          <color auto="1"/>
        </bottom>
        <vertical/>
        <horizontal/>
      </border>
    </dxf>
    <dxf>
      <font>
        <color rgb="FFFF0000"/>
      </font>
    </dxf>
    <dxf>
      <fill>
        <patternFill>
          <bgColor rgb="FFCCFFCC"/>
        </patternFill>
      </fill>
      <border>
        <left style="thin">
          <color auto="1"/>
        </left>
        <right style="thin">
          <color auto="1"/>
        </right>
        <top style="thin">
          <color auto="1"/>
        </top>
        <bottom style="thin">
          <color auto="1"/>
        </bottom>
      </border>
    </dxf>
    <dxf>
      <fill>
        <patternFill>
          <bgColor theme="6" tint="0.59996337778862885"/>
        </patternFill>
      </fill>
    </dxf>
    <dxf>
      <fill>
        <patternFill>
          <bgColor theme="9" tint="0.39994506668294322"/>
        </patternFill>
      </fill>
    </dxf>
    <dxf>
      <fill>
        <patternFill>
          <bgColor theme="9" tint="0.59996337778862885"/>
        </patternFill>
      </fill>
    </dxf>
    <dxf>
      <font>
        <b/>
        <i val="0"/>
        <color auto="1"/>
      </font>
      <fill>
        <patternFill>
          <bgColor theme="3" tint="0.749961851863155"/>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rgb="FFE7FFE7"/>
        </patternFill>
      </fill>
      <border>
        <left style="thin">
          <color auto="1"/>
        </left>
        <right style="thin">
          <color auto="1"/>
        </right>
        <top style="thin">
          <color auto="1"/>
        </top>
        <bottom style="thin">
          <color auto="1"/>
        </bottom>
      </border>
    </dxf>
    <dxf>
      <fill>
        <patternFill>
          <bgColor theme="5" tint="0.79998168889431442"/>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border>
        <left/>
        <right/>
        <top/>
        <bottom/>
      </border>
    </dxf>
    <dxf>
      <fill>
        <patternFill>
          <bgColor rgb="FFCCFFCC"/>
        </patternFill>
      </fill>
      <border>
        <left style="thin">
          <color auto="1"/>
        </left>
        <right style="thin">
          <color auto="1"/>
        </right>
        <top style="thin">
          <color auto="1"/>
        </top>
        <bottom style="thin">
          <color auto="1"/>
        </bottom>
      </border>
    </dxf>
    <dxf>
      <fill>
        <patternFill>
          <bgColor theme="6" tint="0.59996337778862885"/>
        </patternFill>
      </fill>
    </dxf>
    <dxf>
      <fill>
        <patternFill>
          <bgColor theme="9" tint="0.39994506668294322"/>
        </patternFill>
      </fill>
    </dxf>
    <dxf>
      <fill>
        <patternFill>
          <bgColor theme="9" tint="0.59996337778862885"/>
        </patternFill>
      </fill>
    </dxf>
    <dxf>
      <font>
        <b/>
        <i val="0"/>
        <color auto="1"/>
      </font>
      <fill>
        <patternFill>
          <bgColor theme="3" tint="0.749961851863155"/>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rgb="FFE7FFE7"/>
        </patternFill>
      </fill>
      <border>
        <left style="thin">
          <color auto="1"/>
        </left>
        <right style="thin">
          <color auto="1"/>
        </right>
        <top style="thin">
          <color auto="1"/>
        </top>
        <bottom style="thin">
          <color auto="1"/>
        </bottom>
      </border>
    </dxf>
    <dxf>
      <fill>
        <patternFill>
          <bgColor theme="5" tint="0.79998168889431442"/>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border>
        <left/>
        <right/>
        <top/>
        <bottom/>
      </border>
    </dxf>
    <dxf>
      <fill>
        <patternFill>
          <bgColor rgb="FFCCFFFF"/>
        </patternFill>
      </fill>
      <border>
        <left style="thin">
          <color auto="1"/>
        </left>
        <right style="thin">
          <color auto="1"/>
        </right>
        <top style="thin">
          <color auto="1"/>
        </top>
        <bottom style="thin">
          <color auto="1"/>
        </bottom>
      </border>
    </dxf>
    <dxf>
      <font>
        <color rgb="FFFF0000"/>
      </font>
    </dxf>
    <dxf>
      <border>
        <left style="thin">
          <color auto="1"/>
        </left>
        <right style="thin">
          <color auto="1"/>
        </right>
        <top style="thin">
          <color auto="1"/>
        </top>
        <bottom style="thin">
          <color auto="1"/>
        </bottom>
        <vertical/>
        <horizontal/>
      </border>
    </dxf>
    <dxf>
      <font>
        <color rgb="FFFF0000"/>
      </font>
    </dxf>
    <dxf>
      <fill>
        <patternFill>
          <bgColor rgb="FFCCFFFF"/>
        </patternFill>
      </fill>
      <border>
        <left style="thin">
          <color auto="1"/>
        </left>
        <right style="thin">
          <color auto="1"/>
        </right>
        <top style="thin">
          <color auto="1"/>
        </top>
        <bottom style="thin">
          <color auto="1"/>
        </bottom>
      </border>
    </dxf>
    <dxf>
      <font>
        <color rgb="FFFF0000"/>
      </font>
    </dxf>
    <dxf>
      <border>
        <left style="thin">
          <color auto="1"/>
        </left>
        <right style="thin">
          <color auto="1"/>
        </right>
        <top style="thin">
          <color auto="1"/>
        </top>
        <bottom style="thin">
          <color auto="1"/>
        </bottom>
        <vertical/>
        <horizontal/>
      </border>
    </dxf>
    <dxf>
      <font>
        <color rgb="FFFF0000"/>
      </font>
    </dxf>
    <dxf>
      <fill>
        <patternFill>
          <bgColor rgb="FFCCFFCC"/>
        </patternFill>
      </fill>
      <border>
        <left style="thin">
          <color auto="1"/>
        </left>
        <right style="thin">
          <color auto="1"/>
        </right>
        <top style="thin">
          <color auto="1"/>
        </top>
        <bottom style="thin">
          <color auto="1"/>
        </bottom>
      </border>
    </dxf>
    <dxf>
      <fill>
        <patternFill>
          <bgColor theme="6" tint="0.59996337778862885"/>
        </patternFill>
      </fill>
    </dxf>
    <dxf>
      <fill>
        <patternFill>
          <bgColor theme="9" tint="0.39994506668294322"/>
        </patternFill>
      </fill>
    </dxf>
    <dxf>
      <fill>
        <patternFill>
          <bgColor theme="9" tint="0.59996337778862885"/>
        </patternFill>
      </fill>
    </dxf>
    <dxf>
      <font>
        <b/>
        <i val="0"/>
        <color auto="1"/>
      </font>
      <fill>
        <patternFill>
          <bgColor theme="3" tint="0.749961851863155"/>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rgb="FFE7FFE7"/>
        </patternFill>
      </fill>
      <border>
        <left style="thin">
          <color auto="1"/>
        </left>
        <right style="thin">
          <color auto="1"/>
        </right>
        <top style="thin">
          <color auto="1"/>
        </top>
        <bottom style="thin">
          <color auto="1"/>
        </bottom>
      </border>
    </dxf>
    <dxf>
      <fill>
        <patternFill>
          <bgColor theme="5" tint="0.79998168889431442"/>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border>
        <left/>
        <right/>
        <top/>
        <bottom/>
      </border>
    </dxf>
    <dxf>
      <fill>
        <patternFill>
          <bgColor rgb="FFCCFFCC"/>
        </patternFill>
      </fill>
      <border>
        <left style="thin">
          <color auto="1"/>
        </left>
        <right style="thin">
          <color auto="1"/>
        </right>
        <top style="thin">
          <color auto="1"/>
        </top>
        <bottom style="thin">
          <color auto="1"/>
        </bottom>
      </border>
    </dxf>
    <dxf>
      <fill>
        <patternFill>
          <bgColor theme="6" tint="0.59996337778862885"/>
        </patternFill>
      </fill>
    </dxf>
    <dxf>
      <fill>
        <patternFill>
          <bgColor theme="9" tint="0.39994506668294322"/>
        </patternFill>
      </fill>
    </dxf>
    <dxf>
      <fill>
        <patternFill>
          <bgColor theme="9" tint="0.59996337778862885"/>
        </patternFill>
      </fill>
    </dxf>
    <dxf>
      <font>
        <b/>
        <i val="0"/>
        <color auto="1"/>
      </font>
      <fill>
        <patternFill>
          <bgColor theme="3" tint="0.749961851863155"/>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rgb="FFE7FFE7"/>
        </patternFill>
      </fill>
      <border>
        <left style="thin">
          <color auto="1"/>
        </left>
        <right style="thin">
          <color auto="1"/>
        </right>
        <top style="thin">
          <color auto="1"/>
        </top>
        <bottom style="thin">
          <color auto="1"/>
        </bottom>
      </border>
    </dxf>
    <dxf>
      <fill>
        <patternFill>
          <bgColor theme="5" tint="0.79998168889431442"/>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border>
        <left/>
        <right/>
        <top/>
        <bottom/>
      </border>
    </dxf>
    <dxf>
      <fill>
        <patternFill>
          <bgColor rgb="FFCCFFFF"/>
        </patternFill>
      </fill>
      <border>
        <left style="thin">
          <color auto="1"/>
        </left>
        <right style="thin">
          <color auto="1"/>
        </right>
        <top style="thin">
          <color auto="1"/>
        </top>
        <bottom style="thin">
          <color auto="1"/>
        </bottom>
      </border>
    </dxf>
    <dxf>
      <font>
        <color rgb="FFFF0000"/>
      </font>
    </dxf>
    <dxf>
      <border>
        <left style="thin">
          <color auto="1"/>
        </left>
        <right style="thin">
          <color auto="1"/>
        </right>
        <top style="thin">
          <color auto="1"/>
        </top>
        <bottom style="thin">
          <color auto="1"/>
        </bottom>
        <vertical/>
        <horizontal/>
      </border>
    </dxf>
    <dxf>
      <font>
        <color rgb="FFFF0000"/>
      </font>
    </dxf>
    <dxf>
      <font>
        <color rgb="FFFF0000"/>
      </font>
    </dxf>
    <dxf>
      <border>
        <left style="thin">
          <color auto="1"/>
        </left>
        <right style="thin">
          <color auto="1"/>
        </right>
        <top style="thin">
          <color auto="1"/>
        </top>
        <bottom style="thin">
          <color auto="1"/>
        </bottom>
        <vertical/>
        <horizontal/>
      </border>
    </dxf>
    <dxf>
      <font>
        <color rgb="FFFF0000"/>
      </font>
    </dxf>
    <dxf>
      <font>
        <color rgb="FFFF0000"/>
      </font>
    </dxf>
    <dxf>
      <border>
        <left style="thin">
          <color auto="1"/>
        </left>
        <right style="thin">
          <color auto="1"/>
        </right>
        <top style="thin">
          <color auto="1"/>
        </top>
        <bottom style="thin">
          <color auto="1"/>
        </bottom>
        <vertical/>
        <horizontal/>
      </border>
    </dxf>
    <dxf>
      <font>
        <color rgb="FFFF0000"/>
      </font>
    </dxf>
    <dxf>
      <fill>
        <patternFill>
          <bgColor rgb="FFCCFFCC"/>
        </patternFill>
      </fill>
      <border>
        <left style="thin">
          <color auto="1"/>
        </left>
        <right style="thin">
          <color auto="1"/>
        </right>
        <top style="thin">
          <color auto="1"/>
        </top>
        <bottom style="thin">
          <color auto="1"/>
        </bottom>
      </border>
    </dxf>
    <dxf>
      <fill>
        <patternFill>
          <bgColor theme="6" tint="0.59996337778862885"/>
        </patternFill>
      </fill>
    </dxf>
    <dxf>
      <fill>
        <patternFill>
          <bgColor theme="9" tint="0.39994506668294322"/>
        </patternFill>
      </fill>
    </dxf>
    <dxf>
      <fill>
        <patternFill>
          <bgColor theme="9" tint="0.59996337778862885"/>
        </patternFill>
      </fill>
    </dxf>
    <dxf>
      <font>
        <b/>
        <i val="0"/>
        <color auto="1"/>
      </font>
      <fill>
        <patternFill>
          <bgColor theme="3" tint="0.749961851863155"/>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rgb="FFE7FFE7"/>
        </patternFill>
      </fill>
      <border>
        <left style="thin">
          <color auto="1"/>
        </left>
        <right style="thin">
          <color auto="1"/>
        </right>
        <top style="thin">
          <color auto="1"/>
        </top>
        <bottom style="thin">
          <color auto="1"/>
        </bottom>
      </border>
    </dxf>
    <dxf>
      <fill>
        <patternFill>
          <bgColor theme="5" tint="0.79998168889431442"/>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border>
        <left/>
        <right/>
        <top/>
        <bottom/>
      </border>
    </dxf>
    <dxf>
      <fill>
        <patternFill>
          <bgColor rgb="FFCCFFCC"/>
        </patternFill>
      </fill>
      <border>
        <left style="thin">
          <color auto="1"/>
        </left>
        <right style="thin">
          <color auto="1"/>
        </right>
        <top style="thin">
          <color auto="1"/>
        </top>
        <bottom style="thin">
          <color auto="1"/>
        </bottom>
      </border>
    </dxf>
    <dxf>
      <fill>
        <patternFill>
          <bgColor theme="6" tint="0.59996337778862885"/>
        </patternFill>
      </fill>
    </dxf>
    <dxf>
      <fill>
        <patternFill>
          <bgColor theme="9" tint="0.39994506668294322"/>
        </patternFill>
      </fill>
    </dxf>
    <dxf>
      <fill>
        <patternFill>
          <bgColor theme="9" tint="0.59996337778862885"/>
        </patternFill>
      </fill>
    </dxf>
    <dxf>
      <font>
        <b/>
        <i val="0"/>
        <color auto="1"/>
      </font>
      <fill>
        <patternFill>
          <bgColor theme="3" tint="0.749961851863155"/>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rgb="FFE7FFE7"/>
        </patternFill>
      </fill>
      <border>
        <left style="thin">
          <color auto="1"/>
        </left>
        <right style="thin">
          <color auto="1"/>
        </right>
        <top style="thin">
          <color auto="1"/>
        </top>
        <bottom style="thin">
          <color auto="1"/>
        </bottom>
      </border>
    </dxf>
    <dxf>
      <fill>
        <patternFill>
          <bgColor theme="5" tint="0.79998168889431442"/>
        </patternFill>
      </fill>
      <border>
        <left style="thin">
          <color auto="1"/>
        </left>
        <right style="thin">
          <color auto="1"/>
        </right>
        <top style="thin">
          <color auto="1"/>
        </top>
        <bottom style="thin">
          <color auto="1"/>
        </bottom>
      </border>
    </dxf>
    <dxf>
      <fill>
        <patternFill>
          <bgColor theme="0" tint="-0.24994659260841701"/>
        </patternFill>
      </fill>
      <border>
        <left style="thin">
          <color auto="1"/>
        </left>
        <right style="thin">
          <color auto="1"/>
        </right>
        <top style="thin">
          <color auto="1"/>
        </top>
        <bottom style="thin">
          <color auto="1"/>
        </bottom>
      </border>
    </dxf>
    <dxf>
      <border>
        <left/>
        <right/>
        <top/>
        <bottom/>
      </border>
    </dxf>
    <dxf>
      <fill>
        <patternFill>
          <bgColor rgb="FFCCFFFF"/>
        </patternFill>
      </fill>
      <border>
        <left style="thin">
          <color auto="1"/>
        </left>
        <right style="thin">
          <color auto="1"/>
        </right>
        <top style="thin">
          <color auto="1"/>
        </top>
        <bottom style="thin">
          <color auto="1"/>
        </bottom>
      </border>
    </dxf>
    <dxf>
      <font>
        <color rgb="FFFF0000"/>
      </font>
    </dxf>
    <dxf>
      <border>
        <left style="thin">
          <color auto="1"/>
        </left>
        <right style="thin">
          <color auto="1"/>
        </right>
        <top style="thin">
          <color auto="1"/>
        </top>
        <bottom style="thin">
          <color auto="1"/>
        </bottom>
        <vertical/>
        <horizontal/>
      </border>
    </dxf>
    <dxf>
      <font>
        <color rgb="FFFF0000"/>
      </font>
    </dxf>
    <dxf>
      <fill>
        <patternFill>
          <bgColor rgb="FFFDE9D9"/>
        </patternFill>
      </fill>
    </dxf>
    <dxf>
      <fill>
        <patternFill patternType="solid">
          <bgColor theme="9" tint="0.59999389629810485"/>
        </patternFill>
      </fill>
    </dxf>
    <dxf>
      <fill>
        <patternFill>
          <bgColor rgb="FFBFBFBF"/>
        </patternFill>
      </fill>
    </dxf>
    <dxf>
      <font>
        <strike/>
        <color rgb="FF632523"/>
      </font>
      <fill>
        <patternFill>
          <bgColor rgb="FFF2F2F2"/>
        </patternFill>
      </fill>
    </dxf>
    <dxf>
      <fill>
        <patternFill>
          <bgColor theme="9" tint="0.79998168889431442"/>
        </patternFill>
      </fill>
    </dxf>
  </dxfs>
  <tableStyles count="0" defaultTableStyle="TableStyleMedium2" defaultPivotStyle="PivotStyleLight16"/>
  <colors>
    <mruColors>
      <color rgb="FF00B050"/>
      <color rgb="FF156082"/>
      <color rgb="FF80350E"/>
      <color rgb="FF8FAADC"/>
      <color rgb="FF4E95D9"/>
      <color rgb="FFFBE3D6"/>
      <color rgb="FF215F9A"/>
      <color rgb="FFA6CAEC"/>
      <color rgb="FFDCEAF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chartUserShapes" Target="../drawings/drawing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chartUserShapes" Target="../drawings/drawing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7.xml"/><Relationship Id="rId1" Type="http://schemas.microsoft.com/office/2011/relationships/chartStyle" Target="style7.xml"/><Relationship Id="rId4" Type="http://schemas.openxmlformats.org/officeDocument/2006/relationships/chartUserShapes" Target="../drawings/drawing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r>
              <a:rPr lang="en-US" sz="1600"/>
              <a:t>Projecta</a:t>
            </a:r>
          </a:p>
        </c:rich>
      </c:tx>
      <c:layout>
        <c:manualLayout>
          <c:xMode val="edge"/>
          <c:yMode val="edge"/>
          <c:x val="0.43476005805461054"/>
          <c:y val="2.4140797432740231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endParaRPr lang="en-US"/>
        </a:p>
      </c:txPr>
    </c:title>
    <c:autoTitleDeleted val="0"/>
    <c:plotArea>
      <c:layout>
        <c:manualLayout>
          <c:layoutTarget val="inner"/>
          <c:xMode val="edge"/>
          <c:yMode val="edge"/>
          <c:x val="5.6037479522348346E-2"/>
          <c:y val="0.14747880192788551"/>
          <c:w val="0.92772337800666793"/>
          <c:h val="0.75012009502015631"/>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6156-46DA-8194-72EB1AD4343B}"/>
              </c:ext>
            </c:extLst>
          </c:dPt>
          <c:dPt>
            <c:idx val="1"/>
            <c:invertIfNegative val="0"/>
            <c:bubble3D val="0"/>
            <c:spPr>
              <a:solidFill>
                <a:srgbClr val="7030A0"/>
              </a:solidFill>
              <a:ln>
                <a:noFill/>
              </a:ln>
              <a:effectLst/>
            </c:spPr>
            <c:extLst>
              <c:ext xmlns:c16="http://schemas.microsoft.com/office/drawing/2014/chart" uri="{C3380CC4-5D6E-409C-BE32-E72D297353CC}">
                <c16:uniqueId val="{00000003-6156-46DA-8194-72EB1AD4343B}"/>
              </c:ext>
            </c:extLst>
          </c:dPt>
          <c:dPt>
            <c:idx val="2"/>
            <c:invertIfNegative val="0"/>
            <c:bubble3D val="0"/>
            <c:spPr>
              <a:solidFill>
                <a:srgbClr val="92D050"/>
              </a:solidFill>
              <a:ln>
                <a:noFill/>
              </a:ln>
              <a:effectLst/>
            </c:spPr>
            <c:extLst>
              <c:ext xmlns:c16="http://schemas.microsoft.com/office/drawing/2014/chart" uri="{C3380CC4-5D6E-409C-BE32-E72D297353CC}">
                <c16:uniqueId val="{00000005-6156-46DA-8194-72EB1AD4343B}"/>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3"/>
              <c:pt idx="0">
                <c:v>Total Available Hours</c:v>
              </c:pt>
              <c:pt idx="1">
                <c:v>Estimated Hours
for Completed Activites</c:v>
              </c:pt>
              <c:pt idx="2">
                <c:v>Actual Hours
for Completed Activites</c:v>
              </c:pt>
            </c:strLit>
          </c:cat>
          <c:val>
            <c:numRef>
              <c:f>Indicators!$B$47:$D$47</c:f>
              <c:numCache>
                <c:formatCode>General</c:formatCode>
                <c:ptCount val="3"/>
                <c:pt idx="0">
                  <c:v>0</c:v>
                </c:pt>
                <c:pt idx="1">
                  <c:v>85</c:v>
                </c:pt>
                <c:pt idx="2">
                  <c:v>60.5</c:v>
                </c:pt>
              </c:numCache>
            </c:numRef>
          </c:val>
          <c:extLst>
            <c:ext xmlns:c16="http://schemas.microsoft.com/office/drawing/2014/chart" uri="{C3380CC4-5D6E-409C-BE32-E72D297353CC}">
              <c16:uniqueId val="{00000006-6156-46DA-8194-72EB1AD4343B}"/>
            </c:ext>
          </c:extLst>
        </c:ser>
        <c:dLbls>
          <c:dLblPos val="outEnd"/>
          <c:showLegendKey val="0"/>
          <c:showVal val="1"/>
          <c:showCatName val="0"/>
          <c:showSerName val="0"/>
          <c:showPercent val="0"/>
          <c:showBubbleSize val="0"/>
        </c:dLbls>
        <c:gapWidth val="219"/>
        <c:overlap val="-27"/>
        <c:axId val="287146240"/>
        <c:axId val="1845870560"/>
      </c:barChart>
      <c:catAx>
        <c:axId val="28714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1845870560"/>
        <c:crosses val="autoZero"/>
        <c:auto val="1"/>
        <c:lblAlgn val="ctr"/>
        <c:lblOffset val="100"/>
        <c:noMultiLvlLbl val="0"/>
      </c:catAx>
      <c:valAx>
        <c:axId val="1845870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287146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"Project Origin"</c:f>
          <c:strCache>
            <c:ptCount val="1"/>
            <c:pt idx="0">
              <c:v>Project Origin</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endParaRPr lang="en-US"/>
        </a:p>
      </c:txPr>
    </c:title>
    <c:autoTitleDeleted val="0"/>
    <c:plotArea>
      <c:layout>
        <c:manualLayout>
          <c:layoutTarget val="inner"/>
          <c:xMode val="edge"/>
          <c:yMode val="edge"/>
          <c:x val="7.2374043726100845E-2"/>
          <c:y val="0.13135310137926068"/>
          <c:w val="0.88814408010306234"/>
          <c:h val="0.71066366381270352"/>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DC7F-4979-A423-DD3F6A08AEDE}"/>
              </c:ext>
            </c:extLst>
          </c:dPt>
          <c:dPt>
            <c:idx val="1"/>
            <c:invertIfNegative val="0"/>
            <c:bubble3D val="0"/>
            <c:spPr>
              <a:solidFill>
                <a:srgbClr val="00B0F0"/>
              </a:solidFill>
              <a:ln>
                <a:noFill/>
              </a:ln>
              <a:effectLst/>
            </c:spPr>
            <c:extLst>
              <c:ext xmlns:c16="http://schemas.microsoft.com/office/drawing/2014/chart" uri="{C3380CC4-5D6E-409C-BE32-E72D297353CC}">
                <c16:uniqueId val="{00000003-DC7F-4979-A423-DD3F6A08AEDE}"/>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Indicators!$J$4:$N$4</c15:sqref>
                  </c15:fullRef>
                </c:ext>
              </c:extLst>
              <c:f>Indicators!$J$4:$K$4</c:f>
              <c:strCache>
                <c:ptCount val="2"/>
                <c:pt idx="0">
                  <c:v>Global</c:v>
                </c:pt>
                <c:pt idx="1">
                  <c:v>India</c:v>
                </c:pt>
              </c:strCache>
            </c:strRef>
          </c:cat>
          <c:val>
            <c:numRef>
              <c:extLst>
                <c:ext xmlns:c15="http://schemas.microsoft.com/office/drawing/2012/chart" uri="{02D57815-91ED-43cb-92C2-25804820EDAC}">
                  <c15:fullRef>
                    <c15:sqref>Indicators!$J$5:$N$5</c15:sqref>
                  </c15:fullRef>
                </c:ext>
              </c:extLst>
              <c:f>Indicators!$J$5:$K$5</c:f>
              <c:numCache>
                <c:formatCode>0</c:formatCode>
                <c:ptCount val="2"/>
                <c:pt idx="0">
                  <c:v>8</c:v>
                </c:pt>
                <c:pt idx="1">
                  <c:v>0</c:v>
                </c:pt>
              </c:numCache>
            </c:numRef>
          </c:val>
          <c:extLst>
            <c:ext xmlns:c15="http://schemas.microsoft.com/office/drawing/2012/chart" uri="{02D57815-91ED-43cb-92C2-25804820EDAC}">
              <c15:categoryFilterExceptions>
                <c15:categoryFilterException>
                  <c15:sqref>Indicators!$L$5</c15:sqref>
                  <c15:spPr xmlns:c15="http://schemas.microsoft.com/office/drawing/2012/chart">
                    <a:solidFill>
                      <a:srgbClr val="92D050"/>
                    </a:solidFill>
                    <a:ln>
                      <a:noFill/>
                    </a:ln>
                    <a:effectLst/>
                  </c15:spPr>
                  <c15:invertIfNegative val="0"/>
                  <c15:bubble3D val="0"/>
                </c15:categoryFilterException>
                <c15:categoryFilterException>
                  <c15:sqref>Indicators!$M$5</c15:sqref>
                  <c15:spPr xmlns:c15="http://schemas.microsoft.com/office/drawing/2012/chart">
                    <a:solidFill>
                      <a:srgbClr val="156082"/>
                    </a:solidFill>
                    <a:ln>
                      <a:noFill/>
                    </a:ln>
                    <a:effectLst/>
                  </c15:spPr>
                  <c15:invertIfNegative val="0"/>
                  <c15:bubble3D val="0"/>
                </c15:categoryFilterException>
                <c15:categoryFilterException>
                  <c15:sqref>Indicators!$N$5</c15:sqref>
                  <c15:spPr xmlns:c15="http://schemas.microsoft.com/office/drawing/2012/chart">
                    <a:solidFill>
                      <a:srgbClr val="C00000"/>
                    </a:solidFill>
                    <a:ln>
                      <a:noFill/>
                    </a:ln>
                    <a:effectLst/>
                  </c15:spPr>
                  <c15:invertIfNegative val="0"/>
                  <c15:bubble3D val="0"/>
                </c15:categoryFilterException>
              </c15:categoryFilterExceptions>
            </c:ext>
            <c:ext xmlns:c16="http://schemas.microsoft.com/office/drawing/2014/chart" uri="{C3380CC4-5D6E-409C-BE32-E72D297353CC}">
              <c16:uniqueId val="{0000000C-DC7F-4979-A423-DD3F6A08AEDE}"/>
            </c:ext>
          </c:extLst>
        </c:ser>
        <c:dLbls>
          <c:dLblPos val="outEnd"/>
          <c:showLegendKey val="0"/>
          <c:showVal val="1"/>
          <c:showCatName val="0"/>
          <c:showSerName val="0"/>
          <c:showPercent val="0"/>
          <c:showBubbleSize val="0"/>
        </c:dLbls>
        <c:gapWidth val="219"/>
        <c:overlap val="-27"/>
        <c:axId val="1271923263"/>
        <c:axId val="825197263"/>
      </c:barChart>
      <c:catAx>
        <c:axId val="1271923263"/>
        <c:scaling>
          <c:orientation val="minMax"/>
        </c:scaling>
        <c:delete val="0"/>
        <c:axPos val="b"/>
        <c:numFmt formatCode="General" sourceLinked="1"/>
        <c:majorTickMark val="none"/>
        <c:minorTickMark val="none"/>
        <c:tickLblPos val="nextTo"/>
        <c:spPr>
          <a:noFill/>
          <a:ln w="9525" cap="flat" cmpd="sng" algn="ctr">
            <a:noFill/>
            <a:round/>
            <a:headEnd type="none"/>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825197263"/>
        <c:crosses val="autoZero"/>
        <c:auto val="1"/>
        <c:lblAlgn val="ctr"/>
        <c:lblOffset val="100"/>
        <c:noMultiLvlLbl val="0"/>
      </c:catAx>
      <c:valAx>
        <c:axId val="82519726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12719232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Indicators!$B$14</c:f>
          <c:strCache>
            <c:ptCount val="1"/>
            <c:pt idx="0">
              <c:v>Projecta </c:v>
            </c:pt>
          </c:strCache>
        </c:strRef>
      </c:tx>
      <c:layout>
        <c:manualLayout>
          <c:xMode val="edge"/>
          <c:yMode val="edge"/>
          <c:x val="0.44999270784687895"/>
          <c:y val="2.2322417477621891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endParaRPr lang="en-US"/>
        </a:p>
      </c:txPr>
    </c:title>
    <c:autoTitleDeleted val="0"/>
    <c:plotArea>
      <c:layout>
        <c:manualLayout>
          <c:layoutTarget val="inner"/>
          <c:xMode val="edge"/>
          <c:yMode val="edge"/>
          <c:x val="5.7939049387013178E-2"/>
          <c:y val="0.12835475481497768"/>
          <c:w val="0.92607253354990915"/>
          <c:h val="0.53867702138742002"/>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523A-4A1D-92AF-C4A126185A4F}"/>
              </c:ext>
            </c:extLst>
          </c:dPt>
          <c:dPt>
            <c:idx val="1"/>
            <c:invertIfNegative val="0"/>
            <c:bubble3D val="0"/>
            <c:spPr>
              <a:solidFill>
                <a:srgbClr val="FFC000"/>
              </a:solidFill>
              <a:ln>
                <a:noFill/>
              </a:ln>
              <a:effectLst/>
            </c:spPr>
            <c:extLst>
              <c:ext xmlns:c16="http://schemas.microsoft.com/office/drawing/2014/chart" uri="{C3380CC4-5D6E-409C-BE32-E72D297353CC}">
                <c16:uniqueId val="{00000003-523A-4A1D-92AF-C4A126185A4F}"/>
              </c:ext>
            </c:extLst>
          </c:dPt>
          <c:dPt>
            <c:idx val="2"/>
            <c:invertIfNegative val="0"/>
            <c:bubble3D val="0"/>
            <c:spPr>
              <a:solidFill>
                <a:srgbClr val="92D050"/>
              </a:solidFill>
              <a:ln>
                <a:noFill/>
              </a:ln>
              <a:effectLst/>
            </c:spPr>
            <c:extLst>
              <c:ext xmlns:c16="http://schemas.microsoft.com/office/drawing/2014/chart" uri="{C3380CC4-5D6E-409C-BE32-E72D297353CC}">
                <c16:uniqueId val="{00000005-523A-4A1D-92AF-C4A126185A4F}"/>
              </c:ext>
            </c:extLst>
          </c:dPt>
          <c:dPt>
            <c:idx val="3"/>
            <c:invertIfNegative val="0"/>
            <c:bubble3D val="0"/>
            <c:spPr>
              <a:solidFill>
                <a:schemeClr val="accent2">
                  <a:lumMod val="75000"/>
                </a:schemeClr>
              </a:solidFill>
              <a:ln>
                <a:noFill/>
              </a:ln>
              <a:effectLst/>
            </c:spPr>
            <c:extLst>
              <c:ext xmlns:c16="http://schemas.microsoft.com/office/drawing/2014/chart" uri="{C3380CC4-5D6E-409C-BE32-E72D297353CC}">
                <c16:uniqueId val="{00000007-523A-4A1D-92AF-C4A126185A4F}"/>
              </c:ext>
            </c:extLst>
          </c:dPt>
          <c:dPt>
            <c:idx val="4"/>
            <c:invertIfNegative val="0"/>
            <c:bubble3D val="0"/>
            <c:spPr>
              <a:solidFill>
                <a:srgbClr val="00B0F0"/>
              </a:solidFill>
              <a:ln>
                <a:noFill/>
              </a:ln>
              <a:effectLst/>
            </c:spPr>
            <c:extLst>
              <c:ext xmlns:c16="http://schemas.microsoft.com/office/drawing/2014/chart" uri="{C3380CC4-5D6E-409C-BE32-E72D297353CC}">
                <c16:uniqueId val="{00000009-523A-4A1D-92AF-C4A126185A4F}"/>
              </c:ext>
            </c:extLst>
          </c:dPt>
          <c:dPt>
            <c:idx val="5"/>
            <c:invertIfNegative val="0"/>
            <c:bubble3D val="0"/>
            <c:spPr>
              <a:solidFill>
                <a:srgbClr val="FBE3D6"/>
              </a:solidFill>
              <a:ln>
                <a:noFill/>
              </a:ln>
              <a:effectLst/>
            </c:spPr>
            <c:extLst>
              <c:ext xmlns:c16="http://schemas.microsoft.com/office/drawing/2014/chart" uri="{C3380CC4-5D6E-409C-BE32-E72D297353CC}">
                <c16:uniqueId val="{0000000B-523A-4A1D-92AF-C4A126185A4F}"/>
              </c:ext>
            </c:extLst>
          </c:dPt>
          <c:dPt>
            <c:idx val="6"/>
            <c:invertIfNegative val="0"/>
            <c:bubble3D val="0"/>
            <c:spPr>
              <a:solidFill>
                <a:srgbClr val="215F9A"/>
              </a:solidFill>
              <a:ln>
                <a:noFill/>
              </a:ln>
              <a:effectLst/>
            </c:spPr>
            <c:extLst>
              <c:ext xmlns:c16="http://schemas.microsoft.com/office/drawing/2014/chart" uri="{C3380CC4-5D6E-409C-BE32-E72D297353CC}">
                <c16:uniqueId val="{0000000D-523A-4A1D-92AF-C4A126185A4F}"/>
              </c:ext>
            </c:extLst>
          </c:dPt>
          <c:dPt>
            <c:idx val="7"/>
            <c:invertIfNegative val="0"/>
            <c:bubble3D val="0"/>
            <c:spPr>
              <a:solidFill>
                <a:srgbClr val="4E95D9"/>
              </a:solidFill>
              <a:ln>
                <a:noFill/>
              </a:ln>
              <a:effectLst/>
            </c:spPr>
            <c:extLst>
              <c:ext xmlns:c16="http://schemas.microsoft.com/office/drawing/2014/chart" uri="{C3380CC4-5D6E-409C-BE32-E72D297353CC}">
                <c16:uniqueId val="{0000000F-523A-4A1D-92AF-C4A126185A4F}"/>
              </c:ext>
            </c:extLst>
          </c:dPt>
          <c:dPt>
            <c:idx val="8"/>
            <c:invertIfNegative val="0"/>
            <c:bubble3D val="0"/>
            <c:spPr>
              <a:solidFill>
                <a:srgbClr val="A6CAEC"/>
              </a:solidFill>
              <a:ln>
                <a:noFill/>
              </a:ln>
              <a:effectLst/>
            </c:spPr>
            <c:extLst>
              <c:ext xmlns:c16="http://schemas.microsoft.com/office/drawing/2014/chart" uri="{C3380CC4-5D6E-409C-BE32-E72D297353CC}">
                <c16:uniqueId val="{00000011-523A-4A1D-92AF-C4A126185A4F}"/>
              </c:ext>
            </c:extLst>
          </c:dPt>
          <c:dPt>
            <c:idx val="9"/>
            <c:invertIfNegative val="0"/>
            <c:bubble3D val="0"/>
            <c:spPr>
              <a:solidFill>
                <a:srgbClr val="DCEAF7"/>
              </a:solidFill>
              <a:ln>
                <a:noFill/>
              </a:ln>
              <a:effectLst/>
            </c:spPr>
            <c:extLst>
              <c:ext xmlns:c16="http://schemas.microsoft.com/office/drawing/2014/chart" uri="{C3380CC4-5D6E-409C-BE32-E72D297353CC}">
                <c16:uniqueId val="{00000013-523A-4A1D-92AF-C4A126185A4F}"/>
              </c:ext>
            </c:extLst>
          </c:dPt>
          <c:dPt>
            <c:idx val="10"/>
            <c:invertIfNegative val="0"/>
            <c:bubble3D val="0"/>
            <c:spPr>
              <a:solidFill>
                <a:srgbClr val="D9D9D9"/>
              </a:solidFill>
              <a:ln>
                <a:noFill/>
              </a:ln>
              <a:effectLst/>
            </c:spPr>
            <c:extLst>
              <c:ext xmlns:c16="http://schemas.microsoft.com/office/drawing/2014/chart" uri="{C3380CC4-5D6E-409C-BE32-E72D297353CC}">
                <c16:uniqueId val="{00000015-523A-4A1D-92AF-C4A126185A4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Indicators!$C$13:$M$13</c:f>
              <c:strCache>
                <c:ptCount val="11"/>
                <c:pt idx="0">
                  <c:v>Total Available hours</c:v>
                </c:pt>
                <c:pt idx="1">
                  <c:v>Total Actual hours</c:v>
                </c:pt>
                <c:pt idx="2">
                  <c:v>Actual hours for completed activites</c:v>
                </c:pt>
                <c:pt idx="3">
                  <c:v>Actual hours for WIP activites</c:v>
                </c:pt>
                <c:pt idx="4">
                  <c:v>Actual hours for Strategic goals</c:v>
                </c:pt>
                <c:pt idx="5">
                  <c:v>Actual hours for Sales support</c:v>
                </c:pt>
                <c:pt idx="6">
                  <c:v>Actual hours for Operations support</c:v>
                </c:pt>
                <c:pt idx="7">
                  <c:v>Actual hours for Stand-VAVE-MA-BM Activities</c:v>
                </c:pt>
                <c:pt idx="8">
                  <c:v>Actual hours for Trainings-Expo-Conferences</c:v>
                </c:pt>
                <c:pt idx="9">
                  <c:v>Actual hours for Other Hours</c:v>
                </c:pt>
                <c:pt idx="10">
                  <c:v>Actual hours for Research</c:v>
                </c:pt>
              </c:strCache>
            </c:strRef>
          </c:cat>
          <c:val>
            <c:numRef>
              <c:f>Indicators!$C$14:$M$14</c:f>
              <c:numCache>
                <c:formatCode>0.00</c:formatCode>
                <c:ptCount val="11"/>
                <c:pt idx="0">
                  <c:v>0</c:v>
                </c:pt>
                <c:pt idx="1">
                  <c:v>165</c:v>
                </c:pt>
                <c:pt idx="2">
                  <c:v>60.5</c:v>
                </c:pt>
                <c:pt idx="3">
                  <c:v>38</c:v>
                </c:pt>
                <c:pt idx="4">
                  <c:v>0</c:v>
                </c:pt>
                <c:pt idx="5">
                  <c:v>0</c:v>
                </c:pt>
                <c:pt idx="6">
                  <c:v>0</c:v>
                </c:pt>
                <c:pt idx="7">
                  <c:v>0</c:v>
                </c:pt>
                <c:pt idx="8">
                  <c:v>64</c:v>
                </c:pt>
                <c:pt idx="9">
                  <c:v>2.5</c:v>
                </c:pt>
                <c:pt idx="10">
                  <c:v>0</c:v>
                </c:pt>
              </c:numCache>
            </c:numRef>
          </c:val>
          <c:extLst>
            <c:ext xmlns:c16="http://schemas.microsoft.com/office/drawing/2014/chart" uri="{C3380CC4-5D6E-409C-BE32-E72D297353CC}">
              <c16:uniqueId val="{00000018-523A-4A1D-92AF-C4A126185A4F}"/>
            </c:ext>
          </c:extLst>
        </c:ser>
        <c:dLbls>
          <c:dLblPos val="outEnd"/>
          <c:showLegendKey val="0"/>
          <c:showVal val="1"/>
          <c:showCatName val="0"/>
          <c:showSerName val="0"/>
          <c:showPercent val="0"/>
          <c:showBubbleSize val="0"/>
        </c:dLbls>
        <c:gapWidth val="219"/>
        <c:overlap val="-27"/>
        <c:axId val="1939904880"/>
        <c:axId val="1902053152"/>
      </c:barChart>
      <c:catAx>
        <c:axId val="193990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100" b="1" i="0" u="none" strike="noStrike" kern="1200" baseline="0">
                <a:solidFill>
                  <a:srgbClr val="002060"/>
                </a:solidFill>
                <a:latin typeface="+mn-lt"/>
                <a:ea typeface="+mn-ea"/>
                <a:cs typeface="+mn-cs"/>
              </a:defRPr>
            </a:pPr>
            <a:endParaRPr lang="en-US"/>
          </a:p>
        </c:txPr>
        <c:crossAx val="1902053152"/>
        <c:crosses val="autoZero"/>
        <c:auto val="1"/>
        <c:lblAlgn val="ctr"/>
        <c:lblOffset val="100"/>
        <c:noMultiLvlLbl val="0"/>
      </c:catAx>
      <c:valAx>
        <c:axId val="190205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1939904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r>
              <a:rPr lang="en-US" sz="1600" b="1" i="0" u="none" strike="noStrike" kern="1200" spc="0" baseline="0">
                <a:solidFill>
                  <a:srgbClr val="002060"/>
                </a:solidFill>
              </a:rPr>
              <a:t> </a:t>
            </a:r>
            <a:r>
              <a:rPr lang="en-US" sz="1600"/>
              <a:t>Projecta (Platform</a:t>
            </a:r>
            <a:r>
              <a:rPr lang="en-US" sz="1600" baseline="0"/>
              <a:t> vs </a:t>
            </a:r>
            <a:r>
              <a:rPr lang="en-US" sz="1600"/>
              <a:t>Efficiency)</a:t>
            </a:r>
          </a:p>
        </c:rich>
      </c:tx>
      <c:layout>
        <c:manualLayout>
          <c:xMode val="edge"/>
          <c:yMode val="edge"/>
          <c:x val="0.34178027923395221"/>
          <c:y val="2.5777030509173366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endParaRPr lang="en-US"/>
        </a:p>
      </c:txPr>
    </c:title>
    <c:autoTitleDeleted val="0"/>
    <c:plotArea>
      <c:layout>
        <c:manualLayout>
          <c:layoutTarget val="inner"/>
          <c:xMode val="edge"/>
          <c:yMode val="edge"/>
          <c:x val="8.1471419111053378E-2"/>
          <c:y val="0.10506021630062667"/>
          <c:w val="0.90035262897126367"/>
          <c:h val="0.77024778536104532"/>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FFC000"/>
              </a:solidFill>
              <a:ln>
                <a:noFill/>
              </a:ln>
              <a:effectLst/>
            </c:spPr>
            <c:extLst>
              <c:ext xmlns:c16="http://schemas.microsoft.com/office/drawing/2014/chart" uri="{C3380CC4-5D6E-409C-BE32-E72D297353CC}">
                <c16:uniqueId val="{00000001-AAAF-456F-8D6A-BB83D59E4AEB}"/>
              </c:ext>
            </c:extLst>
          </c:dPt>
          <c:dPt>
            <c:idx val="1"/>
            <c:invertIfNegative val="0"/>
            <c:bubble3D val="0"/>
            <c:spPr>
              <a:solidFill>
                <a:srgbClr val="92D050"/>
              </a:solidFill>
              <a:ln>
                <a:noFill/>
              </a:ln>
              <a:effectLst/>
            </c:spPr>
            <c:extLst>
              <c:ext xmlns:c16="http://schemas.microsoft.com/office/drawing/2014/chart" uri="{C3380CC4-5D6E-409C-BE32-E72D297353CC}">
                <c16:uniqueId val="{00000003-AAAF-456F-8D6A-BB83D59E4AEB}"/>
              </c:ext>
            </c:extLst>
          </c:dPt>
          <c:dPt>
            <c:idx val="2"/>
            <c:invertIfNegative val="0"/>
            <c:bubble3D val="0"/>
            <c:spPr>
              <a:solidFill>
                <a:srgbClr val="C00000"/>
              </a:solidFill>
              <a:ln>
                <a:noFill/>
              </a:ln>
              <a:effectLst/>
            </c:spPr>
            <c:extLst>
              <c:ext xmlns:c16="http://schemas.microsoft.com/office/drawing/2014/chart" uri="{C3380CC4-5D6E-409C-BE32-E72D297353CC}">
                <c16:uniqueId val="{00000005-AAAF-456F-8D6A-BB83D59E4AEB}"/>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Indicators!$B$15:$B$17</c:f>
              <c:strCache>
                <c:ptCount val="3"/>
                <c:pt idx="0">
                  <c:v>FPGA</c:v>
                </c:pt>
                <c:pt idx="1">
                  <c:v>PLC Programming</c:v>
                </c:pt>
                <c:pt idx="2">
                  <c:v>Software Development</c:v>
                </c:pt>
              </c:strCache>
            </c:strRef>
          </c:cat>
          <c:val>
            <c:numRef>
              <c:f>Indicators!$N$15:$N$17</c:f>
              <c:numCache>
                <c:formatCode>0.00%</c:formatCode>
                <c:ptCount val="3"/>
                <c:pt idx="0">
                  <c:v>0</c:v>
                </c:pt>
                <c:pt idx="1">
                  <c:v>0</c:v>
                </c:pt>
                <c:pt idx="2">
                  <c:v>0</c:v>
                </c:pt>
              </c:numCache>
            </c:numRef>
          </c:val>
          <c:extLst>
            <c:ext xmlns:c16="http://schemas.microsoft.com/office/drawing/2014/chart" uri="{C3380CC4-5D6E-409C-BE32-E72D297353CC}">
              <c16:uniqueId val="{00000008-AAAF-456F-8D6A-BB83D59E4AEB}"/>
            </c:ext>
          </c:extLst>
        </c:ser>
        <c:dLbls>
          <c:dLblPos val="outEnd"/>
          <c:showLegendKey val="0"/>
          <c:showVal val="1"/>
          <c:showCatName val="0"/>
          <c:showSerName val="0"/>
          <c:showPercent val="0"/>
          <c:showBubbleSize val="0"/>
        </c:dLbls>
        <c:gapWidth val="219"/>
        <c:axId val="287146240"/>
        <c:axId val="1845870560"/>
      </c:barChart>
      <c:catAx>
        <c:axId val="28714624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rgbClr val="002060"/>
                </a:solidFill>
                <a:latin typeface="+mn-lt"/>
                <a:ea typeface="+mn-ea"/>
                <a:cs typeface="+mn-cs"/>
              </a:defRPr>
            </a:pPr>
            <a:endParaRPr lang="en-US"/>
          </a:p>
        </c:txPr>
        <c:crossAx val="1845870560"/>
        <c:crosses val="autoZero"/>
        <c:auto val="1"/>
        <c:lblAlgn val="ctr"/>
        <c:lblOffset val="100"/>
        <c:noMultiLvlLbl val="0"/>
      </c:catAx>
      <c:valAx>
        <c:axId val="1845870560"/>
        <c:scaling>
          <c:orientation val="minMax"/>
          <c:max val="1"/>
          <c:min val="0.60000000000000009"/>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287146240"/>
        <c:crosses val="autoZero"/>
        <c:crossBetween val="between"/>
        <c:majorUnit val="5.000000000000001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Indicators!$B$15</c:f>
          <c:strCache>
            <c:ptCount val="1"/>
            <c:pt idx="0">
              <c:v>FPGA</c:v>
            </c:pt>
          </c:strCache>
        </c:strRef>
      </c:tx>
      <c:layout>
        <c:manualLayout>
          <c:xMode val="edge"/>
          <c:yMode val="edge"/>
          <c:x val="0.40541665977140967"/>
          <c:y val="2.0038256478598235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endParaRPr lang="en-US"/>
        </a:p>
      </c:txPr>
    </c:title>
    <c:autoTitleDeleted val="0"/>
    <c:plotArea>
      <c:layout>
        <c:manualLayout>
          <c:layoutTarget val="inner"/>
          <c:xMode val="edge"/>
          <c:yMode val="edge"/>
          <c:x val="5.7939049387013178E-2"/>
          <c:y val="0.12835475481497768"/>
          <c:w val="0.92607253354990915"/>
          <c:h val="0.53867702138742002"/>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EAA9-475C-ABB2-71189D40065F}"/>
              </c:ext>
            </c:extLst>
          </c:dPt>
          <c:dPt>
            <c:idx val="1"/>
            <c:invertIfNegative val="0"/>
            <c:bubble3D val="0"/>
            <c:spPr>
              <a:solidFill>
                <a:srgbClr val="FFC000"/>
              </a:solidFill>
              <a:ln>
                <a:noFill/>
              </a:ln>
              <a:effectLst/>
            </c:spPr>
            <c:extLst>
              <c:ext xmlns:c16="http://schemas.microsoft.com/office/drawing/2014/chart" uri="{C3380CC4-5D6E-409C-BE32-E72D297353CC}">
                <c16:uniqueId val="{00000003-EAA9-475C-ABB2-71189D40065F}"/>
              </c:ext>
            </c:extLst>
          </c:dPt>
          <c:dPt>
            <c:idx val="2"/>
            <c:invertIfNegative val="0"/>
            <c:bubble3D val="0"/>
            <c:spPr>
              <a:solidFill>
                <a:srgbClr val="92D050"/>
              </a:solidFill>
              <a:ln>
                <a:noFill/>
              </a:ln>
              <a:effectLst/>
            </c:spPr>
            <c:extLst>
              <c:ext xmlns:c16="http://schemas.microsoft.com/office/drawing/2014/chart" uri="{C3380CC4-5D6E-409C-BE32-E72D297353CC}">
                <c16:uniqueId val="{00000005-EAA9-475C-ABB2-71189D40065F}"/>
              </c:ext>
            </c:extLst>
          </c:dPt>
          <c:dPt>
            <c:idx val="3"/>
            <c:invertIfNegative val="0"/>
            <c:bubble3D val="0"/>
            <c:spPr>
              <a:solidFill>
                <a:srgbClr val="C00000"/>
              </a:solidFill>
              <a:ln>
                <a:noFill/>
              </a:ln>
              <a:effectLst/>
            </c:spPr>
            <c:extLst>
              <c:ext xmlns:c16="http://schemas.microsoft.com/office/drawing/2014/chart" uri="{C3380CC4-5D6E-409C-BE32-E72D297353CC}">
                <c16:uniqueId val="{00000007-EAA9-475C-ABB2-71189D40065F}"/>
              </c:ext>
            </c:extLst>
          </c:dPt>
          <c:dPt>
            <c:idx val="4"/>
            <c:invertIfNegative val="0"/>
            <c:bubble3D val="0"/>
            <c:spPr>
              <a:solidFill>
                <a:srgbClr val="00B0F0"/>
              </a:solidFill>
              <a:ln>
                <a:noFill/>
              </a:ln>
              <a:effectLst/>
            </c:spPr>
            <c:extLst>
              <c:ext xmlns:c16="http://schemas.microsoft.com/office/drawing/2014/chart" uri="{C3380CC4-5D6E-409C-BE32-E72D297353CC}">
                <c16:uniqueId val="{00000009-EAA9-475C-ABB2-71189D40065F}"/>
              </c:ext>
            </c:extLst>
          </c:dPt>
          <c:dPt>
            <c:idx val="5"/>
            <c:invertIfNegative val="0"/>
            <c:bubble3D val="0"/>
            <c:spPr>
              <a:solidFill>
                <a:srgbClr val="FBE3D6"/>
              </a:solidFill>
              <a:ln>
                <a:noFill/>
              </a:ln>
              <a:effectLst/>
            </c:spPr>
            <c:extLst>
              <c:ext xmlns:c16="http://schemas.microsoft.com/office/drawing/2014/chart" uri="{C3380CC4-5D6E-409C-BE32-E72D297353CC}">
                <c16:uniqueId val="{0000000B-EAA9-475C-ABB2-71189D40065F}"/>
              </c:ext>
            </c:extLst>
          </c:dPt>
          <c:dPt>
            <c:idx val="6"/>
            <c:invertIfNegative val="0"/>
            <c:bubble3D val="0"/>
            <c:spPr>
              <a:solidFill>
                <a:srgbClr val="215F9A"/>
              </a:solidFill>
              <a:ln>
                <a:noFill/>
              </a:ln>
              <a:effectLst/>
            </c:spPr>
            <c:extLst>
              <c:ext xmlns:c16="http://schemas.microsoft.com/office/drawing/2014/chart" uri="{C3380CC4-5D6E-409C-BE32-E72D297353CC}">
                <c16:uniqueId val="{0000000D-EAA9-475C-ABB2-71189D40065F}"/>
              </c:ext>
            </c:extLst>
          </c:dPt>
          <c:dPt>
            <c:idx val="7"/>
            <c:invertIfNegative val="0"/>
            <c:bubble3D val="0"/>
            <c:spPr>
              <a:solidFill>
                <a:srgbClr val="4E95D9"/>
              </a:solidFill>
              <a:ln>
                <a:noFill/>
              </a:ln>
              <a:effectLst/>
            </c:spPr>
            <c:extLst>
              <c:ext xmlns:c16="http://schemas.microsoft.com/office/drawing/2014/chart" uri="{C3380CC4-5D6E-409C-BE32-E72D297353CC}">
                <c16:uniqueId val="{0000000F-EAA9-475C-ABB2-71189D40065F}"/>
              </c:ext>
            </c:extLst>
          </c:dPt>
          <c:dPt>
            <c:idx val="8"/>
            <c:invertIfNegative val="0"/>
            <c:bubble3D val="0"/>
            <c:spPr>
              <a:solidFill>
                <a:srgbClr val="A6CAEC"/>
              </a:solidFill>
              <a:ln>
                <a:noFill/>
              </a:ln>
              <a:effectLst/>
            </c:spPr>
            <c:extLst>
              <c:ext xmlns:c16="http://schemas.microsoft.com/office/drawing/2014/chart" uri="{C3380CC4-5D6E-409C-BE32-E72D297353CC}">
                <c16:uniqueId val="{00000011-EAA9-475C-ABB2-71189D40065F}"/>
              </c:ext>
            </c:extLst>
          </c:dPt>
          <c:dPt>
            <c:idx val="9"/>
            <c:invertIfNegative val="0"/>
            <c:bubble3D val="0"/>
            <c:spPr>
              <a:solidFill>
                <a:srgbClr val="DCEAF7"/>
              </a:solidFill>
              <a:ln>
                <a:noFill/>
              </a:ln>
              <a:effectLst/>
            </c:spPr>
            <c:extLst>
              <c:ext xmlns:c16="http://schemas.microsoft.com/office/drawing/2014/chart" uri="{C3380CC4-5D6E-409C-BE32-E72D297353CC}">
                <c16:uniqueId val="{00000013-EAA9-475C-ABB2-71189D40065F}"/>
              </c:ext>
            </c:extLst>
          </c:dPt>
          <c:dPt>
            <c:idx val="10"/>
            <c:invertIfNegative val="0"/>
            <c:bubble3D val="0"/>
            <c:spPr>
              <a:solidFill>
                <a:srgbClr val="D9D9D9"/>
              </a:solidFill>
              <a:ln>
                <a:noFill/>
              </a:ln>
              <a:effectLst/>
            </c:spPr>
            <c:extLst>
              <c:ext xmlns:c16="http://schemas.microsoft.com/office/drawing/2014/chart" uri="{C3380CC4-5D6E-409C-BE32-E72D297353CC}">
                <c16:uniqueId val="{00000015-EAA9-475C-ABB2-71189D40065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Indicators!$C$13:$M$13</c:f>
              <c:strCache>
                <c:ptCount val="11"/>
                <c:pt idx="0">
                  <c:v>Total Available hours</c:v>
                </c:pt>
                <c:pt idx="1">
                  <c:v>Total Actual hours</c:v>
                </c:pt>
                <c:pt idx="2">
                  <c:v>Actual hours for completed activites</c:v>
                </c:pt>
                <c:pt idx="3">
                  <c:v>Actual hours for WIP activites</c:v>
                </c:pt>
                <c:pt idx="4">
                  <c:v>Actual hours for Strategic goals</c:v>
                </c:pt>
                <c:pt idx="5">
                  <c:v>Actual hours for Sales support</c:v>
                </c:pt>
                <c:pt idx="6">
                  <c:v>Actual hours for Operations support</c:v>
                </c:pt>
                <c:pt idx="7">
                  <c:v>Actual hours for Stand-VAVE-MA-BM Activities</c:v>
                </c:pt>
                <c:pt idx="8">
                  <c:v>Actual hours for Trainings-Expo-Conferences</c:v>
                </c:pt>
                <c:pt idx="9">
                  <c:v>Actual hours for Other Hours</c:v>
                </c:pt>
                <c:pt idx="10">
                  <c:v>Actual hours for Research</c:v>
                </c:pt>
              </c:strCache>
            </c:strRef>
          </c:cat>
          <c:val>
            <c:numRef>
              <c:f>Indicators!$C$15:$M$15</c:f>
              <c:numCache>
                <c:formatCode>0.00</c:formatCode>
                <c:ptCount val="11"/>
                <c:pt idx="0">
                  <c:v>0</c:v>
                </c:pt>
                <c:pt idx="1">
                  <c:v>82</c:v>
                </c:pt>
                <c:pt idx="2">
                  <c:v>60.5</c:v>
                </c:pt>
                <c:pt idx="3">
                  <c:v>0</c:v>
                </c:pt>
                <c:pt idx="4">
                  <c:v>0</c:v>
                </c:pt>
                <c:pt idx="5">
                  <c:v>0</c:v>
                </c:pt>
                <c:pt idx="6">
                  <c:v>0</c:v>
                </c:pt>
                <c:pt idx="7">
                  <c:v>0</c:v>
                </c:pt>
                <c:pt idx="8">
                  <c:v>19</c:v>
                </c:pt>
                <c:pt idx="9">
                  <c:v>2.5</c:v>
                </c:pt>
                <c:pt idx="10">
                  <c:v>0</c:v>
                </c:pt>
              </c:numCache>
            </c:numRef>
          </c:val>
          <c:extLst>
            <c:ext xmlns:c16="http://schemas.microsoft.com/office/drawing/2014/chart" uri="{C3380CC4-5D6E-409C-BE32-E72D297353CC}">
              <c16:uniqueId val="{00000018-EAA9-475C-ABB2-71189D40065F}"/>
            </c:ext>
          </c:extLst>
        </c:ser>
        <c:dLbls>
          <c:dLblPos val="outEnd"/>
          <c:showLegendKey val="0"/>
          <c:showVal val="1"/>
          <c:showCatName val="0"/>
          <c:showSerName val="0"/>
          <c:showPercent val="0"/>
          <c:showBubbleSize val="0"/>
        </c:dLbls>
        <c:gapWidth val="219"/>
        <c:overlap val="-27"/>
        <c:axId val="1939904880"/>
        <c:axId val="1902053152"/>
      </c:barChart>
      <c:catAx>
        <c:axId val="193990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100" b="1" i="0" u="none" strike="noStrike" kern="1200" baseline="0">
                <a:solidFill>
                  <a:srgbClr val="002060"/>
                </a:solidFill>
                <a:latin typeface="+mn-lt"/>
                <a:ea typeface="+mn-ea"/>
                <a:cs typeface="+mn-cs"/>
              </a:defRPr>
            </a:pPr>
            <a:endParaRPr lang="en-US"/>
          </a:p>
        </c:txPr>
        <c:crossAx val="1902053152"/>
        <c:crosses val="autoZero"/>
        <c:auto val="1"/>
        <c:lblAlgn val="ctr"/>
        <c:lblOffset val="100"/>
        <c:noMultiLvlLbl val="0"/>
      </c:catAx>
      <c:valAx>
        <c:axId val="190205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1939904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4"/>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Indicators!$B$16</c:f>
          <c:strCache>
            <c:ptCount val="1"/>
            <c:pt idx="0">
              <c:v>PLC Programming</c:v>
            </c:pt>
          </c:strCache>
        </c:strRef>
      </c:tx>
      <c:layout>
        <c:manualLayout>
          <c:xMode val="edge"/>
          <c:yMode val="edge"/>
          <c:x val="0.37208922449048865"/>
          <c:y val="2.455552516289207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endParaRPr lang="en-US"/>
        </a:p>
      </c:txPr>
    </c:title>
    <c:autoTitleDeleted val="0"/>
    <c:plotArea>
      <c:layout>
        <c:manualLayout>
          <c:layoutTarget val="inner"/>
          <c:xMode val="edge"/>
          <c:yMode val="edge"/>
          <c:x val="5.7939049387013178E-2"/>
          <c:y val="0.12835475481497768"/>
          <c:w val="0.92607253354990915"/>
          <c:h val="0.53867702138742002"/>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040A-4BE1-BEA4-5C0F66A7906A}"/>
              </c:ext>
            </c:extLst>
          </c:dPt>
          <c:dPt>
            <c:idx val="1"/>
            <c:invertIfNegative val="0"/>
            <c:bubble3D val="0"/>
            <c:spPr>
              <a:solidFill>
                <a:srgbClr val="FFC000"/>
              </a:solidFill>
              <a:ln>
                <a:noFill/>
              </a:ln>
              <a:effectLst/>
            </c:spPr>
            <c:extLst>
              <c:ext xmlns:c16="http://schemas.microsoft.com/office/drawing/2014/chart" uri="{C3380CC4-5D6E-409C-BE32-E72D297353CC}">
                <c16:uniqueId val="{00000003-040A-4BE1-BEA4-5C0F66A7906A}"/>
              </c:ext>
            </c:extLst>
          </c:dPt>
          <c:dPt>
            <c:idx val="2"/>
            <c:invertIfNegative val="0"/>
            <c:bubble3D val="0"/>
            <c:spPr>
              <a:solidFill>
                <a:srgbClr val="92D050"/>
              </a:solidFill>
              <a:ln>
                <a:noFill/>
              </a:ln>
              <a:effectLst/>
            </c:spPr>
            <c:extLst>
              <c:ext xmlns:c16="http://schemas.microsoft.com/office/drawing/2014/chart" uri="{C3380CC4-5D6E-409C-BE32-E72D297353CC}">
                <c16:uniqueId val="{00000005-040A-4BE1-BEA4-5C0F66A7906A}"/>
              </c:ext>
            </c:extLst>
          </c:dPt>
          <c:dPt>
            <c:idx val="3"/>
            <c:invertIfNegative val="0"/>
            <c:bubble3D val="0"/>
            <c:spPr>
              <a:solidFill>
                <a:srgbClr val="C00000"/>
              </a:solidFill>
              <a:ln>
                <a:noFill/>
              </a:ln>
              <a:effectLst/>
            </c:spPr>
            <c:extLst>
              <c:ext xmlns:c16="http://schemas.microsoft.com/office/drawing/2014/chart" uri="{C3380CC4-5D6E-409C-BE32-E72D297353CC}">
                <c16:uniqueId val="{00000007-040A-4BE1-BEA4-5C0F66A7906A}"/>
              </c:ext>
            </c:extLst>
          </c:dPt>
          <c:dPt>
            <c:idx val="4"/>
            <c:invertIfNegative val="0"/>
            <c:bubble3D val="0"/>
            <c:spPr>
              <a:solidFill>
                <a:srgbClr val="00B0F0"/>
              </a:solidFill>
              <a:ln>
                <a:noFill/>
              </a:ln>
              <a:effectLst/>
            </c:spPr>
            <c:extLst>
              <c:ext xmlns:c16="http://schemas.microsoft.com/office/drawing/2014/chart" uri="{C3380CC4-5D6E-409C-BE32-E72D297353CC}">
                <c16:uniqueId val="{00000009-040A-4BE1-BEA4-5C0F66A7906A}"/>
              </c:ext>
            </c:extLst>
          </c:dPt>
          <c:dPt>
            <c:idx val="5"/>
            <c:invertIfNegative val="0"/>
            <c:bubble3D val="0"/>
            <c:spPr>
              <a:solidFill>
                <a:srgbClr val="FBE3D6"/>
              </a:solidFill>
              <a:ln>
                <a:noFill/>
              </a:ln>
              <a:effectLst/>
            </c:spPr>
            <c:extLst>
              <c:ext xmlns:c16="http://schemas.microsoft.com/office/drawing/2014/chart" uri="{C3380CC4-5D6E-409C-BE32-E72D297353CC}">
                <c16:uniqueId val="{0000000B-040A-4BE1-BEA4-5C0F66A7906A}"/>
              </c:ext>
            </c:extLst>
          </c:dPt>
          <c:dPt>
            <c:idx val="6"/>
            <c:invertIfNegative val="0"/>
            <c:bubble3D val="0"/>
            <c:spPr>
              <a:solidFill>
                <a:srgbClr val="215F9A"/>
              </a:solidFill>
              <a:ln>
                <a:noFill/>
              </a:ln>
              <a:effectLst/>
            </c:spPr>
            <c:extLst>
              <c:ext xmlns:c16="http://schemas.microsoft.com/office/drawing/2014/chart" uri="{C3380CC4-5D6E-409C-BE32-E72D297353CC}">
                <c16:uniqueId val="{0000000D-040A-4BE1-BEA4-5C0F66A7906A}"/>
              </c:ext>
            </c:extLst>
          </c:dPt>
          <c:dPt>
            <c:idx val="7"/>
            <c:invertIfNegative val="0"/>
            <c:bubble3D val="0"/>
            <c:spPr>
              <a:solidFill>
                <a:srgbClr val="4E95D9"/>
              </a:solidFill>
              <a:ln>
                <a:noFill/>
              </a:ln>
              <a:effectLst/>
            </c:spPr>
            <c:extLst>
              <c:ext xmlns:c16="http://schemas.microsoft.com/office/drawing/2014/chart" uri="{C3380CC4-5D6E-409C-BE32-E72D297353CC}">
                <c16:uniqueId val="{0000000F-040A-4BE1-BEA4-5C0F66A7906A}"/>
              </c:ext>
            </c:extLst>
          </c:dPt>
          <c:dPt>
            <c:idx val="8"/>
            <c:invertIfNegative val="0"/>
            <c:bubble3D val="0"/>
            <c:spPr>
              <a:solidFill>
                <a:srgbClr val="A6CAEC"/>
              </a:solidFill>
              <a:ln>
                <a:noFill/>
              </a:ln>
              <a:effectLst/>
            </c:spPr>
            <c:extLst>
              <c:ext xmlns:c16="http://schemas.microsoft.com/office/drawing/2014/chart" uri="{C3380CC4-5D6E-409C-BE32-E72D297353CC}">
                <c16:uniqueId val="{00000011-040A-4BE1-BEA4-5C0F66A7906A}"/>
              </c:ext>
            </c:extLst>
          </c:dPt>
          <c:dPt>
            <c:idx val="9"/>
            <c:invertIfNegative val="0"/>
            <c:bubble3D val="0"/>
            <c:spPr>
              <a:solidFill>
                <a:srgbClr val="DCEAF7"/>
              </a:solidFill>
              <a:ln>
                <a:noFill/>
              </a:ln>
              <a:effectLst/>
            </c:spPr>
            <c:extLst>
              <c:ext xmlns:c16="http://schemas.microsoft.com/office/drawing/2014/chart" uri="{C3380CC4-5D6E-409C-BE32-E72D297353CC}">
                <c16:uniqueId val="{00000013-040A-4BE1-BEA4-5C0F66A7906A}"/>
              </c:ext>
            </c:extLst>
          </c:dPt>
          <c:dPt>
            <c:idx val="10"/>
            <c:invertIfNegative val="0"/>
            <c:bubble3D val="0"/>
            <c:spPr>
              <a:solidFill>
                <a:srgbClr val="D9D9D9"/>
              </a:solidFill>
              <a:ln>
                <a:noFill/>
              </a:ln>
              <a:effectLst/>
            </c:spPr>
            <c:extLst>
              <c:ext xmlns:c16="http://schemas.microsoft.com/office/drawing/2014/chart" uri="{C3380CC4-5D6E-409C-BE32-E72D297353CC}">
                <c16:uniqueId val="{00000015-040A-4BE1-BEA4-5C0F66A7906A}"/>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Indicators!$C$13:$M$13</c:f>
              <c:strCache>
                <c:ptCount val="11"/>
                <c:pt idx="0">
                  <c:v>Total Available hours</c:v>
                </c:pt>
                <c:pt idx="1">
                  <c:v>Total Actual hours</c:v>
                </c:pt>
                <c:pt idx="2">
                  <c:v>Actual hours for completed activites</c:v>
                </c:pt>
                <c:pt idx="3">
                  <c:v>Actual hours for WIP activites</c:v>
                </c:pt>
                <c:pt idx="4">
                  <c:v>Actual hours for Strategic goals</c:v>
                </c:pt>
                <c:pt idx="5">
                  <c:v>Actual hours for Sales support</c:v>
                </c:pt>
                <c:pt idx="6">
                  <c:v>Actual hours for Operations support</c:v>
                </c:pt>
                <c:pt idx="7">
                  <c:v>Actual hours for Stand-VAVE-MA-BM Activities</c:v>
                </c:pt>
                <c:pt idx="8">
                  <c:v>Actual hours for Trainings-Expo-Conferences</c:v>
                </c:pt>
                <c:pt idx="9">
                  <c:v>Actual hours for Other Hours</c:v>
                </c:pt>
                <c:pt idx="10">
                  <c:v>Actual hours for Research</c:v>
                </c:pt>
              </c:strCache>
            </c:strRef>
          </c:cat>
          <c:val>
            <c:numRef>
              <c:f>Indicators!$C$16:$M$16</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18-040A-4BE1-BEA4-5C0F66A7906A}"/>
            </c:ext>
          </c:extLst>
        </c:ser>
        <c:dLbls>
          <c:dLblPos val="outEnd"/>
          <c:showLegendKey val="0"/>
          <c:showVal val="1"/>
          <c:showCatName val="0"/>
          <c:showSerName val="0"/>
          <c:showPercent val="0"/>
          <c:showBubbleSize val="0"/>
        </c:dLbls>
        <c:gapWidth val="219"/>
        <c:overlap val="-27"/>
        <c:axId val="1939904880"/>
        <c:axId val="1902053152"/>
      </c:barChart>
      <c:catAx>
        <c:axId val="193990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100" b="1" i="0" u="none" strike="noStrike" kern="1200" baseline="0">
                <a:solidFill>
                  <a:srgbClr val="002060"/>
                </a:solidFill>
                <a:latin typeface="+mn-lt"/>
                <a:ea typeface="+mn-ea"/>
                <a:cs typeface="+mn-cs"/>
              </a:defRPr>
            </a:pPr>
            <a:endParaRPr lang="en-US"/>
          </a:p>
        </c:txPr>
        <c:crossAx val="1902053152"/>
        <c:crosses val="autoZero"/>
        <c:auto val="1"/>
        <c:lblAlgn val="ctr"/>
        <c:lblOffset val="100"/>
        <c:noMultiLvlLbl val="0"/>
      </c:catAx>
      <c:valAx>
        <c:axId val="190205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1939904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4"/>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Indicators!$B$17</c:f>
          <c:strCache>
            <c:ptCount val="1"/>
            <c:pt idx="0">
              <c:v>Software Development</c:v>
            </c:pt>
          </c:strCache>
        </c:strRef>
      </c:tx>
      <c:layout>
        <c:manualLayout>
          <c:xMode val="edge"/>
          <c:yMode val="edge"/>
          <c:x val="0.36881445774160182"/>
          <c:y val="2.0038336116160804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endParaRPr lang="en-US"/>
        </a:p>
      </c:txPr>
    </c:title>
    <c:autoTitleDeleted val="0"/>
    <c:plotArea>
      <c:layout>
        <c:manualLayout>
          <c:layoutTarget val="inner"/>
          <c:xMode val="edge"/>
          <c:yMode val="edge"/>
          <c:x val="5.7939049387013178E-2"/>
          <c:y val="0.12835475481497768"/>
          <c:w val="0.92607253354990915"/>
          <c:h val="0.53867702138742002"/>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CA8E-420B-8F1B-1B3871F79B39}"/>
              </c:ext>
            </c:extLst>
          </c:dPt>
          <c:dPt>
            <c:idx val="1"/>
            <c:invertIfNegative val="0"/>
            <c:bubble3D val="0"/>
            <c:spPr>
              <a:solidFill>
                <a:srgbClr val="FFC000"/>
              </a:solidFill>
              <a:ln>
                <a:noFill/>
              </a:ln>
              <a:effectLst/>
            </c:spPr>
            <c:extLst>
              <c:ext xmlns:c16="http://schemas.microsoft.com/office/drawing/2014/chart" uri="{C3380CC4-5D6E-409C-BE32-E72D297353CC}">
                <c16:uniqueId val="{00000003-CA8E-420B-8F1B-1B3871F79B39}"/>
              </c:ext>
            </c:extLst>
          </c:dPt>
          <c:dPt>
            <c:idx val="2"/>
            <c:invertIfNegative val="0"/>
            <c:bubble3D val="0"/>
            <c:spPr>
              <a:solidFill>
                <a:srgbClr val="92D050"/>
              </a:solidFill>
              <a:ln>
                <a:noFill/>
              </a:ln>
              <a:effectLst/>
            </c:spPr>
            <c:extLst>
              <c:ext xmlns:c16="http://schemas.microsoft.com/office/drawing/2014/chart" uri="{C3380CC4-5D6E-409C-BE32-E72D297353CC}">
                <c16:uniqueId val="{00000005-CA8E-420B-8F1B-1B3871F79B39}"/>
              </c:ext>
            </c:extLst>
          </c:dPt>
          <c:dPt>
            <c:idx val="3"/>
            <c:invertIfNegative val="0"/>
            <c:bubble3D val="0"/>
            <c:spPr>
              <a:solidFill>
                <a:srgbClr val="C00000"/>
              </a:solidFill>
              <a:ln>
                <a:noFill/>
              </a:ln>
              <a:effectLst/>
            </c:spPr>
            <c:extLst>
              <c:ext xmlns:c16="http://schemas.microsoft.com/office/drawing/2014/chart" uri="{C3380CC4-5D6E-409C-BE32-E72D297353CC}">
                <c16:uniqueId val="{00000007-CA8E-420B-8F1B-1B3871F79B39}"/>
              </c:ext>
            </c:extLst>
          </c:dPt>
          <c:dPt>
            <c:idx val="4"/>
            <c:invertIfNegative val="0"/>
            <c:bubble3D val="0"/>
            <c:spPr>
              <a:solidFill>
                <a:srgbClr val="00B0F0"/>
              </a:solidFill>
              <a:ln>
                <a:noFill/>
              </a:ln>
              <a:effectLst/>
            </c:spPr>
            <c:extLst>
              <c:ext xmlns:c16="http://schemas.microsoft.com/office/drawing/2014/chart" uri="{C3380CC4-5D6E-409C-BE32-E72D297353CC}">
                <c16:uniqueId val="{00000009-CA8E-420B-8F1B-1B3871F79B39}"/>
              </c:ext>
            </c:extLst>
          </c:dPt>
          <c:dPt>
            <c:idx val="5"/>
            <c:invertIfNegative val="0"/>
            <c:bubble3D val="0"/>
            <c:spPr>
              <a:solidFill>
                <a:srgbClr val="FBE3D6"/>
              </a:solidFill>
              <a:ln>
                <a:noFill/>
              </a:ln>
              <a:effectLst/>
            </c:spPr>
            <c:extLst>
              <c:ext xmlns:c16="http://schemas.microsoft.com/office/drawing/2014/chart" uri="{C3380CC4-5D6E-409C-BE32-E72D297353CC}">
                <c16:uniqueId val="{0000000B-CA8E-420B-8F1B-1B3871F79B39}"/>
              </c:ext>
            </c:extLst>
          </c:dPt>
          <c:dPt>
            <c:idx val="6"/>
            <c:invertIfNegative val="0"/>
            <c:bubble3D val="0"/>
            <c:spPr>
              <a:solidFill>
                <a:srgbClr val="215F9A"/>
              </a:solidFill>
              <a:ln>
                <a:noFill/>
              </a:ln>
              <a:effectLst/>
            </c:spPr>
            <c:extLst>
              <c:ext xmlns:c16="http://schemas.microsoft.com/office/drawing/2014/chart" uri="{C3380CC4-5D6E-409C-BE32-E72D297353CC}">
                <c16:uniqueId val="{0000000D-CA8E-420B-8F1B-1B3871F79B39}"/>
              </c:ext>
            </c:extLst>
          </c:dPt>
          <c:dPt>
            <c:idx val="7"/>
            <c:invertIfNegative val="0"/>
            <c:bubble3D val="0"/>
            <c:spPr>
              <a:solidFill>
                <a:srgbClr val="4E95D9"/>
              </a:solidFill>
              <a:ln>
                <a:noFill/>
              </a:ln>
              <a:effectLst/>
            </c:spPr>
            <c:extLst>
              <c:ext xmlns:c16="http://schemas.microsoft.com/office/drawing/2014/chart" uri="{C3380CC4-5D6E-409C-BE32-E72D297353CC}">
                <c16:uniqueId val="{0000000F-CA8E-420B-8F1B-1B3871F79B39}"/>
              </c:ext>
            </c:extLst>
          </c:dPt>
          <c:dPt>
            <c:idx val="8"/>
            <c:invertIfNegative val="0"/>
            <c:bubble3D val="0"/>
            <c:spPr>
              <a:solidFill>
                <a:srgbClr val="A6CAEC"/>
              </a:solidFill>
              <a:ln>
                <a:noFill/>
              </a:ln>
              <a:effectLst/>
            </c:spPr>
            <c:extLst>
              <c:ext xmlns:c16="http://schemas.microsoft.com/office/drawing/2014/chart" uri="{C3380CC4-5D6E-409C-BE32-E72D297353CC}">
                <c16:uniqueId val="{00000011-CA8E-420B-8F1B-1B3871F79B39}"/>
              </c:ext>
            </c:extLst>
          </c:dPt>
          <c:dPt>
            <c:idx val="9"/>
            <c:invertIfNegative val="0"/>
            <c:bubble3D val="0"/>
            <c:spPr>
              <a:solidFill>
                <a:srgbClr val="DCEAF7"/>
              </a:solidFill>
              <a:ln>
                <a:noFill/>
              </a:ln>
              <a:effectLst/>
            </c:spPr>
            <c:extLst>
              <c:ext xmlns:c16="http://schemas.microsoft.com/office/drawing/2014/chart" uri="{C3380CC4-5D6E-409C-BE32-E72D297353CC}">
                <c16:uniqueId val="{00000013-CA8E-420B-8F1B-1B3871F79B39}"/>
              </c:ext>
            </c:extLst>
          </c:dPt>
          <c:dPt>
            <c:idx val="10"/>
            <c:invertIfNegative val="0"/>
            <c:bubble3D val="0"/>
            <c:spPr>
              <a:solidFill>
                <a:srgbClr val="D9D9D9"/>
              </a:solidFill>
              <a:ln>
                <a:noFill/>
              </a:ln>
              <a:effectLst/>
            </c:spPr>
            <c:extLst>
              <c:ext xmlns:c16="http://schemas.microsoft.com/office/drawing/2014/chart" uri="{C3380CC4-5D6E-409C-BE32-E72D297353CC}">
                <c16:uniqueId val="{00000015-CA8E-420B-8F1B-1B3871F79B39}"/>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Indicators!$C$13:$M$13</c:f>
              <c:strCache>
                <c:ptCount val="11"/>
                <c:pt idx="0">
                  <c:v>Total Available hours</c:v>
                </c:pt>
                <c:pt idx="1">
                  <c:v>Total Actual hours</c:v>
                </c:pt>
                <c:pt idx="2">
                  <c:v>Actual hours for completed activites</c:v>
                </c:pt>
                <c:pt idx="3">
                  <c:v>Actual hours for WIP activites</c:v>
                </c:pt>
                <c:pt idx="4">
                  <c:v>Actual hours for Strategic goals</c:v>
                </c:pt>
                <c:pt idx="5">
                  <c:v>Actual hours for Sales support</c:v>
                </c:pt>
                <c:pt idx="6">
                  <c:v>Actual hours for Operations support</c:v>
                </c:pt>
                <c:pt idx="7">
                  <c:v>Actual hours for Stand-VAVE-MA-BM Activities</c:v>
                </c:pt>
                <c:pt idx="8">
                  <c:v>Actual hours for Trainings-Expo-Conferences</c:v>
                </c:pt>
                <c:pt idx="9">
                  <c:v>Actual hours for Other Hours</c:v>
                </c:pt>
                <c:pt idx="10">
                  <c:v>Actual hours for Research</c:v>
                </c:pt>
              </c:strCache>
            </c:strRef>
          </c:cat>
          <c:val>
            <c:numRef>
              <c:f>Indicators!$C$17:$M$17</c:f>
              <c:numCache>
                <c:formatCode>0.00</c:formatCode>
                <c:ptCount val="11"/>
                <c:pt idx="0">
                  <c:v>0</c:v>
                </c:pt>
                <c:pt idx="1">
                  <c:v>83</c:v>
                </c:pt>
                <c:pt idx="2">
                  <c:v>0</c:v>
                </c:pt>
                <c:pt idx="3">
                  <c:v>38</c:v>
                </c:pt>
                <c:pt idx="4">
                  <c:v>0</c:v>
                </c:pt>
                <c:pt idx="5">
                  <c:v>0</c:v>
                </c:pt>
                <c:pt idx="6">
                  <c:v>0</c:v>
                </c:pt>
                <c:pt idx="7">
                  <c:v>0</c:v>
                </c:pt>
                <c:pt idx="8">
                  <c:v>45</c:v>
                </c:pt>
                <c:pt idx="9">
                  <c:v>0</c:v>
                </c:pt>
                <c:pt idx="10">
                  <c:v>0</c:v>
                </c:pt>
              </c:numCache>
            </c:numRef>
          </c:val>
          <c:extLst>
            <c:ext xmlns:c16="http://schemas.microsoft.com/office/drawing/2014/chart" uri="{C3380CC4-5D6E-409C-BE32-E72D297353CC}">
              <c16:uniqueId val="{00000018-CA8E-420B-8F1B-1B3871F79B39}"/>
            </c:ext>
          </c:extLst>
        </c:ser>
        <c:dLbls>
          <c:dLblPos val="outEnd"/>
          <c:showLegendKey val="0"/>
          <c:showVal val="1"/>
          <c:showCatName val="0"/>
          <c:showSerName val="0"/>
          <c:showPercent val="0"/>
          <c:showBubbleSize val="0"/>
        </c:dLbls>
        <c:gapWidth val="219"/>
        <c:overlap val="-27"/>
        <c:axId val="1939904880"/>
        <c:axId val="1902053152"/>
      </c:barChart>
      <c:catAx>
        <c:axId val="193990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100" b="1" i="0" u="none" strike="noStrike" kern="1200" baseline="0">
                <a:solidFill>
                  <a:srgbClr val="002060"/>
                </a:solidFill>
                <a:latin typeface="+mn-lt"/>
                <a:ea typeface="+mn-ea"/>
                <a:cs typeface="+mn-cs"/>
              </a:defRPr>
            </a:pPr>
            <a:endParaRPr lang="en-US"/>
          </a:p>
        </c:txPr>
        <c:crossAx val="1902053152"/>
        <c:crosses val="autoZero"/>
        <c:auto val="1"/>
        <c:lblAlgn val="ctr"/>
        <c:lblOffset val="100"/>
        <c:noMultiLvlLbl val="0"/>
      </c:catAx>
      <c:valAx>
        <c:axId val="190205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1939904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4"/>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Indicators!$B$5</c:f>
          <c:strCache>
            <c:ptCount val="1"/>
            <c:pt idx="0">
              <c:v>FPGA</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endParaRPr lang="en-US"/>
        </a:p>
      </c:txPr>
    </c:title>
    <c:autoTitleDeleted val="0"/>
    <c:plotArea>
      <c:layout>
        <c:manualLayout>
          <c:layoutTarget val="inner"/>
          <c:xMode val="edge"/>
          <c:yMode val="edge"/>
          <c:x val="7.2374043726100845E-2"/>
          <c:y val="0.13135310137926068"/>
          <c:w val="0.88814408010306234"/>
          <c:h val="0.71066366381270352"/>
        </c:manualLayout>
      </c:layout>
      <c:barChart>
        <c:barDir val="col"/>
        <c:grouping val="clustered"/>
        <c:varyColors val="0"/>
        <c:ser>
          <c:idx val="0"/>
          <c:order val="0"/>
          <c:spPr>
            <a:solidFill>
              <a:srgbClr val="00B050"/>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F720-461A-9A38-A4DCC63375B5}"/>
              </c:ext>
            </c:extLst>
          </c:dPt>
          <c:dPt>
            <c:idx val="1"/>
            <c:invertIfNegative val="0"/>
            <c:bubble3D val="0"/>
            <c:spPr>
              <a:solidFill>
                <a:srgbClr val="FFC000"/>
              </a:solidFill>
              <a:ln>
                <a:noFill/>
              </a:ln>
              <a:effectLst/>
            </c:spPr>
            <c:extLst>
              <c:ext xmlns:c16="http://schemas.microsoft.com/office/drawing/2014/chart" uri="{C3380CC4-5D6E-409C-BE32-E72D297353CC}">
                <c16:uniqueId val="{00000003-F720-461A-9A38-A4DCC63375B5}"/>
              </c:ext>
            </c:extLst>
          </c:dPt>
          <c:dPt>
            <c:idx val="2"/>
            <c:invertIfNegative val="0"/>
            <c:bubble3D val="0"/>
            <c:spPr>
              <a:solidFill>
                <a:srgbClr val="92D050"/>
              </a:solidFill>
              <a:ln>
                <a:noFill/>
              </a:ln>
              <a:effectLst/>
            </c:spPr>
            <c:extLst>
              <c:ext xmlns:c16="http://schemas.microsoft.com/office/drawing/2014/chart" uri="{C3380CC4-5D6E-409C-BE32-E72D297353CC}">
                <c16:uniqueId val="{00000005-F720-461A-9A38-A4DCC63375B5}"/>
              </c:ext>
            </c:extLst>
          </c:dPt>
          <c:dPt>
            <c:idx val="3"/>
            <c:invertIfNegative val="0"/>
            <c:bubble3D val="0"/>
            <c:spPr>
              <a:solidFill>
                <a:srgbClr val="156082"/>
              </a:solidFill>
              <a:ln>
                <a:noFill/>
              </a:ln>
              <a:effectLst/>
            </c:spPr>
            <c:extLst>
              <c:ext xmlns:c16="http://schemas.microsoft.com/office/drawing/2014/chart" uri="{C3380CC4-5D6E-409C-BE32-E72D297353CC}">
                <c16:uniqueId val="{00000007-F720-461A-9A38-A4DCC63375B5}"/>
              </c:ext>
            </c:extLst>
          </c:dPt>
          <c:dPt>
            <c:idx val="4"/>
            <c:invertIfNegative val="0"/>
            <c:bubble3D val="0"/>
            <c:spPr>
              <a:solidFill>
                <a:srgbClr val="C00000"/>
              </a:solidFill>
              <a:ln>
                <a:noFill/>
              </a:ln>
              <a:effectLst/>
            </c:spPr>
            <c:extLst>
              <c:ext xmlns:c16="http://schemas.microsoft.com/office/drawing/2014/chart" uri="{C3380CC4-5D6E-409C-BE32-E72D297353CC}">
                <c16:uniqueId val="{00000008-F720-461A-9A38-A4DCC63375B5}"/>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Indicators!$C$4:$G$4</c:f>
              <c:strCache>
                <c:ptCount val="5"/>
                <c:pt idx="0">
                  <c:v>Total no of Projects</c:v>
                </c:pt>
                <c:pt idx="1">
                  <c:v> Completed</c:v>
                </c:pt>
                <c:pt idx="2">
                  <c:v>Active</c:v>
                </c:pt>
                <c:pt idx="3">
                  <c:v>Hold</c:v>
                </c:pt>
                <c:pt idx="4">
                  <c:v>NYS</c:v>
                </c:pt>
              </c:strCache>
            </c:strRef>
          </c:cat>
          <c:val>
            <c:numRef>
              <c:f>Indicators!$C$5:$G$5</c:f>
              <c:numCache>
                <c:formatCode>0</c:formatCode>
                <c:ptCount val="5"/>
                <c:pt idx="0">
                  <c:v>4</c:v>
                </c:pt>
                <c:pt idx="1">
                  <c:v>2</c:v>
                </c:pt>
                <c:pt idx="2">
                  <c:v>1</c:v>
                </c:pt>
                <c:pt idx="3">
                  <c:v>1</c:v>
                </c:pt>
                <c:pt idx="4">
                  <c:v>0</c:v>
                </c:pt>
              </c:numCache>
            </c:numRef>
          </c:val>
          <c:extLst>
            <c:ext xmlns:c16="http://schemas.microsoft.com/office/drawing/2014/chart" uri="{C3380CC4-5D6E-409C-BE32-E72D297353CC}">
              <c16:uniqueId val="{00000006-F720-461A-9A38-A4DCC63375B5}"/>
            </c:ext>
          </c:extLst>
        </c:ser>
        <c:dLbls>
          <c:dLblPos val="outEnd"/>
          <c:showLegendKey val="0"/>
          <c:showVal val="1"/>
          <c:showCatName val="0"/>
          <c:showSerName val="0"/>
          <c:showPercent val="0"/>
          <c:showBubbleSize val="0"/>
        </c:dLbls>
        <c:gapWidth val="219"/>
        <c:overlap val="-27"/>
        <c:axId val="1271923263"/>
        <c:axId val="825197263"/>
      </c:barChart>
      <c:catAx>
        <c:axId val="1271923263"/>
        <c:scaling>
          <c:orientation val="minMax"/>
        </c:scaling>
        <c:delete val="0"/>
        <c:axPos val="b"/>
        <c:numFmt formatCode="General" sourceLinked="1"/>
        <c:majorTickMark val="none"/>
        <c:minorTickMark val="none"/>
        <c:tickLblPos val="nextTo"/>
        <c:spPr>
          <a:noFill/>
          <a:ln w="9525" cap="flat" cmpd="sng" algn="ctr">
            <a:noFill/>
            <a:round/>
            <a:headEnd type="none"/>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825197263"/>
        <c:crosses val="autoZero"/>
        <c:auto val="1"/>
        <c:lblAlgn val="ctr"/>
        <c:lblOffset val="100"/>
        <c:noMultiLvlLbl val="0"/>
      </c:catAx>
      <c:valAx>
        <c:axId val="82519726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12719232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Indicators!$B$6</c:f>
          <c:strCache>
            <c:ptCount val="1"/>
            <c:pt idx="0">
              <c:v> PLC Programming</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endParaRPr lang="en-US"/>
        </a:p>
      </c:txPr>
    </c:title>
    <c:autoTitleDeleted val="0"/>
    <c:plotArea>
      <c:layout>
        <c:manualLayout>
          <c:layoutTarget val="inner"/>
          <c:xMode val="edge"/>
          <c:yMode val="edge"/>
          <c:x val="7.2374043726100845E-2"/>
          <c:y val="0.13135310137926068"/>
          <c:w val="0.88814408010306234"/>
          <c:h val="0.71066366381270352"/>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7C89-4C42-8D21-2B687938ACBD}"/>
              </c:ext>
            </c:extLst>
          </c:dPt>
          <c:dPt>
            <c:idx val="1"/>
            <c:invertIfNegative val="0"/>
            <c:bubble3D val="0"/>
            <c:spPr>
              <a:solidFill>
                <a:srgbClr val="FFC000"/>
              </a:solidFill>
              <a:ln>
                <a:noFill/>
              </a:ln>
              <a:effectLst/>
            </c:spPr>
            <c:extLst>
              <c:ext xmlns:c16="http://schemas.microsoft.com/office/drawing/2014/chart" uri="{C3380CC4-5D6E-409C-BE32-E72D297353CC}">
                <c16:uniqueId val="{00000003-7C89-4C42-8D21-2B687938ACBD}"/>
              </c:ext>
            </c:extLst>
          </c:dPt>
          <c:dPt>
            <c:idx val="2"/>
            <c:invertIfNegative val="0"/>
            <c:bubble3D val="0"/>
            <c:spPr>
              <a:solidFill>
                <a:srgbClr val="92D050"/>
              </a:solidFill>
              <a:ln>
                <a:noFill/>
              </a:ln>
              <a:effectLst/>
            </c:spPr>
            <c:extLst>
              <c:ext xmlns:c16="http://schemas.microsoft.com/office/drawing/2014/chart" uri="{C3380CC4-5D6E-409C-BE32-E72D297353CC}">
                <c16:uniqueId val="{00000005-7C89-4C42-8D21-2B687938ACBD}"/>
              </c:ext>
            </c:extLst>
          </c:dPt>
          <c:dPt>
            <c:idx val="3"/>
            <c:invertIfNegative val="0"/>
            <c:bubble3D val="0"/>
            <c:spPr>
              <a:solidFill>
                <a:srgbClr val="156082"/>
              </a:solidFill>
              <a:ln>
                <a:noFill/>
              </a:ln>
              <a:effectLst/>
            </c:spPr>
            <c:extLst>
              <c:ext xmlns:c16="http://schemas.microsoft.com/office/drawing/2014/chart" uri="{C3380CC4-5D6E-409C-BE32-E72D297353CC}">
                <c16:uniqueId val="{00000007-7C89-4C42-8D21-2B687938ACBD}"/>
              </c:ext>
            </c:extLst>
          </c:dPt>
          <c:dPt>
            <c:idx val="4"/>
            <c:invertIfNegative val="0"/>
            <c:bubble3D val="0"/>
            <c:spPr>
              <a:solidFill>
                <a:srgbClr val="C00000"/>
              </a:solidFill>
              <a:ln>
                <a:noFill/>
              </a:ln>
              <a:effectLst/>
            </c:spPr>
            <c:extLst>
              <c:ext xmlns:c16="http://schemas.microsoft.com/office/drawing/2014/chart" uri="{C3380CC4-5D6E-409C-BE32-E72D297353CC}">
                <c16:uniqueId val="{00000008-7C89-4C42-8D21-2B687938ACBD}"/>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Indicators!$C$4:$G$4</c:f>
              <c:strCache>
                <c:ptCount val="5"/>
                <c:pt idx="0">
                  <c:v>Total no of Projects</c:v>
                </c:pt>
                <c:pt idx="1">
                  <c:v> Completed</c:v>
                </c:pt>
                <c:pt idx="2">
                  <c:v>Active</c:v>
                </c:pt>
                <c:pt idx="3">
                  <c:v>Hold</c:v>
                </c:pt>
                <c:pt idx="4">
                  <c:v>NYS</c:v>
                </c:pt>
              </c:strCache>
            </c:strRef>
          </c:cat>
          <c:val>
            <c:numRef>
              <c:f>Indicators!$C$6:$G$6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6-7C89-4C42-8D21-2B687938ACBD}"/>
            </c:ext>
          </c:extLst>
        </c:ser>
        <c:dLbls>
          <c:dLblPos val="outEnd"/>
          <c:showLegendKey val="0"/>
          <c:showVal val="1"/>
          <c:showCatName val="0"/>
          <c:showSerName val="0"/>
          <c:showPercent val="0"/>
          <c:showBubbleSize val="0"/>
        </c:dLbls>
        <c:gapWidth val="219"/>
        <c:overlap val="-27"/>
        <c:axId val="1271923263"/>
        <c:axId val="825197263"/>
      </c:barChart>
      <c:catAx>
        <c:axId val="1271923263"/>
        <c:scaling>
          <c:orientation val="minMax"/>
        </c:scaling>
        <c:delete val="0"/>
        <c:axPos val="b"/>
        <c:numFmt formatCode="General" sourceLinked="1"/>
        <c:majorTickMark val="none"/>
        <c:minorTickMark val="none"/>
        <c:tickLblPos val="nextTo"/>
        <c:spPr>
          <a:noFill/>
          <a:ln w="9525" cap="flat" cmpd="sng" algn="ctr">
            <a:noFill/>
            <a:round/>
            <a:headEnd type="none"/>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825197263"/>
        <c:crosses val="autoZero"/>
        <c:auto val="1"/>
        <c:lblAlgn val="ctr"/>
        <c:lblOffset val="100"/>
        <c:noMultiLvlLbl val="0"/>
      </c:catAx>
      <c:valAx>
        <c:axId val="82519726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12719232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Indicators!$B$7</c:f>
          <c:strCache>
            <c:ptCount val="1"/>
            <c:pt idx="0">
              <c:v>Software Development</c:v>
            </c:pt>
          </c:strCache>
        </c:strRef>
      </c:tx>
      <c:overlay val="0"/>
      <c:spPr>
        <a:noFill/>
        <a:ln>
          <a:noFill/>
        </a:ln>
        <a:effectLst/>
      </c:spPr>
      <c:txPr>
        <a:bodyPr rot="0" spcFirstLastPara="1" vertOverflow="ellipsis" vert="horz" wrap="square" anchor="ctr" anchorCtr="1"/>
        <a:lstStyle/>
        <a:p>
          <a:pPr>
            <a:defRPr sz="1600" b="1" i="0" u="none" strike="noStrike" kern="1200" spc="0" baseline="0">
              <a:solidFill>
                <a:srgbClr val="002060"/>
              </a:solidFill>
              <a:latin typeface="+mn-lt"/>
              <a:ea typeface="+mn-ea"/>
              <a:cs typeface="+mn-cs"/>
            </a:defRPr>
          </a:pPr>
          <a:endParaRPr lang="en-US"/>
        </a:p>
      </c:txPr>
    </c:title>
    <c:autoTitleDeleted val="0"/>
    <c:plotArea>
      <c:layout>
        <c:manualLayout>
          <c:layoutTarget val="inner"/>
          <c:xMode val="edge"/>
          <c:yMode val="edge"/>
          <c:x val="7.2374043726100845E-2"/>
          <c:y val="0.13135310137926068"/>
          <c:w val="0.88814408010306234"/>
          <c:h val="0.71066366381270352"/>
        </c:manualLayout>
      </c:layout>
      <c:barChart>
        <c:barDir val="col"/>
        <c:grouping val="clustered"/>
        <c:varyColors val="0"/>
        <c:ser>
          <c:idx val="0"/>
          <c:order val="0"/>
          <c:spPr>
            <a:solidFill>
              <a:srgbClr val="00B050"/>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5B76-42DB-A694-1872EAC0EC0F}"/>
              </c:ext>
            </c:extLst>
          </c:dPt>
          <c:dPt>
            <c:idx val="1"/>
            <c:invertIfNegative val="0"/>
            <c:bubble3D val="0"/>
            <c:spPr>
              <a:solidFill>
                <a:srgbClr val="FFC000"/>
              </a:solidFill>
              <a:ln>
                <a:noFill/>
              </a:ln>
              <a:effectLst/>
            </c:spPr>
            <c:extLst>
              <c:ext xmlns:c16="http://schemas.microsoft.com/office/drawing/2014/chart" uri="{C3380CC4-5D6E-409C-BE32-E72D297353CC}">
                <c16:uniqueId val="{00000003-5B76-42DB-A694-1872EAC0EC0F}"/>
              </c:ext>
            </c:extLst>
          </c:dPt>
          <c:dPt>
            <c:idx val="2"/>
            <c:invertIfNegative val="0"/>
            <c:bubble3D val="0"/>
            <c:spPr>
              <a:solidFill>
                <a:srgbClr val="92D050"/>
              </a:solidFill>
              <a:ln>
                <a:noFill/>
              </a:ln>
              <a:effectLst/>
            </c:spPr>
            <c:extLst>
              <c:ext xmlns:c16="http://schemas.microsoft.com/office/drawing/2014/chart" uri="{C3380CC4-5D6E-409C-BE32-E72D297353CC}">
                <c16:uniqueId val="{00000005-5B76-42DB-A694-1872EAC0EC0F}"/>
              </c:ext>
            </c:extLst>
          </c:dPt>
          <c:dPt>
            <c:idx val="3"/>
            <c:invertIfNegative val="0"/>
            <c:bubble3D val="0"/>
            <c:spPr>
              <a:solidFill>
                <a:srgbClr val="156082"/>
              </a:solidFill>
              <a:ln>
                <a:noFill/>
              </a:ln>
              <a:effectLst/>
            </c:spPr>
            <c:extLst>
              <c:ext xmlns:c16="http://schemas.microsoft.com/office/drawing/2014/chart" uri="{C3380CC4-5D6E-409C-BE32-E72D297353CC}">
                <c16:uniqueId val="{00000007-5B76-42DB-A694-1872EAC0EC0F}"/>
              </c:ext>
            </c:extLst>
          </c:dPt>
          <c:dPt>
            <c:idx val="4"/>
            <c:invertIfNegative val="0"/>
            <c:bubble3D val="0"/>
            <c:spPr>
              <a:solidFill>
                <a:srgbClr val="C00000"/>
              </a:solidFill>
              <a:ln>
                <a:noFill/>
              </a:ln>
              <a:effectLst/>
            </c:spPr>
            <c:extLst>
              <c:ext xmlns:c16="http://schemas.microsoft.com/office/drawing/2014/chart" uri="{C3380CC4-5D6E-409C-BE32-E72D297353CC}">
                <c16:uniqueId val="{00000008-5B76-42DB-A694-1872EAC0EC0F}"/>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Indicators!$C$4:$G$4</c:f>
              <c:strCache>
                <c:ptCount val="5"/>
                <c:pt idx="0">
                  <c:v>Total no of Projects</c:v>
                </c:pt>
                <c:pt idx="1">
                  <c:v> Completed</c:v>
                </c:pt>
                <c:pt idx="2">
                  <c:v>Active</c:v>
                </c:pt>
                <c:pt idx="3">
                  <c:v>Hold</c:v>
                </c:pt>
                <c:pt idx="4">
                  <c:v>NYS</c:v>
                </c:pt>
              </c:strCache>
            </c:strRef>
          </c:cat>
          <c:val>
            <c:numRef>
              <c:f>Indicators!$C$7:$G$7</c:f>
              <c:numCache>
                <c:formatCode>0</c:formatCode>
                <c:ptCount val="5"/>
                <c:pt idx="0">
                  <c:v>4</c:v>
                </c:pt>
                <c:pt idx="1">
                  <c:v>0</c:v>
                </c:pt>
                <c:pt idx="2">
                  <c:v>4</c:v>
                </c:pt>
                <c:pt idx="3">
                  <c:v>0</c:v>
                </c:pt>
                <c:pt idx="4">
                  <c:v>0</c:v>
                </c:pt>
              </c:numCache>
            </c:numRef>
          </c:val>
          <c:extLst>
            <c:ext xmlns:c16="http://schemas.microsoft.com/office/drawing/2014/chart" uri="{C3380CC4-5D6E-409C-BE32-E72D297353CC}">
              <c16:uniqueId val="{00000006-5B76-42DB-A694-1872EAC0EC0F}"/>
            </c:ext>
          </c:extLst>
        </c:ser>
        <c:dLbls>
          <c:dLblPos val="outEnd"/>
          <c:showLegendKey val="0"/>
          <c:showVal val="1"/>
          <c:showCatName val="0"/>
          <c:showSerName val="0"/>
          <c:showPercent val="0"/>
          <c:showBubbleSize val="0"/>
        </c:dLbls>
        <c:gapWidth val="219"/>
        <c:overlap val="-27"/>
        <c:axId val="1271923263"/>
        <c:axId val="825197263"/>
      </c:barChart>
      <c:catAx>
        <c:axId val="1271923263"/>
        <c:scaling>
          <c:orientation val="minMax"/>
        </c:scaling>
        <c:delete val="0"/>
        <c:axPos val="b"/>
        <c:numFmt formatCode="General" sourceLinked="1"/>
        <c:majorTickMark val="none"/>
        <c:minorTickMark val="none"/>
        <c:tickLblPos val="nextTo"/>
        <c:spPr>
          <a:noFill/>
          <a:ln w="9525" cap="flat" cmpd="sng" algn="ctr">
            <a:noFill/>
            <a:round/>
            <a:headEnd type="none"/>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825197263"/>
        <c:crosses val="autoZero"/>
        <c:auto val="1"/>
        <c:lblAlgn val="ctr"/>
        <c:lblOffset val="100"/>
        <c:noMultiLvlLbl val="0"/>
      </c:catAx>
      <c:valAx>
        <c:axId val="82519726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rgbClr val="002060"/>
                </a:solidFill>
                <a:latin typeface="+mn-lt"/>
                <a:ea typeface="+mn-ea"/>
                <a:cs typeface="+mn-cs"/>
              </a:defRPr>
            </a:pPr>
            <a:endParaRPr lang="en-US"/>
          </a:p>
        </c:txPr>
        <c:crossAx val="12719232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30480</xdr:rowOff>
    </xdr:from>
    <xdr:to>
      <xdr:col>2</xdr:col>
      <xdr:colOff>553357</xdr:colOff>
      <xdr:row>0</xdr:row>
      <xdr:rowOff>533400</xdr:rowOff>
    </xdr:to>
    <xdr:pic>
      <xdr:nvPicPr>
        <xdr:cNvPr id="6" name="Picture 3">
          <a:extLst>
            <a:ext uri="{FF2B5EF4-FFF2-40B4-BE49-F238E27FC236}">
              <a16:creationId xmlns:a16="http://schemas.microsoft.com/office/drawing/2014/main" id="{CBCC999E-D26A-45FC-A2B6-8F9C9807C091}"/>
            </a:ext>
            <a:ext uri="{147F2762-F138-4A5C-976F-8EAC2B608ADB}">
              <a16:predDERef xmlns:a16="http://schemas.microsoft.com/office/drawing/2014/main" pred="{00000000-0008-0000-0000-00000104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19" t="34372" r="6825" b="35627"/>
        <a:stretch/>
      </xdr:blipFill>
      <xdr:spPr>
        <a:xfrm>
          <a:off x="0" y="30480"/>
          <a:ext cx="2378075" cy="5029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766288</xdr:colOff>
      <xdr:row>42</xdr:row>
      <xdr:rowOff>14371</xdr:rowOff>
    </xdr:from>
    <xdr:to>
      <xdr:col>13</xdr:col>
      <xdr:colOff>993538</xdr:colOff>
      <xdr:row>63</xdr:row>
      <xdr:rowOff>287064</xdr:rowOff>
    </xdr:to>
    <xdr:graphicFrame macro="">
      <xdr:nvGraphicFramePr>
        <xdr:cNvPr id="25" name="Efficiency_Activities">
          <a:extLst>
            <a:ext uri="{FF2B5EF4-FFF2-40B4-BE49-F238E27FC236}">
              <a16:creationId xmlns:a16="http://schemas.microsoft.com/office/drawing/2014/main" id="{74F78089-4F0E-4696-9B7F-7F13C32980F4}"/>
            </a:ext>
            <a:ext uri="{147F2762-F138-4A5C-976F-8EAC2B608ADB}">
              <a16:predDERef xmlns:a16="http://schemas.microsoft.com/office/drawing/2014/main" pred="{E9F654E8-EADC-4F89-9C6C-38AF4368D6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729551</xdr:colOff>
      <xdr:row>1</xdr:row>
      <xdr:rowOff>225742</xdr:rowOff>
    </xdr:from>
    <xdr:to>
      <xdr:col>19</xdr:col>
      <xdr:colOff>1337706</xdr:colOff>
      <xdr:row>13</xdr:row>
      <xdr:rowOff>32071</xdr:rowOff>
    </xdr:to>
    <xdr:graphicFrame macro="">
      <xdr:nvGraphicFramePr>
        <xdr:cNvPr id="32" name="Project_Origin">
          <a:extLst>
            <a:ext uri="{FF2B5EF4-FFF2-40B4-BE49-F238E27FC236}">
              <a16:creationId xmlns:a16="http://schemas.microsoft.com/office/drawing/2014/main" id="{656E5FEF-3DF1-4459-A050-A7E8DDE8B63E}"/>
            </a:ext>
            <a:ext uri="{147F2762-F138-4A5C-976F-8EAC2B608ADB}">
              <a16:predDERef xmlns:a16="http://schemas.microsoft.com/office/drawing/2014/main" pred="{74F78089-4F0E-4696-9B7F-7F13C32980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744853</xdr:colOff>
      <xdr:row>18</xdr:row>
      <xdr:rowOff>98971</xdr:rowOff>
    </xdr:from>
    <xdr:to>
      <xdr:col>7</xdr:col>
      <xdr:colOff>182480</xdr:colOff>
      <xdr:row>41</xdr:row>
      <xdr:rowOff>22096</xdr:rowOff>
    </xdr:to>
    <xdr:graphicFrame macro="">
      <xdr:nvGraphicFramePr>
        <xdr:cNvPr id="27" name="Efficiency_Hours">
          <a:extLst>
            <a:ext uri="{FF2B5EF4-FFF2-40B4-BE49-F238E27FC236}">
              <a16:creationId xmlns:a16="http://schemas.microsoft.com/office/drawing/2014/main" id="{A18F7933-1493-4D65-A3B2-11F62DF1DC5D}"/>
            </a:ext>
            <a:ext uri="{147F2762-F138-4A5C-976F-8EAC2B608ADB}">
              <a16:predDERef xmlns:a16="http://schemas.microsoft.com/office/drawing/2014/main" pred="{4208A66C-780C-4731-9D38-9079C5A3C0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1470055</xdr:colOff>
      <xdr:row>42</xdr:row>
      <xdr:rowOff>16106</xdr:rowOff>
    </xdr:from>
    <xdr:to>
      <xdr:col>20</xdr:col>
      <xdr:colOff>744805</xdr:colOff>
      <xdr:row>63</xdr:row>
      <xdr:rowOff>288799</xdr:rowOff>
    </xdr:to>
    <xdr:graphicFrame macro="">
      <xdr:nvGraphicFramePr>
        <xdr:cNvPr id="11" name="Efficiency_Hours2">
          <a:extLst>
            <a:ext uri="{FF2B5EF4-FFF2-40B4-BE49-F238E27FC236}">
              <a16:creationId xmlns:a16="http://schemas.microsoft.com/office/drawing/2014/main" id="{3EBEED6C-648E-42A8-9518-DC2961363410}"/>
            </a:ext>
            <a:ext uri="{147F2762-F138-4A5C-976F-8EAC2B608ADB}">
              <a16:predDERef xmlns:a16="http://schemas.microsoft.com/office/drawing/2014/main" pred="{A18F7933-1493-4D65-A3B2-11F62DF1DC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677183</xdr:colOff>
      <xdr:row>18</xdr:row>
      <xdr:rowOff>136072</xdr:rowOff>
    </xdr:from>
    <xdr:to>
      <xdr:col>13</xdr:col>
      <xdr:colOff>944664</xdr:colOff>
      <xdr:row>41</xdr:row>
      <xdr:rowOff>59197</xdr:rowOff>
    </xdr:to>
    <xdr:graphicFrame macro="">
      <xdr:nvGraphicFramePr>
        <xdr:cNvPr id="29" name="Efficiency_Hours_FW">
          <a:extLst>
            <a:ext uri="{FF2B5EF4-FFF2-40B4-BE49-F238E27FC236}">
              <a16:creationId xmlns:a16="http://schemas.microsoft.com/office/drawing/2014/main" id="{19870D9E-A0E3-4C5B-883A-DE27A3541FC7}"/>
            </a:ext>
            <a:ext uri="{147F2762-F138-4A5C-976F-8EAC2B608ADB}">
              <a16:predDERef xmlns:a16="http://schemas.microsoft.com/office/drawing/2014/main" pred="{C1AF3C29-CDAE-4486-BF13-C8663D16CF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1394188</xdr:colOff>
      <xdr:row>18</xdr:row>
      <xdr:rowOff>149678</xdr:rowOff>
    </xdr:from>
    <xdr:to>
      <xdr:col>20</xdr:col>
      <xdr:colOff>802334</xdr:colOff>
      <xdr:row>41</xdr:row>
      <xdr:rowOff>76613</xdr:rowOff>
    </xdr:to>
    <xdr:graphicFrame macro="">
      <xdr:nvGraphicFramePr>
        <xdr:cNvPr id="31" name="Efficiency_Hours_SD">
          <a:extLst>
            <a:ext uri="{FF2B5EF4-FFF2-40B4-BE49-F238E27FC236}">
              <a16:creationId xmlns:a16="http://schemas.microsoft.com/office/drawing/2014/main" id="{45AE213B-6E21-422A-9A76-FF369D05654E}"/>
            </a:ext>
            <a:ext uri="{147F2762-F138-4A5C-976F-8EAC2B608ADB}">
              <a16:predDERef xmlns:a16="http://schemas.microsoft.com/office/drawing/2014/main" pred="{19870D9E-A0E3-4C5B-883A-DE27A3541F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1278122</xdr:colOff>
      <xdr:row>18</xdr:row>
      <xdr:rowOff>180884</xdr:rowOff>
    </xdr:from>
    <xdr:to>
      <xdr:col>31</xdr:col>
      <xdr:colOff>515453</xdr:colOff>
      <xdr:row>41</xdr:row>
      <xdr:rowOff>54206</xdr:rowOff>
    </xdr:to>
    <xdr:graphicFrame macro="">
      <xdr:nvGraphicFramePr>
        <xdr:cNvPr id="30" name="Efficiency_Hours_ST">
          <a:extLst>
            <a:ext uri="{FF2B5EF4-FFF2-40B4-BE49-F238E27FC236}">
              <a16:creationId xmlns:a16="http://schemas.microsoft.com/office/drawing/2014/main" id="{5690B32A-65A6-4788-ACFB-5C68EA6D48D3}"/>
            </a:ext>
            <a:ext uri="{147F2762-F138-4A5C-976F-8EAC2B608ADB}">
              <a16:predDERef xmlns:a16="http://schemas.microsoft.com/office/drawing/2014/main" pred="{45AE213B-6E21-422A-9A76-FF369D056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240483</xdr:colOff>
      <xdr:row>2</xdr:row>
      <xdr:rowOff>7710</xdr:rowOff>
    </xdr:from>
    <xdr:to>
      <xdr:col>26</xdr:col>
      <xdr:colOff>355244</xdr:colOff>
      <xdr:row>13</xdr:row>
      <xdr:rowOff>68039</xdr:rowOff>
    </xdr:to>
    <xdr:graphicFrame macro="">
      <xdr:nvGraphicFramePr>
        <xdr:cNvPr id="34" name="Project_FW">
          <a:extLst>
            <a:ext uri="{FF2B5EF4-FFF2-40B4-BE49-F238E27FC236}">
              <a16:creationId xmlns:a16="http://schemas.microsoft.com/office/drawing/2014/main" id="{F0CF7767-07A6-41F2-9FE1-E335963DD60A}"/>
            </a:ext>
            <a:ext uri="{147F2762-F138-4A5C-976F-8EAC2B608ADB}">
              <a16:predDERef xmlns:a16="http://schemas.microsoft.com/office/drawing/2014/main" pred="{4F0C70ED-F5D6-440A-88CB-58AC44DFD6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27</xdr:col>
      <xdr:colOff>144327</xdr:colOff>
      <xdr:row>2</xdr:row>
      <xdr:rowOff>45810</xdr:rowOff>
    </xdr:from>
    <xdr:to>
      <xdr:col>35</xdr:col>
      <xdr:colOff>722456</xdr:colOff>
      <xdr:row>13</xdr:row>
      <xdr:rowOff>101694</xdr:rowOff>
    </xdr:to>
    <xdr:graphicFrame macro="">
      <xdr:nvGraphicFramePr>
        <xdr:cNvPr id="36" name="Project_SD">
          <a:extLst>
            <a:ext uri="{FF2B5EF4-FFF2-40B4-BE49-F238E27FC236}">
              <a16:creationId xmlns:a16="http://schemas.microsoft.com/office/drawing/2014/main" id="{8AA782B1-69F4-423B-88FE-CC23D5E5EE06}"/>
            </a:ext>
            <a:ext uri="{147F2762-F138-4A5C-976F-8EAC2B608ADB}">
              <a16:predDERef xmlns:a16="http://schemas.microsoft.com/office/drawing/2014/main" pred="{F0CF7767-07A6-41F2-9FE1-E335963DD6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36</xdr:col>
      <xdr:colOff>334827</xdr:colOff>
      <xdr:row>2</xdr:row>
      <xdr:rowOff>83910</xdr:rowOff>
    </xdr:from>
    <xdr:to>
      <xdr:col>46</xdr:col>
      <xdr:colOff>322406</xdr:colOff>
      <xdr:row>13</xdr:row>
      <xdr:rowOff>144239</xdr:rowOff>
    </xdr:to>
    <xdr:graphicFrame macro="">
      <xdr:nvGraphicFramePr>
        <xdr:cNvPr id="35" name="Project_ST">
          <a:extLst>
            <a:ext uri="{FF2B5EF4-FFF2-40B4-BE49-F238E27FC236}">
              <a16:creationId xmlns:a16="http://schemas.microsoft.com/office/drawing/2014/main" id="{F139DB2A-9AB3-4BD8-96CC-3EF8E23C4DAE}"/>
            </a:ext>
            <a:ext uri="{147F2762-F138-4A5C-976F-8EAC2B608ADB}">
              <a16:predDERef xmlns:a16="http://schemas.microsoft.com/office/drawing/2014/main" pred="{8AA782B1-69F4-423B-88FE-CC23D5E5EE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0.57354</cdr:x>
      <cdr:y>0.09771</cdr:y>
    </cdr:from>
    <cdr:to>
      <cdr:x>0.67984</cdr:x>
      <cdr:y>0.27268</cdr:y>
    </cdr:to>
    <cdr:sp macro="" textlink="">
      <cdr:nvSpPr>
        <cdr:cNvPr id="2" name="TextBox 1">
          <a:extLst xmlns:a="http://schemas.openxmlformats.org/drawingml/2006/main">
            <a:ext uri="{FF2B5EF4-FFF2-40B4-BE49-F238E27FC236}">
              <a16:creationId xmlns:a16="http://schemas.microsoft.com/office/drawing/2014/main" id="{9A30265D-7BC0-B5AD-82C4-4C89769AFEC1}"/>
            </a:ext>
          </a:extLst>
        </cdr:cNvPr>
        <cdr:cNvSpPr txBox="1"/>
      </cdr:nvSpPr>
      <cdr:spPr>
        <a:xfrm xmlns:a="http://schemas.openxmlformats.org/drawingml/2006/main">
          <a:off x="4934017" y="51059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0.37868</cdr:x>
      <cdr:y>0.08937</cdr:y>
    </cdr:from>
    <cdr:to>
      <cdr:x>0.48497</cdr:x>
      <cdr:y>0.26435</cdr:y>
    </cdr:to>
    <cdr:sp macro="" textlink="">
      <cdr:nvSpPr>
        <cdr:cNvPr id="3" name="TextBox 2">
          <a:extLst xmlns:a="http://schemas.openxmlformats.org/drawingml/2006/main">
            <a:ext uri="{FF2B5EF4-FFF2-40B4-BE49-F238E27FC236}">
              <a16:creationId xmlns:a16="http://schemas.microsoft.com/office/drawing/2014/main" id="{DB5C2075-5275-AF6B-C020-D5F88CC90F0A}"/>
            </a:ext>
          </a:extLst>
        </cdr:cNvPr>
        <cdr:cNvSpPr txBox="1"/>
      </cdr:nvSpPr>
      <cdr:spPr>
        <a:xfrm xmlns:a="http://schemas.openxmlformats.org/drawingml/2006/main">
          <a:off x="3257617" y="46705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a:p>
      </cdr:txBody>
    </cdr:sp>
  </cdr:relSizeAnchor>
  <cdr:relSizeAnchor xmlns:cdr="http://schemas.openxmlformats.org/drawingml/2006/chartDrawing">
    <cdr:from>
      <cdr:x>0.85077</cdr:x>
      <cdr:y>0.08783</cdr:y>
    </cdr:from>
    <cdr:to>
      <cdr:x>0.96611</cdr:x>
      <cdr:y>0.14098</cdr:y>
    </cdr:to>
    <cdr:grpSp>
      <cdr:nvGrpSpPr>
        <cdr:cNvPr id="7" name="Group 6">
          <a:extLst xmlns:a="http://schemas.openxmlformats.org/drawingml/2006/main">
            <a:ext uri="{FF2B5EF4-FFF2-40B4-BE49-F238E27FC236}">
              <a16:creationId xmlns:a16="http://schemas.microsoft.com/office/drawing/2014/main" id="{0A486034-1012-A05E-D5E8-92A976DACC40}"/>
            </a:ext>
          </a:extLst>
        </cdr:cNvPr>
        <cdr:cNvGrpSpPr/>
      </cdr:nvGrpSpPr>
      <cdr:grpSpPr>
        <a:xfrm xmlns:a="http://schemas.openxmlformats.org/drawingml/2006/main">
          <a:off x="9139694" y="496260"/>
          <a:ext cx="1239081" cy="300310"/>
          <a:chOff x="0" y="0"/>
          <a:chExt cx="1243499" cy="295200"/>
        </a:xfrm>
      </cdr:grpSpPr>
      <cdr:sp macro="" textlink="">
        <cdr:nvSpPr>
          <cdr:cNvPr id="8" name="TextBox 2">
            <a:extLst xmlns:a="http://schemas.openxmlformats.org/drawingml/2006/main">
              <a:ext uri="{FF2B5EF4-FFF2-40B4-BE49-F238E27FC236}">
                <a16:creationId xmlns:a16="http://schemas.microsoft.com/office/drawing/2014/main" id="{04B1770B-2291-FFF9-ED0A-C701C7C17BEF}"/>
              </a:ext>
            </a:extLst>
          </cdr:cNvPr>
          <cdr:cNvSpPr txBox="1"/>
        </cdr:nvSpPr>
        <cdr:spPr>
          <a:xfrm xmlns:a="http://schemas.openxmlformats.org/drawingml/2006/main">
            <a:off x="0" y="899"/>
            <a:ext cx="1045379" cy="29340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200" b="1"/>
              <a:t>No of Persons :</a:t>
            </a:r>
          </a:p>
        </cdr:txBody>
      </cdr:sp>
      <cdr:sp macro="" textlink="Indicators!$H$9">
        <cdr:nvSpPr>
          <cdr:cNvPr id="9" name="TextBox 3">
            <a:extLst xmlns:a="http://schemas.openxmlformats.org/drawingml/2006/main">
              <a:ext uri="{FF2B5EF4-FFF2-40B4-BE49-F238E27FC236}">
                <a16:creationId xmlns:a16="http://schemas.microsoft.com/office/drawing/2014/main" id="{D76EFC64-56FD-7144-C021-CE2F56DC6CC8}"/>
              </a:ext>
            </a:extLst>
          </cdr:cNvPr>
          <cdr:cNvSpPr txBox="1"/>
        </cdr:nvSpPr>
        <cdr:spPr>
          <a:xfrm xmlns:a="http://schemas.openxmlformats.org/drawingml/2006/main">
            <a:off x="995449" y="0"/>
            <a:ext cx="248050" cy="2952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200" b="1">
                <a:solidFill>
                  <a:srgbClr val="00B050"/>
                </a:solidFill>
              </a:rPr>
              <a:t>1</a:t>
            </a:r>
          </a:p>
        </cdr:txBody>
      </cdr:sp>
    </cdr:grpSp>
  </cdr:relSizeAnchor>
  <cdr:relSizeAnchor xmlns:cdr="http://schemas.openxmlformats.org/drawingml/2006/chartDrawing">
    <cdr:from>
      <cdr:x>0.39696</cdr:x>
      <cdr:y>0.08178</cdr:y>
    </cdr:from>
    <cdr:to>
      <cdr:x>0.56007</cdr:x>
      <cdr:y>0.14261</cdr:y>
    </cdr:to>
    <cdr:grpSp>
      <cdr:nvGrpSpPr>
        <cdr:cNvPr id="10" name="Group 9">
          <a:extLst xmlns:a="http://schemas.openxmlformats.org/drawingml/2006/main">
            <a:ext uri="{FF2B5EF4-FFF2-40B4-BE49-F238E27FC236}">
              <a16:creationId xmlns:a16="http://schemas.microsoft.com/office/drawing/2014/main" id="{793A7278-E6D2-7718-57AE-89869F26C2ED}"/>
            </a:ext>
          </a:extLst>
        </cdr:cNvPr>
        <cdr:cNvGrpSpPr/>
      </cdr:nvGrpSpPr>
      <cdr:grpSpPr>
        <a:xfrm xmlns:a="http://schemas.openxmlformats.org/drawingml/2006/main">
          <a:off x="4264482" y="462076"/>
          <a:ext cx="1752266" cy="343704"/>
          <a:chOff x="0" y="0"/>
          <a:chExt cx="1747603" cy="337891"/>
        </a:xfrm>
      </cdr:grpSpPr>
      <cdr:sp macro="" textlink="">
        <cdr:nvSpPr>
          <cdr:cNvPr id="11" name="TextBox 2">
            <a:extLst xmlns:a="http://schemas.openxmlformats.org/drawingml/2006/main">
              <a:ext uri="{FF2B5EF4-FFF2-40B4-BE49-F238E27FC236}">
                <a16:creationId xmlns:a16="http://schemas.microsoft.com/office/drawing/2014/main" id="{AA249F56-2453-AB7E-BEB8-297EC534EFC6}"/>
              </a:ext>
            </a:extLst>
          </cdr:cNvPr>
          <cdr:cNvSpPr txBox="1"/>
        </cdr:nvSpPr>
        <cdr:spPr>
          <a:xfrm xmlns:a="http://schemas.openxmlformats.org/drawingml/2006/main">
            <a:off x="0" y="0"/>
            <a:ext cx="947927" cy="33789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400" b="1"/>
              <a:t>Efficiency:</a:t>
            </a:r>
          </a:p>
        </cdr:txBody>
      </cdr:sp>
      <cdr:sp macro="" textlink="Indicators!$E$47">
        <cdr:nvSpPr>
          <cdr:cNvPr id="12" name="TextBox 3">
            <a:extLst xmlns:a="http://schemas.openxmlformats.org/drawingml/2006/main">
              <a:ext uri="{FF2B5EF4-FFF2-40B4-BE49-F238E27FC236}">
                <a16:creationId xmlns:a16="http://schemas.microsoft.com/office/drawing/2014/main" id="{A93D3D67-C847-3B14-723F-016975266E2C}"/>
              </a:ext>
            </a:extLst>
          </cdr:cNvPr>
          <cdr:cNvSpPr txBox="1"/>
        </cdr:nvSpPr>
        <cdr:spPr>
          <a:xfrm xmlns:a="http://schemas.openxmlformats.org/drawingml/2006/main">
            <a:off x="833203" y="23269"/>
            <a:ext cx="914400" cy="29135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B9371-8DA3-4C3F-806E-4EA06A536112}" type="TxLink">
              <a:rPr lang="en-US" sz="1200" b="0" i="0" u="none" strike="noStrike" kern="1200">
                <a:solidFill>
                  <a:srgbClr val="00B050"/>
                </a:solidFill>
                <a:latin typeface="Aptos Narrow"/>
              </a:rPr>
              <a:pPr/>
              <a:t>140.50%</a:t>
            </a:fld>
            <a:endParaRPr lang="en-IN" sz="1600" b="0" kern="1200">
              <a:solidFill>
                <a:srgbClr val="00B050"/>
              </a:solidFill>
            </a:endParaRPr>
          </a:p>
        </cdr:txBody>
      </cdr:sp>
    </cdr:grpSp>
  </cdr:relSizeAnchor>
</c:userShapes>
</file>

<file path=xl/drawings/drawing4.xml><?xml version="1.0" encoding="utf-8"?>
<c:userShapes xmlns:c="http://schemas.openxmlformats.org/drawingml/2006/chart">
  <cdr:relSizeAnchor xmlns:cdr="http://schemas.openxmlformats.org/drawingml/2006/chartDrawing">
    <cdr:from>
      <cdr:x>0.51418</cdr:x>
      <cdr:y>0.07628</cdr:y>
    </cdr:from>
    <cdr:to>
      <cdr:x>0.60257</cdr:x>
      <cdr:y>0.1346</cdr:y>
    </cdr:to>
    <cdr:sp macro="" textlink="Indicators!$O$14">
      <cdr:nvSpPr>
        <cdr:cNvPr id="3" name="TextBox 2">
          <a:extLst xmlns:a="http://schemas.openxmlformats.org/drawingml/2006/main">
            <a:ext uri="{FF2B5EF4-FFF2-40B4-BE49-F238E27FC236}">
              <a16:creationId xmlns:a16="http://schemas.microsoft.com/office/drawing/2014/main" id="{751E8D89-6741-978F-1AE3-FF8358E474B7}"/>
            </a:ext>
          </a:extLst>
        </cdr:cNvPr>
        <cdr:cNvSpPr txBox="1"/>
      </cdr:nvSpPr>
      <cdr:spPr>
        <a:xfrm xmlns:a="http://schemas.openxmlformats.org/drawingml/2006/main">
          <a:off x="5513976" y="426657"/>
          <a:ext cx="947928" cy="32620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CA5FF499-E4A1-4973-BE86-55E10AF05D4E}" type="TxLink">
            <a:rPr lang="en-US" sz="1400" b="1" i="0" u="none" strike="noStrike">
              <a:solidFill>
                <a:srgbClr val="00B050"/>
              </a:solidFill>
              <a:latin typeface="Aptos Narrow"/>
            </a:rPr>
            <a:pPr/>
            <a:t> </a:t>
          </a:fld>
          <a:endParaRPr lang="en-IN" sz="1800" b="1">
            <a:solidFill>
              <a:srgbClr val="00B050"/>
            </a:solidFill>
          </a:endParaRPr>
        </a:p>
      </cdr:txBody>
    </cdr:sp>
  </cdr:relSizeAnchor>
  <cdr:relSizeAnchor xmlns:cdr="http://schemas.openxmlformats.org/drawingml/2006/chartDrawing">
    <cdr:from>
      <cdr:x>0.84497</cdr:x>
      <cdr:y>0.07554</cdr:y>
    </cdr:from>
    <cdr:to>
      <cdr:x>0.96152</cdr:x>
      <cdr:y>0.1297</cdr:y>
    </cdr:to>
    <cdr:grpSp>
      <cdr:nvGrpSpPr>
        <cdr:cNvPr id="7" name="Group 6">
          <a:extLst xmlns:a="http://schemas.openxmlformats.org/drawingml/2006/main">
            <a:ext uri="{FF2B5EF4-FFF2-40B4-BE49-F238E27FC236}">
              <a16:creationId xmlns:a16="http://schemas.microsoft.com/office/drawing/2014/main" id="{5B2E444A-3C3E-CE08-40C4-CD16462040C8}"/>
            </a:ext>
          </a:extLst>
        </cdr:cNvPr>
        <cdr:cNvGrpSpPr/>
      </cdr:nvGrpSpPr>
      <cdr:grpSpPr>
        <a:xfrm xmlns:a="http://schemas.openxmlformats.org/drawingml/2006/main">
          <a:off x="9081640" y="429193"/>
          <a:ext cx="1252665" cy="307719"/>
          <a:chOff x="9121609" y="431096"/>
          <a:chExt cx="1258225" cy="309095"/>
        </a:xfrm>
      </cdr:grpSpPr>
      <cdr:sp macro="" textlink="">
        <cdr:nvSpPr>
          <cdr:cNvPr id="5" name="TextBox 4">
            <a:extLst xmlns:a="http://schemas.openxmlformats.org/drawingml/2006/main">
              <a:ext uri="{FF2B5EF4-FFF2-40B4-BE49-F238E27FC236}">
                <a16:creationId xmlns:a16="http://schemas.microsoft.com/office/drawing/2014/main" id="{F23244A7-DE90-B33A-2F2E-FBFB4CEF71BC}"/>
              </a:ext>
            </a:extLst>
          </cdr:cNvPr>
          <cdr:cNvSpPr txBox="1"/>
        </cdr:nvSpPr>
        <cdr:spPr>
          <a:xfrm xmlns:a="http://schemas.openxmlformats.org/drawingml/2006/main">
            <a:off x="9121609" y="431096"/>
            <a:ext cx="1045379" cy="29340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1200" b="1"/>
              <a:t>No of Persons :</a:t>
            </a:r>
          </a:p>
        </cdr:txBody>
      </cdr:sp>
      <cdr:sp macro="" textlink="Indicators!$H$9">
        <cdr:nvSpPr>
          <cdr:cNvPr id="6" name="TextBox 5">
            <a:extLst xmlns:a="http://schemas.openxmlformats.org/drawingml/2006/main">
              <a:ext uri="{FF2B5EF4-FFF2-40B4-BE49-F238E27FC236}">
                <a16:creationId xmlns:a16="http://schemas.microsoft.com/office/drawing/2014/main" id="{63BAD746-DCA1-378C-748A-5E0A7C1CCBE9}"/>
              </a:ext>
            </a:extLst>
          </cdr:cNvPr>
          <cdr:cNvSpPr txBox="1"/>
        </cdr:nvSpPr>
        <cdr:spPr>
          <a:xfrm xmlns:a="http://schemas.openxmlformats.org/drawingml/2006/main">
            <a:off x="10131784" y="444991"/>
            <a:ext cx="248050" cy="2952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1100" b="1">
                <a:solidFill>
                  <a:srgbClr val="00B050"/>
                </a:solidFill>
              </a:rPr>
              <a:t>1</a:t>
            </a:r>
          </a:p>
        </cdr:txBody>
      </cdr:sp>
    </cdr:grpSp>
  </cdr:relSizeAnchor>
  <cdr:relSizeAnchor xmlns:cdr="http://schemas.openxmlformats.org/drawingml/2006/chartDrawing">
    <cdr:from>
      <cdr:x>0.40911</cdr:x>
      <cdr:y>0.07018</cdr:y>
    </cdr:from>
    <cdr:to>
      <cdr:x>0.57208</cdr:x>
      <cdr:y>0.13059</cdr:y>
    </cdr:to>
    <cdr:grpSp>
      <cdr:nvGrpSpPr>
        <cdr:cNvPr id="9" name="Group 8">
          <a:extLst xmlns:a="http://schemas.openxmlformats.org/drawingml/2006/main">
            <a:ext uri="{FF2B5EF4-FFF2-40B4-BE49-F238E27FC236}">
              <a16:creationId xmlns:a16="http://schemas.microsoft.com/office/drawing/2014/main" id="{9AA18CE3-F2EF-2978-06F6-F5EF72695705}"/>
            </a:ext>
          </a:extLst>
        </cdr:cNvPr>
        <cdr:cNvGrpSpPr/>
      </cdr:nvGrpSpPr>
      <cdr:grpSpPr>
        <a:xfrm xmlns:a="http://schemas.openxmlformats.org/drawingml/2006/main">
          <a:off x="4397067" y="398739"/>
          <a:ext cx="1751582" cy="343230"/>
          <a:chOff x="4633813" y="414967"/>
          <a:chExt cx="1747603" cy="337891"/>
        </a:xfrm>
      </cdr:grpSpPr>
      <cdr:sp macro="" textlink="">
        <cdr:nvSpPr>
          <cdr:cNvPr id="2" name="TextBox 1">
            <a:extLst xmlns:a="http://schemas.openxmlformats.org/drawingml/2006/main">
              <a:ext uri="{FF2B5EF4-FFF2-40B4-BE49-F238E27FC236}">
                <a16:creationId xmlns:a16="http://schemas.microsoft.com/office/drawing/2014/main" id="{199579BE-8993-442C-5D94-DB7A8D1E21AB}"/>
              </a:ext>
            </a:extLst>
          </cdr:cNvPr>
          <cdr:cNvSpPr txBox="1"/>
        </cdr:nvSpPr>
        <cdr:spPr>
          <a:xfrm xmlns:a="http://schemas.openxmlformats.org/drawingml/2006/main">
            <a:off x="4633813" y="414967"/>
            <a:ext cx="947927" cy="33789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IN" sz="1400" b="1"/>
              <a:t>Efficiency:</a:t>
            </a:r>
          </a:p>
        </cdr:txBody>
      </cdr:sp>
      <cdr:sp macro="" textlink="Indicators!$N$14">
        <cdr:nvSpPr>
          <cdr:cNvPr id="8" name="TextBox 7">
            <a:extLst xmlns:a="http://schemas.openxmlformats.org/drawingml/2006/main">
              <a:ext uri="{FF2B5EF4-FFF2-40B4-BE49-F238E27FC236}">
                <a16:creationId xmlns:a16="http://schemas.microsoft.com/office/drawing/2014/main" id="{7049BE85-C84F-652B-DB97-7134AB3B72C2}"/>
              </a:ext>
            </a:extLst>
          </cdr:cNvPr>
          <cdr:cNvSpPr txBox="1"/>
        </cdr:nvSpPr>
        <cdr:spPr>
          <a:xfrm xmlns:a="http://schemas.openxmlformats.org/drawingml/2006/main">
            <a:off x="5467016" y="438236"/>
            <a:ext cx="914400" cy="2913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13A9E7F8-0A64-4970-B550-217603DD334B}" type="TxLink">
              <a:rPr lang="en-US" sz="1200" b="1" i="0" u="none" strike="noStrike" kern="1200">
                <a:solidFill>
                  <a:srgbClr val="00B050"/>
                </a:solidFill>
                <a:latin typeface="Aptos Narrow"/>
              </a:rPr>
              <a:pPr/>
              <a:t> </a:t>
            </a:fld>
            <a:endParaRPr lang="en-IN" sz="1200" b="1" kern="1200">
              <a:solidFill>
                <a:srgbClr val="00B050"/>
              </a:solidFill>
            </a:endParaRPr>
          </a:p>
        </cdr:txBody>
      </cdr:sp>
    </cdr:grpSp>
  </cdr:relSizeAnchor>
</c:userShapes>
</file>

<file path=xl/drawings/drawing5.xml><?xml version="1.0" encoding="utf-8"?>
<c:userShapes xmlns:c="http://schemas.openxmlformats.org/drawingml/2006/chart">
  <cdr:relSizeAnchor xmlns:cdr="http://schemas.openxmlformats.org/drawingml/2006/chartDrawing">
    <cdr:from>
      <cdr:x>0.85602</cdr:x>
      <cdr:y>0.07518</cdr:y>
    </cdr:from>
    <cdr:to>
      <cdr:x>0.97145</cdr:x>
      <cdr:y>0.12814</cdr:y>
    </cdr:to>
    <cdr:grpSp>
      <cdr:nvGrpSpPr>
        <cdr:cNvPr id="5" name="Group 4">
          <a:extLst xmlns:a="http://schemas.openxmlformats.org/drawingml/2006/main">
            <a:ext uri="{FF2B5EF4-FFF2-40B4-BE49-F238E27FC236}">
              <a16:creationId xmlns:a16="http://schemas.microsoft.com/office/drawing/2014/main" id="{0A486034-1012-A05E-D5E8-92A976DACC40}"/>
            </a:ext>
          </a:extLst>
        </cdr:cNvPr>
        <cdr:cNvGrpSpPr/>
      </cdr:nvGrpSpPr>
      <cdr:grpSpPr>
        <a:xfrm xmlns:a="http://schemas.openxmlformats.org/drawingml/2006/main">
          <a:off x="9230533" y="427148"/>
          <a:ext cx="1244691" cy="300901"/>
          <a:chOff x="0" y="899"/>
          <a:chExt cx="1243499" cy="301685"/>
        </a:xfrm>
      </cdr:grpSpPr>
      <cdr:sp macro="" textlink="">
        <cdr:nvSpPr>
          <cdr:cNvPr id="6" name="TextBox 2">
            <a:extLst xmlns:a="http://schemas.openxmlformats.org/drawingml/2006/main">
              <a:ext uri="{FF2B5EF4-FFF2-40B4-BE49-F238E27FC236}">
                <a16:creationId xmlns:a16="http://schemas.microsoft.com/office/drawing/2014/main" id="{04B1770B-2291-FFF9-ED0A-C701C7C17BEF}"/>
              </a:ext>
            </a:extLst>
          </cdr:cNvPr>
          <cdr:cNvSpPr txBox="1"/>
        </cdr:nvSpPr>
        <cdr:spPr>
          <a:xfrm xmlns:a="http://schemas.openxmlformats.org/drawingml/2006/main">
            <a:off x="0" y="899"/>
            <a:ext cx="1045379" cy="29340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200" b="1"/>
              <a:t>No of Persons :</a:t>
            </a:r>
          </a:p>
        </cdr:txBody>
      </cdr:sp>
      <cdr:sp macro="" textlink="#REF!">
        <cdr:nvSpPr>
          <cdr:cNvPr id="7" name="TextBox 3">
            <a:extLst xmlns:a="http://schemas.openxmlformats.org/drawingml/2006/main">
              <a:ext uri="{FF2B5EF4-FFF2-40B4-BE49-F238E27FC236}">
                <a16:creationId xmlns:a16="http://schemas.microsoft.com/office/drawing/2014/main" id="{D76EFC64-56FD-7144-C021-CE2F56DC6CC8}"/>
              </a:ext>
            </a:extLst>
          </cdr:cNvPr>
          <cdr:cNvSpPr txBox="1"/>
        </cdr:nvSpPr>
        <cdr:spPr>
          <a:xfrm xmlns:a="http://schemas.openxmlformats.org/drawingml/2006/main">
            <a:off x="995449" y="7384"/>
            <a:ext cx="248050" cy="2952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200" b="1">
                <a:solidFill>
                  <a:srgbClr val="00B050"/>
                </a:solidFill>
              </a:rPr>
              <a:t>1</a:t>
            </a:r>
          </a:p>
        </cdr:txBody>
      </cdr:sp>
    </cdr:grpSp>
  </cdr:relSizeAnchor>
  <cdr:relSizeAnchor xmlns:cdr="http://schemas.openxmlformats.org/drawingml/2006/chartDrawing">
    <cdr:from>
      <cdr:x>0.39436</cdr:x>
      <cdr:y>0.07119</cdr:y>
    </cdr:from>
    <cdr:to>
      <cdr:x>0.55683</cdr:x>
      <cdr:y>0.1316</cdr:y>
    </cdr:to>
    <cdr:grpSp>
      <cdr:nvGrpSpPr>
        <cdr:cNvPr id="8" name="Group 7">
          <a:extLst xmlns:a="http://schemas.openxmlformats.org/drawingml/2006/main">
            <a:ext uri="{FF2B5EF4-FFF2-40B4-BE49-F238E27FC236}">
              <a16:creationId xmlns:a16="http://schemas.microsoft.com/office/drawing/2014/main" id="{85828EA2-C146-C2A0-52E1-C2C7B3B23189}"/>
            </a:ext>
          </a:extLst>
        </cdr:cNvPr>
        <cdr:cNvGrpSpPr/>
      </cdr:nvGrpSpPr>
      <cdr:grpSpPr>
        <a:xfrm xmlns:a="http://schemas.openxmlformats.org/drawingml/2006/main">
          <a:off x="4252416" y="404478"/>
          <a:ext cx="1751927" cy="343230"/>
          <a:chOff x="0" y="0"/>
          <a:chExt cx="1747603" cy="337891"/>
        </a:xfrm>
      </cdr:grpSpPr>
      <cdr:sp macro="" textlink="">
        <cdr:nvSpPr>
          <cdr:cNvPr id="9" name="TextBox 2">
            <a:extLst xmlns:a="http://schemas.openxmlformats.org/drawingml/2006/main">
              <a:ext uri="{FF2B5EF4-FFF2-40B4-BE49-F238E27FC236}">
                <a16:creationId xmlns:a16="http://schemas.microsoft.com/office/drawing/2014/main" id="{8B782348-A68F-5166-61A3-AE02799A19E2}"/>
              </a:ext>
            </a:extLst>
          </cdr:cNvPr>
          <cdr:cNvSpPr txBox="1"/>
        </cdr:nvSpPr>
        <cdr:spPr>
          <a:xfrm xmlns:a="http://schemas.openxmlformats.org/drawingml/2006/main">
            <a:off x="0" y="0"/>
            <a:ext cx="947927" cy="33789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400" b="1"/>
              <a:t>Efficiency:</a:t>
            </a:r>
          </a:p>
        </cdr:txBody>
      </cdr:sp>
      <cdr:sp macro="" textlink="Indicators!$N$15">
        <cdr:nvSpPr>
          <cdr:cNvPr id="10" name="TextBox 3">
            <a:extLst xmlns:a="http://schemas.openxmlformats.org/drawingml/2006/main">
              <a:ext uri="{FF2B5EF4-FFF2-40B4-BE49-F238E27FC236}">
                <a16:creationId xmlns:a16="http://schemas.microsoft.com/office/drawing/2014/main" id="{D8457CDA-D1B0-8AA7-1121-46F59DEAF78A}"/>
              </a:ext>
            </a:extLst>
          </cdr:cNvPr>
          <cdr:cNvSpPr txBox="1"/>
        </cdr:nvSpPr>
        <cdr:spPr>
          <a:xfrm xmlns:a="http://schemas.openxmlformats.org/drawingml/2006/main">
            <a:off x="833203" y="23269"/>
            <a:ext cx="914400" cy="29135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23F3FC66-1214-496B-91CE-F17EA33ECE2A}" type="TxLink">
              <a:rPr lang="en-US" sz="1200" b="1" i="0" u="none" strike="noStrike" kern="1200">
                <a:solidFill>
                  <a:srgbClr val="00B050"/>
                </a:solidFill>
                <a:latin typeface="Aptos Narrow"/>
              </a:rPr>
              <a:pPr/>
              <a:t>0.00%</a:t>
            </a:fld>
            <a:endParaRPr lang="en-IN" sz="1400" b="1" kern="1200">
              <a:solidFill>
                <a:srgbClr val="00B050"/>
              </a:solidFill>
            </a:endParaRPr>
          </a:p>
        </cdr:txBody>
      </cdr:sp>
    </cdr:grpSp>
  </cdr:relSizeAnchor>
</c:userShapes>
</file>

<file path=xl/drawings/drawing6.xml><?xml version="1.0" encoding="utf-8"?>
<c:userShapes xmlns:c="http://schemas.openxmlformats.org/drawingml/2006/chart">
  <cdr:relSizeAnchor xmlns:cdr="http://schemas.openxmlformats.org/drawingml/2006/chartDrawing">
    <cdr:from>
      <cdr:x>0.86511</cdr:x>
      <cdr:y>0.0733</cdr:y>
    </cdr:from>
    <cdr:to>
      <cdr:x>0.97891</cdr:x>
      <cdr:y>0.12718</cdr:y>
    </cdr:to>
    <cdr:grpSp>
      <cdr:nvGrpSpPr>
        <cdr:cNvPr id="5" name="Group 4">
          <a:extLst xmlns:a="http://schemas.openxmlformats.org/drawingml/2006/main">
            <a:ext uri="{FF2B5EF4-FFF2-40B4-BE49-F238E27FC236}">
              <a16:creationId xmlns:a16="http://schemas.microsoft.com/office/drawing/2014/main" id="{0A486034-1012-A05E-D5E8-92A976DACC40}"/>
            </a:ext>
          </a:extLst>
        </cdr:cNvPr>
        <cdr:cNvGrpSpPr/>
      </cdr:nvGrpSpPr>
      <cdr:grpSpPr>
        <a:xfrm xmlns:a="http://schemas.openxmlformats.org/drawingml/2006/main">
          <a:off x="9404440" y="416746"/>
          <a:ext cx="1237098" cy="306333"/>
          <a:chOff x="0" y="899"/>
          <a:chExt cx="1236147" cy="301551"/>
        </a:xfrm>
      </cdr:grpSpPr>
      <cdr:sp macro="" textlink="">
        <cdr:nvSpPr>
          <cdr:cNvPr id="6" name="TextBox 2">
            <a:extLst xmlns:a="http://schemas.openxmlformats.org/drawingml/2006/main">
              <a:ext uri="{FF2B5EF4-FFF2-40B4-BE49-F238E27FC236}">
                <a16:creationId xmlns:a16="http://schemas.microsoft.com/office/drawing/2014/main" id="{04B1770B-2291-FFF9-ED0A-C701C7C17BEF}"/>
              </a:ext>
            </a:extLst>
          </cdr:cNvPr>
          <cdr:cNvSpPr txBox="1"/>
        </cdr:nvSpPr>
        <cdr:spPr>
          <a:xfrm xmlns:a="http://schemas.openxmlformats.org/drawingml/2006/main">
            <a:off x="0" y="899"/>
            <a:ext cx="1045379" cy="29340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200" b="1"/>
              <a:t>No of Persons :</a:t>
            </a:r>
          </a:p>
        </cdr:txBody>
      </cdr:sp>
      <cdr:sp macro="" textlink="Indicators!$H$7">
        <cdr:nvSpPr>
          <cdr:cNvPr id="7" name="TextBox 3">
            <a:extLst xmlns:a="http://schemas.openxmlformats.org/drawingml/2006/main">
              <a:ext uri="{FF2B5EF4-FFF2-40B4-BE49-F238E27FC236}">
                <a16:creationId xmlns:a16="http://schemas.microsoft.com/office/drawing/2014/main" id="{D76EFC64-56FD-7144-C021-CE2F56DC6CC8}"/>
              </a:ext>
            </a:extLst>
          </cdr:cNvPr>
          <cdr:cNvSpPr txBox="1"/>
        </cdr:nvSpPr>
        <cdr:spPr>
          <a:xfrm xmlns:a="http://schemas.openxmlformats.org/drawingml/2006/main">
            <a:off x="988097" y="7250"/>
            <a:ext cx="248050" cy="2952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4BCB53D-55E8-4774-B367-5E5C10D21E23}" type="TxLink">
              <a:rPr lang="en-US" sz="1200" b="1" i="0" u="none" strike="noStrike">
                <a:solidFill>
                  <a:srgbClr val="00B050"/>
                </a:solidFill>
                <a:latin typeface="Aptos Narrow"/>
              </a:rPr>
              <a:pPr/>
              <a:t>2</a:t>
            </a:fld>
            <a:endParaRPr lang="en-IN" sz="1600" b="1">
              <a:solidFill>
                <a:srgbClr val="00B050"/>
              </a:solidFill>
            </a:endParaRPr>
          </a:p>
        </cdr:txBody>
      </cdr:sp>
    </cdr:grpSp>
  </cdr:relSizeAnchor>
  <cdr:relSizeAnchor xmlns:cdr="http://schemas.openxmlformats.org/drawingml/2006/chartDrawing">
    <cdr:from>
      <cdr:x>0.42188</cdr:x>
      <cdr:y>0.07514</cdr:y>
    </cdr:from>
    <cdr:to>
      <cdr:x>0.58307</cdr:x>
      <cdr:y>0.13551</cdr:y>
    </cdr:to>
    <cdr:grpSp>
      <cdr:nvGrpSpPr>
        <cdr:cNvPr id="8" name="Group 7">
          <a:extLst xmlns:a="http://schemas.openxmlformats.org/drawingml/2006/main">
            <a:ext uri="{FF2B5EF4-FFF2-40B4-BE49-F238E27FC236}">
              <a16:creationId xmlns:a16="http://schemas.microsoft.com/office/drawing/2014/main" id="{85828EA2-C146-C2A0-52E1-C2C7B3B23189}"/>
            </a:ext>
          </a:extLst>
        </cdr:cNvPr>
        <cdr:cNvGrpSpPr/>
      </cdr:nvGrpSpPr>
      <cdr:grpSpPr>
        <a:xfrm xmlns:a="http://schemas.openxmlformats.org/drawingml/2006/main">
          <a:off x="4586174" y="427207"/>
          <a:ext cx="1752265" cy="343232"/>
          <a:chOff x="0" y="0"/>
          <a:chExt cx="1747603" cy="337891"/>
        </a:xfrm>
      </cdr:grpSpPr>
      <cdr:sp macro="" textlink="">
        <cdr:nvSpPr>
          <cdr:cNvPr id="9" name="TextBox 2">
            <a:extLst xmlns:a="http://schemas.openxmlformats.org/drawingml/2006/main">
              <a:ext uri="{FF2B5EF4-FFF2-40B4-BE49-F238E27FC236}">
                <a16:creationId xmlns:a16="http://schemas.microsoft.com/office/drawing/2014/main" id="{8B782348-A68F-5166-61A3-AE02799A19E2}"/>
              </a:ext>
            </a:extLst>
          </cdr:cNvPr>
          <cdr:cNvSpPr txBox="1"/>
        </cdr:nvSpPr>
        <cdr:spPr>
          <a:xfrm xmlns:a="http://schemas.openxmlformats.org/drawingml/2006/main">
            <a:off x="0" y="0"/>
            <a:ext cx="947927" cy="33789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400" b="1"/>
              <a:t>Efficiency:</a:t>
            </a:r>
          </a:p>
        </cdr:txBody>
      </cdr:sp>
      <cdr:sp macro="" textlink="Indicators!$N$16">
        <cdr:nvSpPr>
          <cdr:cNvPr id="10" name="TextBox 3">
            <a:extLst xmlns:a="http://schemas.openxmlformats.org/drawingml/2006/main">
              <a:ext uri="{FF2B5EF4-FFF2-40B4-BE49-F238E27FC236}">
                <a16:creationId xmlns:a16="http://schemas.microsoft.com/office/drawing/2014/main" id="{D8457CDA-D1B0-8AA7-1121-46F59DEAF78A}"/>
              </a:ext>
            </a:extLst>
          </cdr:cNvPr>
          <cdr:cNvSpPr txBox="1"/>
        </cdr:nvSpPr>
        <cdr:spPr>
          <a:xfrm xmlns:a="http://schemas.openxmlformats.org/drawingml/2006/main">
            <a:off x="833203" y="23269"/>
            <a:ext cx="914400" cy="29135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EDB4CA6-514E-4BCE-A40E-7AC4BBEFF7B7}" type="TxLink">
              <a:rPr lang="en-US" sz="1200" b="0" i="0" u="none" strike="noStrike" kern="1200">
                <a:solidFill>
                  <a:srgbClr val="00B050"/>
                </a:solidFill>
                <a:latin typeface="Aptos Narrow"/>
              </a:rPr>
              <a:pPr/>
              <a:t> </a:t>
            </a:fld>
            <a:endParaRPr lang="en-IN" sz="1400" b="0" kern="1200">
              <a:solidFill>
                <a:srgbClr val="00B050"/>
              </a:solidFill>
            </a:endParaRPr>
          </a:p>
        </cdr:txBody>
      </cdr:sp>
    </cdr:grpSp>
  </cdr:relSizeAnchor>
</c:userShapes>
</file>

<file path=xl/drawings/drawing7.xml><?xml version="1.0" encoding="utf-8"?>
<c:userShapes xmlns:c="http://schemas.openxmlformats.org/drawingml/2006/chart">
  <cdr:relSizeAnchor xmlns:cdr="http://schemas.openxmlformats.org/drawingml/2006/chartDrawing">
    <cdr:from>
      <cdr:x>0.86851</cdr:x>
      <cdr:y>0.07538</cdr:y>
    </cdr:from>
    <cdr:to>
      <cdr:x>0.98303</cdr:x>
      <cdr:y>0.12829</cdr:y>
    </cdr:to>
    <cdr:grpSp>
      <cdr:nvGrpSpPr>
        <cdr:cNvPr id="2" name="Group 1">
          <a:extLst xmlns:a="http://schemas.openxmlformats.org/drawingml/2006/main">
            <a:ext uri="{FF2B5EF4-FFF2-40B4-BE49-F238E27FC236}">
              <a16:creationId xmlns:a16="http://schemas.microsoft.com/office/drawing/2014/main" id="{0A486034-1012-A05E-D5E8-92A976DACC40}"/>
            </a:ext>
          </a:extLst>
        </cdr:cNvPr>
        <cdr:cNvGrpSpPr/>
      </cdr:nvGrpSpPr>
      <cdr:grpSpPr>
        <a:xfrm xmlns:a="http://schemas.openxmlformats.org/drawingml/2006/main">
          <a:off x="9453771" y="424530"/>
          <a:ext cx="1246556" cy="297982"/>
          <a:chOff x="0" y="0"/>
          <a:chExt cx="1243499" cy="295200"/>
        </a:xfrm>
      </cdr:grpSpPr>
      <cdr:sp macro="" textlink="">
        <cdr:nvSpPr>
          <cdr:cNvPr id="3" name="TextBox 2">
            <a:extLst xmlns:a="http://schemas.openxmlformats.org/drawingml/2006/main">
              <a:ext uri="{FF2B5EF4-FFF2-40B4-BE49-F238E27FC236}">
                <a16:creationId xmlns:a16="http://schemas.microsoft.com/office/drawing/2014/main" id="{04B1770B-2291-FFF9-ED0A-C701C7C17BEF}"/>
              </a:ext>
            </a:extLst>
          </cdr:cNvPr>
          <cdr:cNvSpPr txBox="1"/>
        </cdr:nvSpPr>
        <cdr:spPr>
          <a:xfrm xmlns:a="http://schemas.openxmlformats.org/drawingml/2006/main">
            <a:off x="0" y="899"/>
            <a:ext cx="1045379" cy="29340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200" b="1"/>
              <a:t>No of Persons :</a:t>
            </a:r>
          </a:p>
        </cdr:txBody>
      </cdr:sp>
      <cdr:sp macro="" textlink="Indicators!$H$7">
        <cdr:nvSpPr>
          <cdr:cNvPr id="4" name="TextBox 3">
            <a:extLst xmlns:a="http://schemas.openxmlformats.org/drawingml/2006/main">
              <a:ext uri="{FF2B5EF4-FFF2-40B4-BE49-F238E27FC236}">
                <a16:creationId xmlns:a16="http://schemas.microsoft.com/office/drawing/2014/main" id="{D76EFC64-56FD-7144-C021-CE2F56DC6CC8}"/>
              </a:ext>
            </a:extLst>
          </cdr:cNvPr>
          <cdr:cNvSpPr txBox="1"/>
        </cdr:nvSpPr>
        <cdr:spPr>
          <a:xfrm xmlns:a="http://schemas.openxmlformats.org/drawingml/2006/main">
            <a:off x="995449" y="0"/>
            <a:ext cx="248050" cy="2952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F1552C2C-94A0-4B9E-8EA4-D0B4206F3F52}" type="TxLink">
              <a:rPr lang="en-US" sz="1200" b="1" i="0" u="none" strike="noStrike">
                <a:solidFill>
                  <a:srgbClr val="00B050"/>
                </a:solidFill>
                <a:latin typeface="Aptos Narrow"/>
              </a:rPr>
              <a:pPr/>
              <a:t>2</a:t>
            </a:fld>
            <a:endParaRPr lang="en-IN" sz="1800" b="1">
              <a:solidFill>
                <a:srgbClr val="00B050"/>
              </a:solidFill>
            </a:endParaRPr>
          </a:p>
        </cdr:txBody>
      </cdr:sp>
    </cdr:grpSp>
  </cdr:relSizeAnchor>
  <cdr:relSizeAnchor xmlns:cdr="http://schemas.openxmlformats.org/drawingml/2006/chartDrawing">
    <cdr:from>
      <cdr:x>0.41913</cdr:x>
      <cdr:y>0.06974</cdr:y>
    </cdr:from>
    <cdr:to>
      <cdr:x>0.57992</cdr:x>
      <cdr:y>0.13063</cdr:y>
    </cdr:to>
    <cdr:grpSp>
      <cdr:nvGrpSpPr>
        <cdr:cNvPr id="8" name="Group 7">
          <a:extLst xmlns:a="http://schemas.openxmlformats.org/drawingml/2006/main">
            <a:ext uri="{FF2B5EF4-FFF2-40B4-BE49-F238E27FC236}">
              <a16:creationId xmlns:a16="http://schemas.microsoft.com/office/drawing/2014/main" id="{793A7278-E6D2-7718-57AE-89869F26C2ED}"/>
            </a:ext>
          </a:extLst>
        </cdr:cNvPr>
        <cdr:cNvGrpSpPr/>
      </cdr:nvGrpSpPr>
      <cdr:grpSpPr>
        <a:xfrm xmlns:a="http://schemas.openxmlformats.org/drawingml/2006/main">
          <a:off x="4562249" y="392766"/>
          <a:ext cx="1750207" cy="342925"/>
          <a:chOff x="0" y="0"/>
          <a:chExt cx="1747603" cy="337891"/>
        </a:xfrm>
      </cdr:grpSpPr>
      <cdr:sp macro="" textlink="">
        <cdr:nvSpPr>
          <cdr:cNvPr id="9" name="TextBox 2">
            <a:extLst xmlns:a="http://schemas.openxmlformats.org/drawingml/2006/main">
              <a:ext uri="{FF2B5EF4-FFF2-40B4-BE49-F238E27FC236}">
                <a16:creationId xmlns:a16="http://schemas.microsoft.com/office/drawing/2014/main" id="{AA249F56-2453-AB7E-BEB8-297EC534EFC6}"/>
              </a:ext>
            </a:extLst>
          </cdr:cNvPr>
          <cdr:cNvSpPr txBox="1"/>
        </cdr:nvSpPr>
        <cdr:spPr>
          <a:xfrm xmlns:a="http://schemas.openxmlformats.org/drawingml/2006/main">
            <a:off x="0" y="0"/>
            <a:ext cx="947927" cy="33789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400" b="1"/>
              <a:t>Efficiency:</a:t>
            </a:r>
          </a:p>
        </cdr:txBody>
      </cdr:sp>
      <cdr:sp macro="" textlink="Indicators!$N$17">
        <cdr:nvSpPr>
          <cdr:cNvPr id="10" name="TextBox 3">
            <a:extLst xmlns:a="http://schemas.openxmlformats.org/drawingml/2006/main">
              <a:ext uri="{FF2B5EF4-FFF2-40B4-BE49-F238E27FC236}">
                <a16:creationId xmlns:a16="http://schemas.microsoft.com/office/drawing/2014/main" id="{A93D3D67-C847-3B14-723F-016975266E2C}"/>
              </a:ext>
            </a:extLst>
          </cdr:cNvPr>
          <cdr:cNvSpPr txBox="1"/>
        </cdr:nvSpPr>
        <cdr:spPr>
          <a:xfrm xmlns:a="http://schemas.openxmlformats.org/drawingml/2006/main">
            <a:off x="833203" y="23269"/>
            <a:ext cx="914400" cy="29135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2A054BF-EA08-44D4-89EE-C8E207DC2FFC}" type="TxLink">
              <a:rPr lang="en-US" sz="1200" b="1" i="0" u="none" strike="noStrike" kern="1200">
                <a:solidFill>
                  <a:srgbClr val="00B050"/>
                </a:solidFill>
                <a:latin typeface="Aptos Narrow"/>
              </a:rPr>
              <a:pPr/>
              <a:t>0.00%</a:t>
            </a:fld>
            <a:endParaRPr lang="en-IN" sz="1600" b="1" kern="1200">
              <a:solidFill>
                <a:srgbClr val="00B050"/>
              </a:solidFill>
            </a:endParaRPr>
          </a:p>
        </cdr:txBody>
      </cdr:sp>
    </cdr:grpSp>
  </cdr:relSizeAnchor>
</c:userShapes>
</file>

<file path=xl/drawings/drawing8.xml><?xml version="1.0" encoding="utf-8"?>
<c:userShapes xmlns:c="http://schemas.openxmlformats.org/drawingml/2006/chart">
  <cdr:relSizeAnchor xmlns:cdr="http://schemas.openxmlformats.org/drawingml/2006/chartDrawing">
    <cdr:from>
      <cdr:x>0.8185</cdr:x>
      <cdr:y>0.0533</cdr:y>
    </cdr:from>
    <cdr:to>
      <cdr:x>0.96671</cdr:x>
      <cdr:y>0.13788</cdr:y>
    </cdr:to>
    <cdr:grpSp>
      <cdr:nvGrpSpPr>
        <cdr:cNvPr id="2" name="Group 1">
          <a:extLst xmlns:a="http://schemas.openxmlformats.org/drawingml/2006/main">
            <a:ext uri="{FF2B5EF4-FFF2-40B4-BE49-F238E27FC236}">
              <a16:creationId xmlns:a16="http://schemas.microsoft.com/office/drawing/2014/main" id="{13034BA7-09CD-B2D0-096C-732B53CD5726}"/>
            </a:ext>
          </a:extLst>
        </cdr:cNvPr>
        <cdr:cNvGrpSpPr/>
      </cdr:nvGrpSpPr>
      <cdr:grpSpPr>
        <a:xfrm xmlns:a="http://schemas.openxmlformats.org/drawingml/2006/main">
          <a:off x="6482371" y="155230"/>
          <a:ext cx="1173796" cy="246330"/>
          <a:chOff x="0" y="903"/>
          <a:chExt cx="1070537" cy="302904"/>
        </a:xfrm>
      </cdr:grpSpPr>
      <cdr:sp macro="" textlink="">
        <cdr:nvSpPr>
          <cdr:cNvPr id="3" name="TextBox 2">
            <a:extLst xmlns:a="http://schemas.openxmlformats.org/drawingml/2006/main">
              <a:ext uri="{FF2B5EF4-FFF2-40B4-BE49-F238E27FC236}">
                <a16:creationId xmlns:a16="http://schemas.microsoft.com/office/drawing/2014/main" id="{21A5EABC-2DD9-A2DC-0150-C3F9AA243A4D}"/>
              </a:ext>
            </a:extLst>
          </cdr:cNvPr>
          <cdr:cNvSpPr txBox="1"/>
        </cdr:nvSpPr>
        <cdr:spPr>
          <a:xfrm xmlns:a="http://schemas.openxmlformats.org/drawingml/2006/main">
            <a:off x="0" y="903"/>
            <a:ext cx="1044123" cy="29467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050" b="1"/>
              <a:t>No of Persons :</a:t>
            </a:r>
          </a:p>
        </cdr:txBody>
      </cdr:sp>
      <cdr:sp macro="" textlink="Indicators!$H$5">
        <cdr:nvSpPr>
          <cdr:cNvPr id="4" name="TextBox 3">
            <a:extLst xmlns:a="http://schemas.openxmlformats.org/drawingml/2006/main">
              <a:ext uri="{FF2B5EF4-FFF2-40B4-BE49-F238E27FC236}">
                <a16:creationId xmlns:a16="http://schemas.microsoft.com/office/drawing/2014/main" id="{EFB5784A-8F77-34FD-008F-C130D3B3B16C}"/>
              </a:ext>
            </a:extLst>
          </cdr:cNvPr>
          <cdr:cNvSpPr txBox="1"/>
        </cdr:nvSpPr>
        <cdr:spPr>
          <a:xfrm xmlns:a="http://schemas.openxmlformats.org/drawingml/2006/main">
            <a:off x="822785" y="7327"/>
            <a:ext cx="247752" cy="29648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C7D5CF28-31B5-48B3-BF64-A91C1F418AC5}" type="TxLink">
              <a:rPr lang="en-US" sz="1050" b="1" i="0" u="none" strike="noStrike">
                <a:solidFill>
                  <a:srgbClr val="00B050"/>
                </a:solidFill>
                <a:latin typeface="Aptos Narrow"/>
              </a:rPr>
              <a:pPr/>
              <a:t>1</a:t>
            </a:fld>
            <a:endParaRPr lang="en-IN" sz="700" b="1">
              <a:solidFill>
                <a:srgbClr val="00B050"/>
              </a:solidFill>
            </a:endParaRPr>
          </a:p>
        </cdr:txBody>
      </cdr:sp>
    </cdr:grpSp>
  </cdr:relSizeAnchor>
</c:userShapes>
</file>

<file path=xl/drawings/drawing9.xml><?xml version="1.0" encoding="utf-8"?>
<c:userShapes xmlns:c="http://schemas.openxmlformats.org/drawingml/2006/chart">
  <cdr:relSizeAnchor xmlns:cdr="http://schemas.openxmlformats.org/drawingml/2006/chartDrawing">
    <cdr:from>
      <cdr:x>0.82125</cdr:x>
      <cdr:y>0.05711</cdr:y>
    </cdr:from>
    <cdr:to>
      <cdr:x>0.97552</cdr:x>
      <cdr:y>0.13984</cdr:y>
    </cdr:to>
    <cdr:grpSp>
      <cdr:nvGrpSpPr>
        <cdr:cNvPr id="2" name="Group 1">
          <a:extLst xmlns:a="http://schemas.openxmlformats.org/drawingml/2006/main">
            <a:ext uri="{FF2B5EF4-FFF2-40B4-BE49-F238E27FC236}">
              <a16:creationId xmlns:a16="http://schemas.microsoft.com/office/drawing/2014/main" id="{13034BA7-09CD-B2D0-096C-732B53CD5726}"/>
            </a:ext>
          </a:extLst>
        </cdr:cNvPr>
        <cdr:cNvGrpSpPr/>
      </cdr:nvGrpSpPr>
      <cdr:grpSpPr>
        <a:xfrm xmlns:a="http://schemas.openxmlformats.org/drawingml/2006/main">
          <a:off x="5981762" y="166073"/>
          <a:ext cx="1123661" cy="240573"/>
          <a:chOff x="0" y="0"/>
          <a:chExt cx="1117447" cy="296480"/>
        </a:xfrm>
      </cdr:grpSpPr>
      <cdr:sp macro="" textlink="">
        <cdr:nvSpPr>
          <cdr:cNvPr id="3" name="TextBox 2">
            <a:extLst xmlns:a="http://schemas.openxmlformats.org/drawingml/2006/main">
              <a:ext uri="{FF2B5EF4-FFF2-40B4-BE49-F238E27FC236}">
                <a16:creationId xmlns:a16="http://schemas.microsoft.com/office/drawing/2014/main" id="{21A5EABC-2DD9-A2DC-0150-C3F9AA243A4D}"/>
              </a:ext>
            </a:extLst>
          </cdr:cNvPr>
          <cdr:cNvSpPr txBox="1"/>
        </cdr:nvSpPr>
        <cdr:spPr>
          <a:xfrm xmlns:a="http://schemas.openxmlformats.org/drawingml/2006/main">
            <a:off x="0" y="903"/>
            <a:ext cx="1044123" cy="29467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050" b="1"/>
              <a:t>No of Persons :</a:t>
            </a:r>
          </a:p>
        </cdr:txBody>
      </cdr:sp>
      <cdr:sp macro="" textlink="Indicators!$H$7">
        <cdr:nvSpPr>
          <cdr:cNvPr id="4" name="TextBox 3">
            <a:extLst xmlns:a="http://schemas.openxmlformats.org/drawingml/2006/main">
              <a:ext uri="{FF2B5EF4-FFF2-40B4-BE49-F238E27FC236}">
                <a16:creationId xmlns:a16="http://schemas.microsoft.com/office/drawing/2014/main" id="{EFB5784A-8F77-34FD-008F-C130D3B3B16C}"/>
              </a:ext>
            </a:extLst>
          </cdr:cNvPr>
          <cdr:cNvSpPr txBox="1"/>
        </cdr:nvSpPr>
        <cdr:spPr>
          <a:xfrm xmlns:a="http://schemas.openxmlformats.org/drawingml/2006/main">
            <a:off x="869695" y="0"/>
            <a:ext cx="247752" cy="29648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61FE8CD1-7B40-4501-8CE1-CC9F95EDB741}" type="TxLink">
              <a:rPr lang="en-US" sz="1050" b="1" i="0" u="none" strike="noStrike">
                <a:solidFill>
                  <a:srgbClr val="00B050"/>
                </a:solidFill>
                <a:latin typeface="Aptos Narrow"/>
              </a:rPr>
              <a:pPr/>
              <a:t>2</a:t>
            </a:fld>
            <a:endParaRPr lang="en-IN" sz="800" b="1">
              <a:solidFill>
                <a:srgbClr val="00B050"/>
              </a:solidFill>
            </a:endParaRPr>
          </a:p>
        </cdr:txBody>
      </cdr:sp>
    </cdr:grpSp>
  </cdr:relSizeAnchor>
</c:userShapes>
</file>

<file path=xl/drawings/drawing10.xml><?xml version="1.0" encoding="utf-8"?>
<c:userShapes xmlns:c="http://schemas.openxmlformats.org/drawingml/2006/chart">
  <cdr:relSizeAnchor xmlns:cdr="http://schemas.openxmlformats.org/drawingml/2006/chartDrawing">
    <cdr:from>
      <cdr:x>0.81721</cdr:x>
      <cdr:y>0.05919</cdr:y>
    </cdr:from>
    <cdr:to>
      <cdr:x>0.97147</cdr:x>
      <cdr:y>0.14196</cdr:y>
    </cdr:to>
    <cdr:grpSp>
      <cdr:nvGrpSpPr>
        <cdr:cNvPr id="2" name="Group 1">
          <a:extLst xmlns:a="http://schemas.openxmlformats.org/drawingml/2006/main">
            <a:ext uri="{FF2B5EF4-FFF2-40B4-BE49-F238E27FC236}">
              <a16:creationId xmlns:a16="http://schemas.microsoft.com/office/drawing/2014/main" id="{13034BA7-09CD-B2D0-096C-732B53CD5726}"/>
            </a:ext>
          </a:extLst>
        </cdr:cNvPr>
        <cdr:cNvGrpSpPr/>
      </cdr:nvGrpSpPr>
      <cdr:grpSpPr>
        <a:xfrm xmlns:a="http://schemas.openxmlformats.org/drawingml/2006/main">
          <a:off x="5950113" y="172384"/>
          <a:ext cx="1123168" cy="241058"/>
          <a:chOff x="0" y="0"/>
          <a:chExt cx="1117447" cy="296480"/>
        </a:xfrm>
      </cdr:grpSpPr>
      <cdr:sp macro="" textlink="">
        <cdr:nvSpPr>
          <cdr:cNvPr id="3" name="TextBox 2">
            <a:extLst xmlns:a="http://schemas.openxmlformats.org/drawingml/2006/main">
              <a:ext uri="{FF2B5EF4-FFF2-40B4-BE49-F238E27FC236}">
                <a16:creationId xmlns:a16="http://schemas.microsoft.com/office/drawing/2014/main" id="{21A5EABC-2DD9-A2DC-0150-C3F9AA243A4D}"/>
              </a:ext>
            </a:extLst>
          </cdr:cNvPr>
          <cdr:cNvSpPr txBox="1"/>
        </cdr:nvSpPr>
        <cdr:spPr>
          <a:xfrm xmlns:a="http://schemas.openxmlformats.org/drawingml/2006/main">
            <a:off x="0" y="903"/>
            <a:ext cx="1044123" cy="294675"/>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IN" sz="1050" b="1"/>
              <a:t>No of Persons :</a:t>
            </a:r>
          </a:p>
        </cdr:txBody>
      </cdr:sp>
      <cdr:sp macro="" textlink="Indicators!$H$7">
        <cdr:nvSpPr>
          <cdr:cNvPr id="4" name="TextBox 3">
            <a:extLst xmlns:a="http://schemas.openxmlformats.org/drawingml/2006/main">
              <a:ext uri="{FF2B5EF4-FFF2-40B4-BE49-F238E27FC236}">
                <a16:creationId xmlns:a16="http://schemas.microsoft.com/office/drawing/2014/main" id="{EFB5784A-8F77-34FD-008F-C130D3B3B16C}"/>
              </a:ext>
            </a:extLst>
          </cdr:cNvPr>
          <cdr:cNvSpPr txBox="1"/>
        </cdr:nvSpPr>
        <cdr:spPr>
          <a:xfrm xmlns:a="http://schemas.openxmlformats.org/drawingml/2006/main">
            <a:off x="869695" y="0"/>
            <a:ext cx="247752" cy="29648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AA84F6FE-B91B-4EC0-863A-0F74600B481E}" type="TxLink">
              <a:rPr lang="en-US" sz="1050" b="1" i="0" u="none" strike="noStrike">
                <a:solidFill>
                  <a:srgbClr val="00B050"/>
                </a:solidFill>
                <a:latin typeface="Aptos Narrow"/>
              </a:rPr>
              <a:pPr/>
              <a:t>2</a:t>
            </a:fld>
            <a:endParaRPr lang="en-IN" sz="700" b="1">
              <a:solidFill>
                <a:srgbClr val="00B050"/>
              </a:solidFill>
            </a:endParaRPr>
          </a:p>
        </cdr:txBody>
      </cdr:sp>
    </cdr:grp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8B3FD-0D49-401F-94BE-2F9C541055D4}">
  <sheetPr codeName="Sheet2">
    <tabColor rgb="FFC00000"/>
  </sheetPr>
  <dimension ref="A1:CZ100"/>
  <sheetViews>
    <sheetView zoomScaleNormal="100" workbookViewId="0">
      <pane xSplit="3" ySplit="2" topLeftCell="M3" activePane="bottomRight" state="frozen"/>
      <selection pane="bottomRight" activeCell="T15" sqref="T15"/>
      <selection pane="bottomLeft" activeCell="A3" sqref="A3"/>
      <selection pane="topRight" activeCell="D1" sqref="D1"/>
    </sheetView>
  </sheetViews>
  <sheetFormatPr defaultColWidth="8.5703125" defaultRowHeight="14.45"/>
  <cols>
    <col min="1" max="1" width="22.42578125" style="53" bestFit="1" customWidth="1"/>
    <col min="2" max="2" width="3.5703125" style="26" bestFit="1" customWidth="1"/>
    <col min="3" max="3" width="59.42578125" style="54" customWidth="1"/>
    <col min="4" max="4" width="86.5703125" style="54" customWidth="1"/>
    <col min="5" max="5" width="23.5703125" style="26" bestFit="1" customWidth="1"/>
    <col min="6" max="6" width="11.5703125" style="26" customWidth="1"/>
    <col min="7" max="7" width="17.42578125" style="26" bestFit="1" customWidth="1"/>
    <col min="8" max="8" width="15" style="26" bestFit="1" customWidth="1"/>
    <col min="9" max="9" width="23.42578125" style="26" bestFit="1" customWidth="1"/>
    <col min="10" max="10" width="13.42578125" style="26" customWidth="1"/>
    <col min="11" max="11" width="18.42578125" style="26" bestFit="1" customWidth="1"/>
    <col min="12" max="12" width="7.5703125" style="26" customWidth="1"/>
    <col min="13" max="13" width="37.42578125" style="57" bestFit="1" customWidth="1"/>
    <col min="14" max="14" width="7.42578125" style="26" customWidth="1"/>
    <col min="15" max="15" width="8" bestFit="1" customWidth="1"/>
    <col min="16" max="16" width="12.42578125" style="26" customWidth="1"/>
    <col min="17" max="17" width="11.5703125" style="26" customWidth="1"/>
    <col min="18" max="18" width="11.42578125" customWidth="1"/>
    <col min="19" max="19" width="8" customWidth="1"/>
    <col min="20" max="20" width="7.42578125" customWidth="1"/>
    <col min="21" max="21" width="10.5703125" bestFit="1" customWidth="1"/>
    <col min="22" max="22" width="9.42578125" style="59" customWidth="1"/>
    <col min="23" max="23" width="60" style="191" customWidth="1"/>
    <col min="24" max="16384" width="8.5703125" style="26"/>
  </cols>
  <sheetData>
    <row r="1" spans="1:104" ht="43.35" customHeight="1">
      <c r="A1" s="199"/>
      <c r="B1" s="200"/>
      <c r="C1" s="201"/>
      <c r="D1" s="195" t="s">
        <v>0</v>
      </c>
      <c r="E1" s="129"/>
      <c r="F1" s="129"/>
      <c r="G1" s="129"/>
      <c r="H1" s="129"/>
      <c r="I1" s="129"/>
      <c r="J1" s="129"/>
      <c r="K1" s="129"/>
      <c r="L1" s="129"/>
      <c r="M1" s="130"/>
      <c r="N1" s="129"/>
      <c r="O1" s="131"/>
      <c r="P1" s="132"/>
      <c r="Q1" s="132"/>
      <c r="R1" s="133"/>
      <c r="S1" s="134"/>
      <c r="T1" s="131"/>
      <c r="U1" s="131"/>
      <c r="V1" s="134"/>
      <c r="W1" s="193"/>
    </row>
    <row r="2" spans="1:104" ht="59.1" customHeight="1">
      <c r="A2" s="196" t="s">
        <v>1</v>
      </c>
      <c r="B2" s="197" t="s">
        <v>2</v>
      </c>
      <c r="C2" s="198" t="s">
        <v>3</v>
      </c>
      <c r="D2" s="120" t="s">
        <v>4</v>
      </c>
      <c r="E2" s="121" t="s">
        <v>5</v>
      </c>
      <c r="F2" s="122" t="s">
        <v>6</v>
      </c>
      <c r="G2" s="122" t="s">
        <v>7</v>
      </c>
      <c r="H2" s="122" t="s">
        <v>8</v>
      </c>
      <c r="I2" s="122" t="s">
        <v>9</v>
      </c>
      <c r="J2" s="122" t="s">
        <v>10</v>
      </c>
      <c r="K2" s="122" t="s">
        <v>11</v>
      </c>
      <c r="L2" s="122" t="s">
        <v>12</v>
      </c>
      <c r="M2" s="123" t="s">
        <v>13</v>
      </c>
      <c r="N2" s="124" t="s">
        <v>14</v>
      </c>
      <c r="O2" s="123" t="s">
        <v>15</v>
      </c>
      <c r="P2" s="124" t="s">
        <v>16</v>
      </c>
      <c r="Q2" s="124" t="s">
        <v>17</v>
      </c>
      <c r="R2" s="123" t="s">
        <v>18</v>
      </c>
      <c r="S2" s="125" t="s">
        <v>19</v>
      </c>
      <c r="T2" s="123" t="s">
        <v>20</v>
      </c>
      <c r="U2" s="126" t="s">
        <v>21</v>
      </c>
      <c r="V2" s="125" t="s">
        <v>22</v>
      </c>
      <c r="W2" s="194" t="s">
        <v>23</v>
      </c>
    </row>
    <row r="3" spans="1:104" s="55" customFormat="1" ht="43.15">
      <c r="A3" s="138" t="s">
        <v>24</v>
      </c>
      <c r="B3" s="135"/>
      <c r="C3" s="136" t="s">
        <v>25</v>
      </c>
      <c r="D3" s="136" t="s">
        <v>26</v>
      </c>
      <c r="E3" s="135" t="s">
        <v>27</v>
      </c>
      <c r="F3" s="135" t="s">
        <v>28</v>
      </c>
      <c r="G3" s="135" t="s">
        <v>29</v>
      </c>
      <c r="H3" s="135" t="s">
        <v>30</v>
      </c>
      <c r="I3" s="135" t="s">
        <v>31</v>
      </c>
      <c r="J3" s="135" t="s">
        <v>28</v>
      </c>
      <c r="K3" s="135" t="s">
        <v>32</v>
      </c>
      <c r="L3" s="135" t="s">
        <v>33</v>
      </c>
      <c r="M3" s="56" t="str" cm="1">
        <f t="array" aca="1" ref="M3" ca="1">IF($A3="","",_xlfn.TEXTJOIN(",",TRUE,_xlfn.MAP(_xlfn._xlws.FILTER(Team_Members,Team_Members&lt;&gt;""),_xlfn.LAMBDA(_xlpm.x,IFERROR(IF(_xlfn.XMATCH($A3,INDIRECT("'"&amp;_xlpm.x&amp;"'!$B$14:$B$150"))&gt;0,_xlpm.x),"")))))</f>
        <v>Aslam Khan</v>
      </c>
      <c r="N3" s="135">
        <v>3</v>
      </c>
      <c r="O3" s="4" t="str" cm="1">
        <f t="array" aca="1" ref="O3" ca="1">IFERROR(_xlfn.LET(_xlpm.Lst,_xlfn.MAP(Team_Members,_xlfn.LAMBDA(_xlpm.x,IFERROR(_xlfn.XLOOKUP($A3,INDIRECT("'"&amp;_xlpm.x&amp;"'!$B$14:$B$150"),INDIRECT("'"&amp;_xlpm.x&amp;"'!$D$14:$D$150")),""))),_xlpm.F_Lst,_xlfn._xlws.FILTER(_xlpm.Lst,_xlpm.Lst&lt;&gt;""),IF(COUNTA(_xlfn.UNIQUE(_xlpm.F_Lst))=1,INDEX(_xlpm.F_Lst,1),"WIP")),"")</f>
        <v>COMPLETED</v>
      </c>
      <c r="P3" s="137">
        <v>46085</v>
      </c>
      <c r="Q3" s="137">
        <v>46092</v>
      </c>
      <c r="R3" s="58" cm="1">
        <f t="array" aca="1" ref="R3" ca="1">IF($M3="","",_xlfn.LET(_xlpm.min,MIN(_xlfn.MAP(_xlfn.TEXTSPLIT($M3,","),_xlfn.LAMBDA(_xlpm.ref,IFERROR(INDEX(INDIRECT("'"&amp;_xlpm.ref&amp;"'!$AE$5:$OE$5"),MATCH(TRUE,INDEX(INDIRECT("'" &amp; _xlpm.ref &amp; "'!$AE$" &amp; (ROW(INDIRECT("'"&amp;_xlpm.ref&amp;"'!$B$14"))-1 + MATCH($A3, INDIRECT("'" &amp; _xlpm.ref &amp; "'!$B$14:$B$150"), 0)) &amp; ":$OE$" &amp; (ROW(INDIRECT("'"&amp;_xlpm.ref&amp;"'!$B$14"))-1 + MATCH($A3, INDIRECT("'" &amp; _xlpm.ref &amp; "'!$B$14:$B$150"), 0)))&lt;&gt;"",0),0)),"")))),IF(_xlpm.min=0,"",_xlpm.min)))</f>
        <v>46085</v>
      </c>
      <c r="S3" s="4">
        <v>28</v>
      </c>
      <c r="T3" s="4" cm="1">
        <f t="array" aca="1" ref="T3" ca="1">IF($M3="","",SUM(_xlfn.MAP(_xlfn.TEXTSPLIT($M3,","),_xlfn.LAMBDA(_xlpm.ref,_xlfn.XLOOKUP($A3,INDIRECT("'"&amp;_xlpm.ref&amp;"'!$B$14:$B$150"),INDIRECT("'"&amp;_xlpm.ref&amp;"'!$F$14:$F$150"),0)))))</f>
        <v>29</v>
      </c>
      <c r="U3" s="61" cm="1">
        <f t="array" aca="1" ref="U3" ca="1">IF($O3="Completed",MAX(IFERROR(_xlfn.MAP(_xlfn.TEXTSPLIT($M3, ","),_xlfn.LAMBDA(_xlpm.ref,INDEX(INDIRECT("'" &amp; _xlpm.ref &amp; "'!AE5:OE5"),1,LOOKUP(2,1 / (INDIRECT("'" &amp; _xlpm.ref &amp; "'!AE"&amp;(ROW(INDIRECT("'"&amp;_xlpm.ref&amp;"'!$B$14"))-1 + MATCH($A3, INDIRECT("'" &amp; _xlpm.ref &amp; "'!$B$14:$B$150"), 0)) &amp;":OE"&amp;(ROW(INDIRECT("'"&amp;_xlpm.ref&amp;"'!$B$14"))-1 + MATCH($A3, INDIRECT("'" &amp; _xlpm.ref &amp; "'!$B$14:$B$150"), 0)) ) &lt;&gt; ""),COLUMN($AD$14:$OD$14) - COLUMN($AD$14) + 1 )))),"")),"")</f>
        <v>46114</v>
      </c>
      <c r="V3" s="167">
        <f t="shared" ref="V3:V100" ca="1" si="0">IF($M3 &lt;&gt; "", COUNTA(_xlfn.TEXTSPLIT($M3, ",")), "")</f>
        <v>1</v>
      </c>
      <c r="W3" s="192" t="s">
        <v>34</v>
      </c>
      <c r="X3" s="26" t="str" cm="1">
        <f t="array" aca="1" ref="X3" ca="1">IF(X$36="","",_xlfn.MAP(X$36,_xlfn.LAMBDA(_xlpm.x,SUMPRODUCT(IFERROR(INDIRECT("'"&amp;_xlpm.x&amp;"'!$H$14:$AD$150")*(MONTH(DATEVALUE(INDIRECT("'"&amp;_xlpm.x&amp;"'!$G$3:$AC$3")&amp;" 2025"))&lt;=MONTH(DATEVALUE($P$35&amp;" 2025")))*((INDIRECT("'"&amp;_xlpm.x&amp;"'!$D$14:$D$150")="WIP")+(INDIRECT("'"&amp;_xlpm.x&amp;"'!$D$14:$D$150")="Review")),"")))))</f>
        <v/>
      </c>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row>
    <row r="4" spans="1:104" s="55" customFormat="1" ht="28.9">
      <c r="A4" s="138" t="s">
        <v>35</v>
      </c>
      <c r="B4" s="135"/>
      <c r="C4" s="136" t="s">
        <v>36</v>
      </c>
      <c r="D4" s="136" t="s">
        <v>37</v>
      </c>
      <c r="E4" s="135" t="s">
        <v>27</v>
      </c>
      <c r="F4" s="135" t="s">
        <v>28</v>
      </c>
      <c r="G4" s="135" t="s">
        <v>29</v>
      </c>
      <c r="H4" s="135" t="s">
        <v>30</v>
      </c>
      <c r="I4" s="135" t="s">
        <v>31</v>
      </c>
      <c r="J4" s="135" t="s">
        <v>28</v>
      </c>
      <c r="K4" s="135" t="s">
        <v>32</v>
      </c>
      <c r="L4" s="135" t="s">
        <v>33</v>
      </c>
      <c r="M4" s="56" t="str" cm="1">
        <f t="array" aca="1" ref="M4" ca="1">IF($A4="","",_xlfn.TEXTJOIN(",",TRUE,_xlfn.MAP(_xlfn._xlws.FILTER(Team_Members,Team_Members&lt;&gt;""),_xlfn.LAMBDA(_xlpm.x,IFERROR(IF(_xlfn.XMATCH($A4,INDIRECT("'"&amp;_xlpm.x&amp;"'!$B$14:$B$150"))&gt;0,_xlpm.x),"")))))</f>
        <v>Aslam Khan</v>
      </c>
      <c r="N4" s="135">
        <v>2</v>
      </c>
      <c r="O4" s="4" t="str" cm="1">
        <f t="array" aca="1" ref="O4" ca="1">IFERROR(_xlfn.LET(_xlpm.Lst,_xlfn.MAP(Team_Members,_xlfn.LAMBDA(_xlpm.x,IFERROR(_xlfn.XLOOKUP($A4,INDIRECT("'"&amp;_xlpm.x&amp;"'!$B$14:$B$150"),INDIRECT("'"&amp;_xlpm.x&amp;"'!$D$14:$D$150")),""))),_xlpm.F_Lst,_xlfn._xlws.FILTER(_xlpm.Lst,_xlpm.Lst&lt;&gt;""),IF(COUNTA(_xlfn.UNIQUE(_xlpm.F_Lst))=1,INDEX(_xlpm.F_Lst,1),"WIP")),"")</f>
        <v>COMPLETED</v>
      </c>
      <c r="P4" s="137">
        <v>46085</v>
      </c>
      <c r="Q4" s="137">
        <v>46101</v>
      </c>
      <c r="R4" s="58" cm="1">
        <f t="array" aca="1" ref="R4" ca="1">IF($M4="","",_xlfn.LET(_xlpm.min,MIN(_xlfn.MAP(_xlfn.TEXTSPLIT($M4,","),_xlfn.LAMBDA(_xlpm.ref,IFERROR(INDEX(INDIRECT("'"&amp;_xlpm.ref&amp;"'!$AE$5:$OE$5"),MATCH(TRUE,INDEX(INDIRECT("'" &amp; _xlpm.ref &amp; "'!$AE$" &amp; (ROW(INDIRECT("'"&amp;_xlpm.ref&amp;"'!$B$14"))-1 + MATCH($A4, INDIRECT("'" &amp; _xlpm.ref &amp; "'!$B$14:$B$150"), 0)) &amp; ":$OE$" &amp; (ROW(INDIRECT("'"&amp;_xlpm.ref&amp;"'!$B$14"))-1 + MATCH($A4, INDIRECT("'" &amp; _xlpm.ref &amp; "'!$B$14:$B$150"), 0)))&lt;&gt;"",0),0)),"")))),IF(_xlpm.min=0,"",_xlpm.min)))</f>
        <v>46086</v>
      </c>
      <c r="S4" s="4" cm="1">
        <f t="array" aca="1" ref="S4" ca="1">IF($M4="","",SUM(_xlfn.MAP(_xlfn.TEXTSPLIT($M4,","),_xlfn.LAMBDA(_xlpm.ref,_xlfn.XLOOKUP($A4,INDIRECT("'"&amp;_xlpm.ref&amp;"'!$B$14:$B$150"),INDIRECT("'"&amp;_xlpm.ref&amp;"'!$E$14:$E$150"),0)))))</f>
        <v>34</v>
      </c>
      <c r="T4" s="4" cm="1">
        <f t="array" aca="1" ref="T4" ca="1">IF($M4="","",SUM(_xlfn.MAP(_xlfn.TEXTSPLIT($M4,","),_xlfn.LAMBDA(_xlpm.ref,_xlfn.XLOOKUP($A4,INDIRECT("'"&amp;_xlpm.ref&amp;"'!$B$14:$B$150"),INDIRECT("'"&amp;_xlpm.ref&amp;"'!$F$14:$F$150"),0)))))</f>
        <v>35.5</v>
      </c>
      <c r="U4" s="61" cm="1">
        <f t="array" aca="1" ref="U4" ca="1">IF($O4="Completed",MAX(IFERROR(_xlfn.MAP(_xlfn.TEXTSPLIT($M4, ","),_xlfn.LAMBDA(_xlpm.ref,INDEX(INDIRECT("'" &amp; _xlpm.ref &amp; "'!AE5:OE5"),1,LOOKUP(2,1 / (INDIRECT("'" &amp; _xlpm.ref &amp; "'!AE"&amp;(ROW(INDIRECT("'"&amp;_xlpm.ref&amp;"'!$B$14"))-1 + MATCH($A4, INDIRECT("'" &amp; _xlpm.ref &amp; "'!$B$14:$B$150"), 0)) &amp;":OE"&amp;(ROW(INDIRECT("'"&amp;_xlpm.ref&amp;"'!$B$14"))-1 + MATCH($A4, INDIRECT("'" &amp; _xlpm.ref &amp; "'!$B$14:$B$150"), 0)) ) &lt;&gt; ""),COLUMN($AD$14:$OD$14) - COLUMN($AD$14) + 1 )))),"")),"")</f>
        <v>46106</v>
      </c>
      <c r="V4" s="167">
        <f t="shared" ca="1" si="0"/>
        <v>1</v>
      </c>
      <c r="W4" s="191"/>
      <c r="X4" s="26"/>
      <c r="Y4" s="26"/>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row>
    <row r="5" spans="1:104" s="55" customFormat="1" ht="43.15">
      <c r="A5" s="138" t="s">
        <v>38</v>
      </c>
      <c r="B5" s="135"/>
      <c r="C5" s="136" t="s">
        <v>39</v>
      </c>
      <c r="D5" s="136" t="s">
        <v>40</v>
      </c>
      <c r="E5" s="135" t="s">
        <v>27</v>
      </c>
      <c r="F5" s="135" t="s">
        <v>28</v>
      </c>
      <c r="G5" s="135" t="s">
        <v>29</v>
      </c>
      <c r="H5" s="135" t="s">
        <v>30</v>
      </c>
      <c r="I5" s="135" t="s">
        <v>31</v>
      </c>
      <c r="J5" s="135" t="s">
        <v>28</v>
      </c>
      <c r="K5" s="135" t="s">
        <v>32</v>
      </c>
      <c r="L5" s="135" t="s">
        <v>33</v>
      </c>
      <c r="M5" s="56" t="str" cm="1">
        <f t="array" aca="1" ref="M5" ca="1">IF($A5="","",_xlfn.TEXTJOIN(",",TRUE,_xlfn.MAP(_xlfn._xlws.FILTER(Team_Members,Team_Members&lt;&gt;""),_xlfn.LAMBDA(_xlpm.x,IFERROR(IF(_xlfn.XMATCH($A5,INDIRECT("'"&amp;_xlpm.x&amp;"'!$B$14:$B$150"))&gt;0,_xlpm.x),"")))))</f>
        <v>Aslam Khan</v>
      </c>
      <c r="N5" s="135">
        <v>1</v>
      </c>
      <c r="O5" s="4" t="str" cm="1">
        <f t="array" aca="1" ref="O5" ca="1">IFERROR(_xlfn.LET(_xlpm.Lst,_xlfn.MAP(Team_Members,_xlfn.LAMBDA(_xlpm.x,IFERROR(_xlfn.XLOOKUP($A5,INDIRECT("'"&amp;_xlpm.x&amp;"'!$B$14:$B$150"),INDIRECT("'"&amp;_xlpm.x&amp;"'!$D$14:$D$150")),""))),_xlpm.F_Lst,_xlfn._xlws.FILTER(_xlpm.Lst,_xlpm.Lst&lt;&gt;""),IF(COUNTA(_xlfn.UNIQUE(_xlpm.F_Lst))=1,INDEX(_xlpm.F_Lst,1),"WIP")),"")</f>
        <v>HOLD</v>
      </c>
      <c r="P5" s="137">
        <v>46093</v>
      </c>
      <c r="Q5" s="137">
        <v>46104</v>
      </c>
      <c r="R5" s="58" cm="1">
        <f t="array" aca="1" ref="R5" ca="1">IF($M5="","",_xlfn.LET(_xlpm.min,MIN(_xlfn.MAP(_xlfn.TEXTSPLIT($M5,","),_xlfn.LAMBDA(_xlpm.ref,IFERROR(INDEX(INDIRECT("'"&amp;_xlpm.ref&amp;"'!$AE$5:$OE$5"),MATCH(TRUE,INDEX(INDIRECT("'" &amp; _xlpm.ref &amp; "'!$AE$" &amp; (ROW(INDIRECT("'"&amp;_xlpm.ref&amp;"'!$B$14"))-1 + MATCH($A5, INDIRECT("'" &amp; _xlpm.ref &amp; "'!$B$14:$B$150"), 0)) &amp; ":$OE$" &amp; (ROW(INDIRECT("'"&amp;_xlpm.ref&amp;"'!$B$14"))-1 + MATCH($A5, INDIRECT("'" &amp; _xlpm.ref &amp; "'!$B$14:$B$150"), 0)))&lt;&gt;"",0),0)),"")))),IF(_xlpm.min=0,"",_xlpm.min)))</f>
        <v>46093</v>
      </c>
      <c r="S5" s="4" cm="1">
        <f t="array" aca="1" ref="S5" ca="1">IF($M5="","",SUM(_xlfn.MAP(_xlfn.TEXTSPLIT($M5,","),_xlfn.LAMBDA(_xlpm.ref,_xlfn.XLOOKUP($A5,INDIRECT("'"&amp;_xlpm.ref&amp;"'!$B$14:$B$150"),INDIRECT("'"&amp;_xlpm.ref&amp;"'!$E$14:$E$150"),0)))))</f>
        <v>136</v>
      </c>
      <c r="T5" s="4" cm="1">
        <f t="array" aca="1" ref="T5" ca="1">IF($M5="","",SUM(_xlfn.MAP(_xlfn.TEXTSPLIT($M5,","),_xlfn.LAMBDA(_xlpm.ref,_xlfn.XLOOKUP($A5,INDIRECT("'"&amp;_xlpm.ref&amp;"'!$B$14:$B$150"),INDIRECT("'"&amp;_xlpm.ref&amp;"'!$F$14:$F$150"),0)))))</f>
        <v>86</v>
      </c>
      <c r="U5" s="61" t="str" cm="1">
        <f t="array" aca="1" ref="U5" ca="1">IF($O5="Completed",MAX(IFERROR(_xlfn.MAP(_xlfn.TEXTSPLIT($M5, ","),_xlfn.LAMBDA(_xlpm.ref,INDEX(INDIRECT("'" &amp; _xlpm.ref &amp; "'!AE5:OE5"),1,LOOKUP(2,1 / (INDIRECT("'" &amp; _xlpm.ref &amp; "'!AE"&amp;(ROW(INDIRECT("'"&amp;_xlpm.ref&amp;"'!$B$14"))-1 + MATCH($A5, INDIRECT("'" &amp; _xlpm.ref &amp; "'!$B$14:$B$150"), 0)) &amp;":OE"&amp;(ROW(INDIRECT("'"&amp;_xlpm.ref&amp;"'!$B$14"))-1 + MATCH($A5, INDIRECT("'" &amp; _xlpm.ref &amp; "'!$B$14:$B$150"), 0)) ) &lt;&gt; ""),COLUMN($AD$14:$OD$14) - COLUMN($AD$14) + 1 )))),"")),"")</f>
        <v/>
      </c>
      <c r="V5" s="167">
        <f t="shared" ca="1" si="0"/>
        <v>1</v>
      </c>
      <c r="W5" s="192" t="s">
        <v>41</v>
      </c>
      <c r="X5" s="26"/>
      <c r="Y5" s="26"/>
      <c r="Z5" s="26"/>
      <c r="AA5" s="26"/>
      <c r="AB5" s="26"/>
      <c r="AC5" s="26"/>
      <c r="AD5" s="26"/>
      <c r="AE5" s="26"/>
      <c r="AF5" s="26"/>
      <c r="AG5" s="26"/>
      <c r="AH5" s="26"/>
      <c r="AI5" s="26"/>
      <c r="AJ5" s="26"/>
      <c r="AK5" s="26"/>
      <c r="AL5" s="26"/>
      <c r="AM5" s="26"/>
      <c r="AN5" s="26"/>
      <c r="AO5" s="26"/>
      <c r="AP5" s="26"/>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row>
    <row r="6" spans="1:104" s="55" customFormat="1" ht="43.15">
      <c r="A6" s="138" t="s">
        <v>42</v>
      </c>
      <c r="B6" s="135"/>
      <c r="C6" s="136" t="s">
        <v>43</v>
      </c>
      <c r="D6" s="136" t="s">
        <v>44</v>
      </c>
      <c r="E6" s="135" t="s">
        <v>27</v>
      </c>
      <c r="F6" s="135" t="s">
        <v>28</v>
      </c>
      <c r="G6" s="135" t="s">
        <v>45</v>
      </c>
      <c r="H6" s="135" t="s">
        <v>30</v>
      </c>
      <c r="I6" s="135" t="s">
        <v>31</v>
      </c>
      <c r="J6" s="135" t="s">
        <v>28</v>
      </c>
      <c r="K6" s="135" t="s">
        <v>46</v>
      </c>
      <c r="L6" s="135" t="s">
        <v>33</v>
      </c>
      <c r="M6" s="56" t="str" cm="1">
        <f t="array" aca="1" ref="M6" ca="1">IF($A6="","",_xlfn.TEXTJOIN(",",TRUE,_xlfn.MAP(_xlfn._xlws.FILTER(Team_Members,Team_Members&lt;&gt;""),_xlfn.LAMBDA(_xlpm.x,IFERROR(IF(_xlfn.XMATCH($A6,INDIRECT("'"&amp;_xlpm.x&amp;"'!$B$14:$B$150"))&gt;0,_xlpm.x),"")))))</f>
        <v>Mounika Chitrala</v>
      </c>
      <c r="N6" s="135">
        <v>1</v>
      </c>
      <c r="O6" s="4" t="str" cm="1">
        <f t="array" aca="1" ref="O6" ca="1">IFERROR(_xlfn.LET(_xlpm.Lst,_xlfn.MAP(Team_Members,_xlfn.LAMBDA(_xlpm.x,IFERROR(_xlfn.XLOOKUP($A6,INDIRECT("'"&amp;_xlpm.x&amp;"'!$B$14:$B$150"),INDIRECT("'"&amp;_xlpm.x&amp;"'!$D$14:$D$150")),""))),_xlpm.F_Lst,_xlfn._xlws.FILTER(_xlpm.Lst,_xlpm.Lst&lt;&gt;""),IF(COUNTA(_xlfn.UNIQUE(_xlpm.F_Lst))=1,INDEX(_xlpm.F_Lst,1),"WIP")),"")</f>
        <v>WIP</v>
      </c>
      <c r="P6" s="137">
        <v>46101</v>
      </c>
      <c r="Q6" s="137">
        <v>46105</v>
      </c>
      <c r="R6" s="58" cm="1">
        <f t="array" aca="1" ref="R6" ca="1">IF($M6="","",_xlfn.LET(_xlpm.min,MIN(_xlfn.MAP(_xlfn.TEXTSPLIT($M6,","),_xlfn.LAMBDA(_xlpm.ref,IFERROR(INDEX(INDIRECT("'"&amp;_xlpm.ref&amp;"'!$AE$5:$OE$5"),MATCH(TRUE,INDEX(INDIRECT("'" &amp; _xlpm.ref &amp; "'!$AE$" &amp; (ROW(INDIRECT("'"&amp;_xlpm.ref&amp;"'!$B$14"))-1 + MATCH($A6, INDIRECT("'" &amp; _xlpm.ref &amp; "'!$B$14:$B$150"), 0)) &amp; ":$OE$" &amp; (ROW(INDIRECT("'"&amp;_xlpm.ref&amp;"'!$B$14"))-1 + MATCH($A6, INDIRECT("'" &amp; _xlpm.ref &amp; "'!$B$14:$B$150"), 0)))&lt;&gt;"",0),0)),"")))),IF(_xlpm.min=0,"",_xlpm.min)))</f>
        <v>46104</v>
      </c>
      <c r="S6" s="4" cm="1">
        <f t="array" aca="1" ref="S6" ca="1">IF($M6="","",SUM(_xlfn.MAP(_xlfn.TEXTSPLIT($M6,","),_xlfn.LAMBDA(_xlpm.ref,_xlfn.XLOOKUP($A6,INDIRECT("'"&amp;_xlpm.ref&amp;"'!$B$14:$B$150"),INDIRECT("'"&amp;_xlpm.ref&amp;"'!$E$14:$E$150"),0)))))</f>
        <v>25.5</v>
      </c>
      <c r="T6" s="4" cm="1">
        <f t="array" aca="1" ref="T6" ca="1">IF($M6="","",SUM(_xlfn.MAP(_xlfn.TEXTSPLIT($M6,","),_xlfn.LAMBDA(_xlpm.ref,_xlfn.XLOOKUP($A6,INDIRECT("'"&amp;_xlpm.ref&amp;"'!$B$14:$B$150"),INDIRECT("'"&amp;_xlpm.ref&amp;"'!$F$14:$F$150"),0)))))</f>
        <v>0</v>
      </c>
      <c r="U6" s="61" t="str" cm="1">
        <f t="array" aca="1" ref="U6" ca="1">IF($O6="Completed",MAX(IFERROR(_xlfn.MAP(_xlfn.TEXTSPLIT($M6, ","),_xlfn.LAMBDA(_xlpm.ref,INDEX(INDIRECT("'" &amp; _xlpm.ref &amp; "'!AE5:OE5"),1,LOOKUP(2,1 / (INDIRECT("'" &amp; _xlpm.ref &amp; "'!AE"&amp;(ROW(INDIRECT("'"&amp;_xlpm.ref&amp;"'!$B$14"))-1 + MATCH($A6, INDIRECT("'" &amp; _xlpm.ref &amp; "'!$B$14:$B$150"), 0)) &amp;":OE"&amp;(ROW(INDIRECT("'"&amp;_xlpm.ref&amp;"'!$B$14"))-1 + MATCH($A6, INDIRECT("'" &amp; _xlpm.ref &amp; "'!$B$14:$B$150"), 0)) ) &lt;&gt; ""),COLUMN($AD$14:$OD$14) - COLUMN($AD$14) + 1 )))),"")),"")</f>
        <v/>
      </c>
      <c r="V6" s="167">
        <f t="shared" ca="1" si="0"/>
        <v>1</v>
      </c>
      <c r="W6" s="191"/>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row>
    <row r="7" spans="1:104" s="55" customFormat="1" ht="28.9">
      <c r="A7" s="138" t="s">
        <v>47</v>
      </c>
      <c r="B7" s="135"/>
      <c r="C7" s="136" t="s">
        <v>48</v>
      </c>
      <c r="D7" s="136" t="s">
        <v>49</v>
      </c>
      <c r="E7" s="135" t="s">
        <v>27</v>
      </c>
      <c r="F7" s="135" t="s">
        <v>28</v>
      </c>
      <c r="G7" s="135" t="s">
        <v>45</v>
      </c>
      <c r="H7" s="135" t="s">
        <v>30</v>
      </c>
      <c r="I7" s="135" t="s">
        <v>31</v>
      </c>
      <c r="J7" s="135" t="s">
        <v>28</v>
      </c>
      <c r="K7" s="135" t="s">
        <v>46</v>
      </c>
      <c r="L7" s="135" t="s">
        <v>33</v>
      </c>
      <c r="M7" s="56" t="str" cm="1">
        <f t="array" aca="1" ref="M7" ca="1">IF($A7="","",_xlfn.TEXTJOIN(",",TRUE,_xlfn.MAP(_xlfn._xlws.FILTER(Team_Members,Team_Members&lt;&gt;""),_xlfn.LAMBDA(_xlpm.x,IFERROR(IF(_xlfn.XMATCH($A7,INDIRECT("'"&amp;_xlpm.x&amp;"'!$B$14:$B$150"))&gt;0,_xlpm.x),"")))))</f>
        <v>Mounika Chitrala</v>
      </c>
      <c r="N7" s="135">
        <v>1</v>
      </c>
      <c r="O7" s="4" t="str" cm="1">
        <f t="array" aca="1" ref="O7" ca="1">IFERROR(_xlfn.LET(_xlpm.Lst,_xlfn.MAP(Team_Members,_xlfn.LAMBDA(_xlpm.x,IFERROR(_xlfn.XLOOKUP($A7,INDIRECT("'"&amp;_xlpm.x&amp;"'!$B$14:$B$150"),INDIRECT("'"&amp;_xlpm.x&amp;"'!$D$14:$D$150")),""))),_xlpm.F_Lst,_xlfn._xlws.FILTER(_xlpm.Lst,_xlpm.Lst&lt;&gt;""),IF(COUNTA(_xlfn.UNIQUE(_xlpm.F_Lst))=1,INDEX(_xlpm.F_Lst,1),"WIP")),"")</f>
        <v>WIP</v>
      </c>
      <c r="P7" s="137">
        <v>46105</v>
      </c>
      <c r="Q7" s="137"/>
      <c r="R7" s="58" cm="1">
        <f t="array" aca="1" ref="R7" ca="1">IF($M7="","",_xlfn.LET(_xlpm.min,MIN(_xlfn.MAP(_xlfn.TEXTSPLIT($M7,","),_xlfn.LAMBDA(_xlpm.ref,IFERROR(INDEX(INDIRECT("'"&amp;_xlpm.ref&amp;"'!$AE$5:$OE$5"),MATCH(TRUE,INDEX(INDIRECT("'" &amp; _xlpm.ref &amp; "'!$AE$" &amp; (ROW(INDIRECT("'"&amp;_xlpm.ref&amp;"'!$B$14"))-1 + MATCH($A7, INDIRECT("'" &amp; _xlpm.ref &amp; "'!$B$14:$B$150"), 0)) &amp; ":$OE$" &amp; (ROW(INDIRECT("'"&amp;_xlpm.ref&amp;"'!$B$14"))-1 + MATCH($A7, INDIRECT("'" &amp; _xlpm.ref &amp; "'!$B$14:$B$150"), 0)))&lt;&gt;"",0),0)),"")))),IF(_xlpm.min=0,"",_xlpm.min)))</f>
        <v>46106</v>
      </c>
      <c r="S7" s="4" cm="1">
        <f t="array" aca="1" ref="S7" ca="1">IF($M7="","",SUM(_xlfn.MAP(_xlfn.TEXTSPLIT($M7,","),_xlfn.LAMBDA(_xlpm.ref,_xlfn.XLOOKUP($A7,INDIRECT("'"&amp;_xlpm.ref&amp;"'!$B$14:$B$150"),INDIRECT("'"&amp;_xlpm.ref&amp;"'!$E$14:$E$150"),0)))))</f>
        <v>0</v>
      </c>
      <c r="T7" s="4" cm="1">
        <f t="array" aca="1" ref="T7" ca="1">IF($M7="","",SUM(_xlfn.MAP(_xlfn.TEXTSPLIT($M7,","),_xlfn.LAMBDA(_xlpm.ref,_xlfn.XLOOKUP($A7,INDIRECT("'"&amp;_xlpm.ref&amp;"'!$B$14:$B$150"),INDIRECT("'"&amp;_xlpm.ref&amp;"'!$F$14:$F$150"),0)))))</f>
        <v>131.5</v>
      </c>
      <c r="U7" s="61" t="str" cm="1">
        <f t="array" aca="1" ref="U7" ca="1">IF($O7="Completed",MAX(IFERROR(_xlfn.MAP(_xlfn.TEXTSPLIT($M7, ","),_xlfn.LAMBDA(_xlpm.ref,INDEX(INDIRECT("'" &amp; _xlpm.ref &amp; "'!AE5:OE5"),1,LOOKUP(2,1 / (INDIRECT("'" &amp; _xlpm.ref &amp; "'!AE"&amp;(ROW(INDIRECT("'"&amp;_xlpm.ref&amp;"'!$B$14"))-1 + MATCH($A7, INDIRECT("'" &amp; _xlpm.ref &amp; "'!$B$14:$B$150"), 0)) &amp;":OE"&amp;(ROW(INDIRECT("'"&amp;_xlpm.ref&amp;"'!$B$14"))-1 + MATCH($A7, INDIRECT("'" &amp; _xlpm.ref &amp; "'!$B$14:$B$150"), 0)) ) &lt;&gt; ""),COLUMN($AD$14:$OD$14) - COLUMN($AD$14) + 1 )))),"")),"")</f>
        <v/>
      </c>
      <c r="V7" s="167">
        <f t="shared" ca="1" si="0"/>
        <v>1</v>
      </c>
      <c r="W7" s="191"/>
      <c r="X7" s="26"/>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row>
    <row r="8" spans="1:104" s="55" customFormat="1" ht="73.5" customHeight="1">
      <c r="A8" s="138" t="s">
        <v>50</v>
      </c>
      <c r="B8" s="135"/>
      <c r="C8" s="136" t="s">
        <v>51</v>
      </c>
      <c r="D8" s="136" t="s">
        <v>52</v>
      </c>
      <c r="E8" s="135" t="s">
        <v>27</v>
      </c>
      <c r="F8" s="135" t="s">
        <v>28</v>
      </c>
      <c r="G8" s="135" t="s">
        <v>29</v>
      </c>
      <c r="H8" s="135" t="s">
        <v>30</v>
      </c>
      <c r="I8" s="135" t="s">
        <v>31</v>
      </c>
      <c r="J8" s="135" t="s">
        <v>28</v>
      </c>
      <c r="K8" s="135" t="s">
        <v>32</v>
      </c>
      <c r="L8" s="135" t="s">
        <v>33</v>
      </c>
      <c r="M8" s="56" t="str" cm="1">
        <f t="array" aca="1" ref="M8" ca="1">IF($A8="","",_xlfn.TEXTJOIN(",",TRUE,_xlfn.MAP(_xlfn._xlws.FILTER(Team_Members,Team_Members&lt;&gt;""),_xlfn.LAMBDA(_xlpm.x,IFERROR(IF(_xlfn.XMATCH($A8,INDIRECT("'"&amp;_xlpm.x&amp;"'!$B$14:$B$150"))&gt;0,_xlpm.x),"")))))</f>
        <v>Aslam Khan</v>
      </c>
      <c r="N8" s="135">
        <v>1</v>
      </c>
      <c r="O8" s="4" t="str" cm="1">
        <f t="array" aca="1" ref="O8" ca="1">IFERROR(_xlfn.LET(_xlpm.Lst,_xlfn.MAP(Team_Members,_xlfn.LAMBDA(_xlpm.x,IFERROR(_xlfn.XLOOKUP($A8,INDIRECT("'"&amp;_xlpm.x&amp;"'!$B$14:$B$150"),INDIRECT("'"&amp;_xlpm.x&amp;"'!$D$14:$D$150")),""))),_xlpm.F_Lst,_xlfn._xlws.FILTER(_xlpm.Lst,_xlpm.Lst&lt;&gt;""),IF(COUNTA(_xlfn.UNIQUE(_xlpm.F_Lst))=1,INDEX(_xlpm.F_Lst,1),"WIP")),"")</f>
        <v>WIP</v>
      </c>
      <c r="P8" s="137">
        <v>46114</v>
      </c>
      <c r="Q8" s="137">
        <v>46136</v>
      </c>
      <c r="R8" s="58" cm="1">
        <f t="array" aca="1" ref="R8" ca="1">IF($M8="","",_xlfn.LET(_xlpm.min,MIN(_xlfn.MAP(_xlfn.TEXTSPLIT($M8,","),_xlfn.LAMBDA(_xlpm.ref,IFERROR(INDEX(INDIRECT("'"&amp;_xlpm.ref&amp;"'!$AE$5:$OE$5"),MATCH(TRUE,INDEX(INDIRECT("'" &amp; _xlpm.ref &amp; "'!$AE$" &amp; (ROW(INDIRECT("'"&amp;_xlpm.ref&amp;"'!$B$14"))-1 + MATCH($A8, INDIRECT("'" &amp; _xlpm.ref &amp; "'!$B$14:$B$150"), 0)) &amp; ":$OE$" &amp; (ROW(INDIRECT("'"&amp;_xlpm.ref&amp;"'!$B$14"))-1 + MATCH($A8, INDIRECT("'" &amp; _xlpm.ref &amp; "'!$B$14:$B$150"), 0)))&lt;&gt;"",0),0)),"")))),IF(_xlpm.min=0,"",_xlpm.min)))</f>
        <v>46114</v>
      </c>
      <c r="S8" s="4">
        <v>152</v>
      </c>
      <c r="T8" s="4" cm="1">
        <f t="array" aca="1" ref="T8" ca="1">IF($M8="","",SUM(_xlfn.MAP(_xlfn.TEXTSPLIT($M8,","),_xlfn.LAMBDA(_xlpm.ref,_xlfn.XLOOKUP($A8,INDIRECT("'"&amp;_xlpm.ref&amp;"'!$B$14:$B$150"),INDIRECT("'"&amp;_xlpm.ref&amp;"'!$F$14:$F$150"),0)))))</f>
        <v>94</v>
      </c>
      <c r="U8" s="61" t="str" cm="1">
        <f t="array" aca="1" ref="U8" ca="1">IF($O8="Completed",MAX(IFERROR(_xlfn.MAP(_xlfn.TEXTSPLIT($M8, ","),_xlfn.LAMBDA(_xlpm.ref,INDEX(INDIRECT("'" &amp; _xlpm.ref &amp; "'!AE5:OE5"),1,LOOKUP(2,1 / (INDIRECT("'" &amp; _xlpm.ref &amp; "'!AE"&amp;(ROW(INDIRECT("'"&amp;_xlpm.ref&amp;"'!$B$14"))-1 + MATCH($A8, INDIRECT("'" &amp; _xlpm.ref &amp; "'!$B$14:$B$150"), 0)) &amp;":OE"&amp;(ROW(INDIRECT("'"&amp;_xlpm.ref&amp;"'!$B$14"))-1 + MATCH($A8, INDIRECT("'" &amp; _xlpm.ref &amp; "'!$B$14:$B$150"), 0)) ) &lt;&gt; ""),COLUMN($AD$14:$OD$14) - COLUMN($AD$14) + 1 )))),"")),"")</f>
        <v/>
      </c>
      <c r="V8" s="167">
        <f t="shared" ca="1" si="0"/>
        <v>1</v>
      </c>
      <c r="W8" s="191"/>
      <c r="X8" s="26"/>
      <c r="Y8" s="26"/>
      <c r="Z8" s="26"/>
      <c r="AA8" s="26"/>
      <c r="AB8" s="26"/>
      <c r="AC8" s="26"/>
      <c r="AD8" s="26"/>
      <c r="AE8" s="26"/>
      <c r="AF8" s="26"/>
      <c r="AG8" s="26"/>
      <c r="AH8" s="26"/>
      <c r="AI8" s="26"/>
      <c r="AJ8" s="26"/>
      <c r="AK8" s="26"/>
      <c r="AL8" s="26"/>
      <c r="AM8" s="26"/>
      <c r="AN8" s="26"/>
      <c r="AO8" s="26"/>
      <c r="AP8" s="26"/>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row>
    <row r="9" spans="1:104" s="55" customFormat="1" ht="43.15">
      <c r="A9" s="138" t="s">
        <v>53</v>
      </c>
      <c r="B9" s="135"/>
      <c r="C9" s="136" t="s">
        <v>43</v>
      </c>
      <c r="D9" s="136" t="s">
        <v>44</v>
      </c>
      <c r="E9" s="135" t="s">
        <v>27</v>
      </c>
      <c r="F9" s="135" t="s">
        <v>28</v>
      </c>
      <c r="G9" s="135" t="s">
        <v>45</v>
      </c>
      <c r="H9" s="135" t="s">
        <v>30</v>
      </c>
      <c r="I9" s="135" t="s">
        <v>31</v>
      </c>
      <c r="J9" s="135" t="s">
        <v>28</v>
      </c>
      <c r="K9" s="135" t="s">
        <v>54</v>
      </c>
      <c r="L9" s="135" t="s">
        <v>33</v>
      </c>
      <c r="M9" s="56" t="str" cm="1">
        <f t="array" aca="1" ref="M9" ca="1">IF($A9="","",_xlfn.TEXTJOIN(",",TRUE,_xlfn.MAP(_xlfn._xlws.FILTER(Team_Members,Team_Members&lt;&gt;""),_xlfn.LAMBDA(_xlpm.x,IFERROR(IF(_xlfn.XMATCH($A9,INDIRECT("'"&amp;_xlpm.x&amp;"'!$B$14:$B$150"))&gt;0,_xlpm.x),"")))))</f>
        <v>Jyothish Chandra</v>
      </c>
      <c r="N9" s="135">
        <v>1</v>
      </c>
      <c r="O9" s="4" t="str" cm="1">
        <f t="array" aca="1" ref="O9" ca="1">IFERROR(_xlfn.LET(_xlpm.Lst,_xlfn.MAP(Team_Members,_xlfn.LAMBDA(_xlpm.x,IFERROR(_xlfn.XLOOKUP($A9,INDIRECT("'"&amp;_xlpm.x&amp;"'!$B$14:$B$150"),INDIRECT("'"&amp;_xlpm.x&amp;"'!$D$14:$D$150")),""))),_xlpm.F_Lst,_xlfn._xlws.FILTER(_xlpm.Lst,_xlpm.Lst&lt;&gt;""),IF(COUNTA(_xlfn.UNIQUE(_xlpm.F_Lst))=1,INDEX(_xlpm.F_Lst,1),"WIP")),"")</f>
        <v>WIP</v>
      </c>
      <c r="P9" s="137">
        <v>46119</v>
      </c>
      <c r="Q9" s="137"/>
      <c r="R9" s="58" cm="1">
        <f t="array" aca="1" ref="R9" ca="1">IF($M9="","",_xlfn.LET(_xlpm.min,MIN(_xlfn.MAP(_xlfn.TEXTSPLIT($M9,","),_xlfn.LAMBDA(_xlpm.ref,IFERROR(INDEX(INDIRECT("'"&amp;_xlpm.ref&amp;"'!$AE$5:$OE$5"),MATCH(TRUE,INDEX(INDIRECT("'" &amp; _xlpm.ref &amp; "'!$AE$" &amp; (ROW(INDIRECT("'"&amp;_xlpm.ref&amp;"'!$B$14"))-1 + MATCH($A9, INDIRECT("'" &amp; _xlpm.ref &amp; "'!$B$14:$B$150"), 0)) &amp; ":$OE$" &amp; (ROW(INDIRECT("'"&amp;_xlpm.ref&amp;"'!$B$14"))-1 + MATCH($A9, INDIRECT("'" &amp; _xlpm.ref &amp; "'!$B$14:$B$150"), 0)))&lt;&gt;"",0),0)),"")))),IF(_xlpm.min=0,"",_xlpm.min)))</f>
        <v>46119</v>
      </c>
      <c r="S9" s="4" cm="1">
        <f t="array" aca="1" ref="S9" ca="1">IF($M9="","",SUM(_xlfn.MAP(_xlfn.TEXTSPLIT($M9,","),_xlfn.LAMBDA(_xlpm.ref,_xlfn.XLOOKUP($A9,INDIRECT("'"&amp;_xlpm.ref&amp;"'!$B$14:$B$150"),INDIRECT("'"&amp;_xlpm.ref&amp;"'!$E$14:$E$150"),0)))))</f>
        <v>30</v>
      </c>
      <c r="T9" s="4" cm="1">
        <f t="array" aca="1" ref="T9" ca="1">IF($M9="","",SUM(_xlfn.MAP(_xlfn.TEXTSPLIT($M9,","),_xlfn.LAMBDA(_xlpm.ref,_xlfn.XLOOKUP($A9,INDIRECT("'"&amp;_xlpm.ref&amp;"'!$B$14:$B$150"),INDIRECT("'"&amp;_xlpm.ref&amp;"'!$F$14:$F$150"),0)))))</f>
        <v>21</v>
      </c>
      <c r="U9" s="61" t="str" cm="1">
        <f t="array" aca="1" ref="U9" ca="1">IF($O9="Completed",MAX(IFERROR(_xlfn.MAP(_xlfn.TEXTSPLIT($M9, ","),_xlfn.LAMBDA(_xlpm.ref,INDEX(INDIRECT("'" &amp; _xlpm.ref &amp; "'!AE5:OE5"),1,LOOKUP(2,1 / (INDIRECT("'" &amp; _xlpm.ref &amp; "'!AE"&amp;(ROW(INDIRECT("'"&amp;_xlpm.ref&amp;"'!$B$14"))-1 + MATCH($A9, INDIRECT("'" &amp; _xlpm.ref &amp; "'!$B$14:$B$150"), 0)) &amp;":OE"&amp;(ROW(INDIRECT("'"&amp;_xlpm.ref&amp;"'!$B$14"))-1 + MATCH($A9, INDIRECT("'" &amp; _xlpm.ref &amp; "'!$B$14:$B$150"), 0)) ) &lt;&gt; ""),COLUMN($AD$14:$OD$14) - COLUMN($AD$14) + 1 )))),"")),"")</f>
        <v/>
      </c>
      <c r="V9" s="167">
        <f t="shared" ca="1" si="0"/>
        <v>1</v>
      </c>
      <c r="W9" s="191"/>
      <c r="X9" s="26"/>
      <c r="Y9" s="26"/>
      <c r="Z9" s="26"/>
      <c r="AA9" s="26"/>
      <c r="AB9" s="26"/>
      <c r="AC9" s="26"/>
      <c r="AD9" s="26"/>
      <c r="AE9" s="26"/>
      <c r="AF9" s="26"/>
      <c r="AG9" s="26"/>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row>
    <row r="10" spans="1:104" s="55" customFormat="1" ht="28.9">
      <c r="A10" s="138" t="s">
        <v>55</v>
      </c>
      <c r="B10" s="135"/>
      <c r="C10" s="136" t="s">
        <v>48</v>
      </c>
      <c r="D10" s="136" t="s">
        <v>49</v>
      </c>
      <c r="E10" s="135" t="s">
        <v>27</v>
      </c>
      <c r="F10" s="135" t="s">
        <v>28</v>
      </c>
      <c r="G10" s="135" t="s">
        <v>45</v>
      </c>
      <c r="H10" s="135" t="s">
        <v>30</v>
      </c>
      <c r="I10" s="135" t="s">
        <v>31</v>
      </c>
      <c r="J10" s="135" t="s">
        <v>28</v>
      </c>
      <c r="K10" s="135" t="s">
        <v>54</v>
      </c>
      <c r="L10" s="135" t="s">
        <v>33</v>
      </c>
      <c r="M10" s="56" t="str" cm="1">
        <f t="array" aca="1" ref="M10" ca="1">IF($A10="","",_xlfn.TEXTJOIN(",",TRUE,_xlfn.MAP(_xlfn._xlws.FILTER(Team_Members,Team_Members&lt;&gt;""),_xlfn.LAMBDA(_xlpm.x,IFERROR(IF(_xlfn.XMATCH($A10,INDIRECT("'"&amp;_xlpm.x&amp;"'!$B$14:$B$150"))&gt;0,_xlpm.x),"")))))</f>
        <v>Jyothish Chandra</v>
      </c>
      <c r="N10" s="135">
        <v>1</v>
      </c>
      <c r="O10" s="4" t="str" cm="1">
        <f t="array" aca="1" ref="O10" ca="1">IFERROR(_xlfn.LET(_xlpm.Lst,_xlfn.MAP(Team_Members,_xlfn.LAMBDA(_xlpm.x,IFERROR(_xlfn.XLOOKUP($A10,INDIRECT("'"&amp;_xlpm.x&amp;"'!$B$14:$B$150"),INDIRECT("'"&amp;_xlpm.x&amp;"'!$D$14:$D$150")),""))),_xlpm.F_Lst,_xlfn._xlws.FILTER(_xlpm.Lst,_xlpm.Lst&lt;&gt;""),IF(COUNTA(_xlfn.UNIQUE(_xlpm.F_Lst))=1,INDEX(_xlpm.F_Lst,1),"WIP")),"")</f>
        <v>WIP</v>
      </c>
      <c r="P10" s="137"/>
      <c r="Q10" s="137"/>
      <c r="R10" s="58" cm="1">
        <f t="array" aca="1" ref="R10" ca="1">IF($M10="","",_xlfn.LET(_xlpm.min,MIN(_xlfn.MAP(_xlfn.TEXTSPLIT($M10,","),_xlfn.LAMBDA(_xlpm.ref,IFERROR(INDEX(INDIRECT("'"&amp;_xlpm.ref&amp;"'!$AE$5:$OE$5"),MATCH(TRUE,INDEX(INDIRECT("'" &amp; _xlpm.ref &amp; "'!$AE$" &amp; (ROW(INDIRECT("'"&amp;_xlpm.ref&amp;"'!$B$14"))-1 + MATCH($A10, INDIRECT("'" &amp; _xlpm.ref &amp; "'!$B$14:$B$150"), 0)) &amp; ":$OE$" &amp; (ROW(INDIRECT("'"&amp;_xlpm.ref&amp;"'!$B$14"))-1 + MATCH($A10, INDIRECT("'" &amp; _xlpm.ref &amp; "'!$B$14:$B$150"), 0)))&lt;&gt;"",0),0)),"")))),IF(_xlpm.min=0,"",_xlpm.min)))</f>
        <v>46120</v>
      </c>
      <c r="S10" s="4" cm="1">
        <f t="array" aca="1" ref="S10" ca="1">IF($M10="","",SUM(_xlfn.MAP(_xlfn.TEXTSPLIT($M10,","),_xlfn.LAMBDA(_xlpm.ref,_xlfn.XLOOKUP($A10,INDIRECT("'"&amp;_xlpm.ref&amp;"'!$B$14:$B$150"),INDIRECT("'"&amp;_xlpm.ref&amp;"'!$E$14:$E$150"),0)))))</f>
        <v>0</v>
      </c>
      <c r="T10" s="4" cm="1">
        <f t="array" aca="1" ref="T10" ca="1">IF($M10="","",SUM(_xlfn.MAP(_xlfn.TEXTSPLIT($M10,","),_xlfn.LAMBDA(_xlpm.ref,_xlfn.XLOOKUP($A10,INDIRECT("'"&amp;_xlpm.ref&amp;"'!$B$14:$B$150"),INDIRECT("'"&amp;_xlpm.ref&amp;"'!$F$14:$F$150"),0)))))</f>
        <v>36</v>
      </c>
      <c r="U10" s="61" t="str" cm="1">
        <f t="array" aca="1" ref="U10" ca="1">IF($O10="Completed",MAX(IFERROR(_xlfn.MAP(_xlfn.TEXTSPLIT($M10, ","),_xlfn.LAMBDA(_xlpm.ref,INDEX(INDIRECT("'" &amp; _xlpm.ref &amp; "'!AE5:OE5"),1,LOOKUP(2,1 / (INDIRECT("'" &amp; _xlpm.ref &amp; "'!AE"&amp;(ROW(INDIRECT("'"&amp;_xlpm.ref&amp;"'!$B$14"))-1 + MATCH($A10, INDIRECT("'" &amp; _xlpm.ref &amp; "'!$B$14:$B$150"), 0)) &amp;":OE"&amp;(ROW(INDIRECT("'"&amp;_xlpm.ref&amp;"'!$B$14"))-1 + MATCH($A10, INDIRECT("'" &amp; _xlpm.ref &amp; "'!$B$14:$B$150"), 0)) ) &lt;&gt; ""),COLUMN($AD$14:$OD$14) - COLUMN($AD$14) + 1 )))),"")),"")</f>
        <v/>
      </c>
      <c r="V10" s="167">
        <f t="shared" ca="1" si="0"/>
        <v>1</v>
      </c>
      <c r="W10" s="191"/>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row>
    <row r="11" spans="1:104" s="55" customFormat="1">
      <c r="A11" s="138"/>
      <c r="B11" s="135"/>
      <c r="C11" s="136"/>
      <c r="D11" s="136"/>
      <c r="E11" s="135"/>
      <c r="F11" s="135"/>
      <c r="G11" s="135"/>
      <c r="H11" s="135"/>
      <c r="I11" s="135"/>
      <c r="J11" s="135"/>
      <c r="K11" s="135"/>
      <c r="L11" s="135"/>
      <c r="M11" s="56" t="str" cm="1">
        <f t="array" aca="1" ref="M11" ca="1">IF($A11="","",_xlfn.TEXTJOIN(",",TRUE,_xlfn.MAP(_xlfn._xlws.FILTER(Team_Members,Team_Members&lt;&gt;""),_xlfn.LAMBDA(_xlpm.x,IFERROR(IF(_xlfn.XMATCH($A11,INDIRECT("'"&amp;_xlpm.x&amp;"'!$B$14:$B$150"))&gt;0,_xlpm.x),"")))))</f>
        <v/>
      </c>
      <c r="N11" s="135"/>
      <c r="O11" s="4" t="str" cm="1">
        <f t="array" aca="1" ref="O11" ca="1">IFERROR(_xlfn.LET(_xlpm.Lst,_xlfn.MAP(Team_Members,_xlfn.LAMBDA(_xlpm.x,IFERROR(_xlfn.XLOOKUP($A11,INDIRECT("'"&amp;_xlpm.x&amp;"'!$B$14:$B$150"),INDIRECT("'"&amp;_xlpm.x&amp;"'!$D$14:$D$150")),""))),_xlpm.F_Lst,_xlfn._xlws.FILTER(_xlpm.Lst,_xlpm.Lst&lt;&gt;""),IF(COUNTA(_xlfn.UNIQUE(_xlpm.F_Lst))=1,INDEX(_xlpm.F_Lst,1),"WIP")),"")</f>
        <v/>
      </c>
      <c r="P11" s="137"/>
      <c r="Q11" s="137"/>
      <c r="R11" s="58" t="str" cm="1">
        <f t="array" aca="1" ref="R11" ca="1">IF($M11="","",_xlfn.LET(_xlpm.min,MIN(_xlfn.MAP(_xlfn.TEXTSPLIT($M11,","),_xlfn.LAMBDA(_xlpm.ref,IFERROR(INDEX(INDIRECT("'"&amp;_xlpm.ref&amp;"'!$AE$5:$OE$5"),MATCH(TRUE,INDEX(INDIRECT("'" &amp; _xlpm.ref &amp; "'!$AE$" &amp; (ROW(INDIRECT("'"&amp;_xlpm.ref&amp;"'!$B$14"))-1 + MATCH($A11, INDIRECT("'" &amp; _xlpm.ref &amp; "'!$B$14:$B$150"), 0)) &amp; ":$OE$" &amp; (ROW(INDIRECT("'"&amp;_xlpm.ref&amp;"'!$B$14"))-1 + MATCH($A11, INDIRECT("'" &amp; _xlpm.ref &amp; "'!$B$14:$B$150"), 0)))&lt;&gt;"",0),0)),"")))),IF(_xlpm.min=0,"",_xlpm.min)))</f>
        <v/>
      </c>
      <c r="S11" s="4" t="str" cm="1">
        <f t="array" aca="1" ref="S11" ca="1">IF($M11="","",SUM(_xlfn.MAP(_xlfn.TEXTSPLIT($M11,","),_xlfn.LAMBDA(_xlpm.ref,_xlfn.XLOOKUP($A11,INDIRECT("'"&amp;_xlpm.ref&amp;"'!$B$14:$B$150"),INDIRECT("'"&amp;_xlpm.ref&amp;"'!$E$14:$E$150"),0)))))</f>
        <v/>
      </c>
      <c r="T11" s="4" t="str" cm="1">
        <f t="array" aca="1" ref="T11" ca="1">IF($M11="","",SUM(_xlfn.MAP(_xlfn.TEXTSPLIT($M11,","),_xlfn.LAMBDA(_xlpm.ref,_xlfn.XLOOKUP($A11,INDIRECT("'"&amp;_xlpm.ref&amp;"'!$B$14:$B$150"),INDIRECT("'"&amp;_xlpm.ref&amp;"'!$F$14:$F$150"),0)))))</f>
        <v/>
      </c>
      <c r="U11" s="61" t="str" cm="1">
        <f t="array" aca="1" ref="U11" ca="1">IF($O11="Completed",MAX(IFERROR(_xlfn.MAP(_xlfn.TEXTSPLIT($M11, ","),_xlfn.LAMBDA(_xlpm.ref,INDEX(INDIRECT("'" &amp; _xlpm.ref &amp; "'!AE5:OE5"),1,LOOKUP(2,1 / (INDIRECT("'" &amp; _xlpm.ref &amp; "'!AE"&amp;(ROW(INDIRECT("'"&amp;_xlpm.ref&amp;"'!$B$14"))-1 + MATCH($A11, INDIRECT("'" &amp; _xlpm.ref &amp; "'!$B$14:$B$150"), 0)) &amp;":OE"&amp;(ROW(INDIRECT("'"&amp;_xlpm.ref&amp;"'!$B$14"))-1 + MATCH($A11, INDIRECT("'" &amp; _xlpm.ref &amp; "'!$B$14:$B$150"), 0)) ) &lt;&gt; ""),COLUMN($AD$14:$OD$14) - COLUMN($AD$14) + 1 )))),"")),"")</f>
        <v/>
      </c>
      <c r="V11" s="167" t="str">
        <f t="shared" ca="1" si="0"/>
        <v/>
      </c>
      <c r="W11" s="191"/>
      <c r="X11" s="26"/>
      <c r="Y11" s="26"/>
      <c r="Z11" s="26"/>
      <c r="AA11" s="26"/>
      <c r="AB11" s="26"/>
      <c r="AC11" s="26"/>
      <c r="AD11" s="26"/>
      <c r="AE11" s="26"/>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row>
    <row r="12" spans="1:104" s="55" customFormat="1">
      <c r="A12" s="138"/>
      <c r="B12" s="135"/>
      <c r="C12" s="136"/>
      <c r="D12" s="136"/>
      <c r="E12" s="135"/>
      <c r="F12" s="135"/>
      <c r="G12" s="135"/>
      <c r="H12" s="135"/>
      <c r="I12" s="135"/>
      <c r="J12" s="135"/>
      <c r="K12" s="135"/>
      <c r="L12" s="135"/>
      <c r="M12" s="56" t="str" cm="1">
        <f t="array" aca="1" ref="M12" ca="1">IF($A12="","",_xlfn.TEXTJOIN(",",TRUE,_xlfn.MAP(_xlfn._xlws.FILTER(Team_Members,Team_Members&lt;&gt;""),_xlfn.LAMBDA(_xlpm.x,IFERROR(IF(_xlfn.XMATCH($A12,INDIRECT("'"&amp;_xlpm.x&amp;"'!$B$14:$B$150"))&gt;0,_xlpm.x),"")))))</f>
        <v/>
      </c>
      <c r="N12" s="135"/>
      <c r="O12" s="4" t="str" cm="1">
        <f t="array" aca="1" ref="O12" ca="1">IFERROR(_xlfn.LET(_xlpm.Lst,_xlfn.MAP(Team_Members,_xlfn.LAMBDA(_xlpm.x,IFERROR(_xlfn.XLOOKUP($A12,INDIRECT("'"&amp;_xlpm.x&amp;"'!$B$14:$B$150"),INDIRECT("'"&amp;_xlpm.x&amp;"'!$D$14:$D$150")),""))),_xlpm.F_Lst,_xlfn._xlws.FILTER(_xlpm.Lst,_xlpm.Lst&lt;&gt;""),IF(COUNTA(_xlfn.UNIQUE(_xlpm.F_Lst))=1,INDEX(_xlpm.F_Lst,1),"WIP")),"")</f>
        <v/>
      </c>
      <c r="P12" s="137"/>
      <c r="Q12" s="137"/>
      <c r="R12" s="58" t="str" cm="1">
        <f t="array" aca="1" ref="R12" ca="1">IF($M12="","",_xlfn.LET(_xlpm.min,MIN(_xlfn.MAP(_xlfn.TEXTSPLIT($M12,","),_xlfn.LAMBDA(_xlpm.ref,IFERROR(INDEX(INDIRECT("'"&amp;_xlpm.ref&amp;"'!$AE$5:$OE$5"),MATCH(TRUE,INDEX(INDIRECT("'" &amp; _xlpm.ref &amp; "'!$AE$" &amp; (ROW(INDIRECT("'"&amp;_xlpm.ref&amp;"'!$B$14"))-1 + MATCH($A12, INDIRECT("'" &amp; _xlpm.ref &amp; "'!$B$14:$B$150"), 0)) &amp; ":$OE$" &amp; (ROW(INDIRECT("'"&amp;_xlpm.ref&amp;"'!$B$14"))-1 + MATCH($A12, INDIRECT("'" &amp; _xlpm.ref &amp; "'!$B$14:$B$150"), 0)))&lt;&gt;"",0),0)),"")))),IF(_xlpm.min=0,"",_xlpm.min)))</f>
        <v/>
      </c>
      <c r="S12" s="4" t="str" cm="1">
        <f t="array" aca="1" ref="S12" ca="1">IF($M12="","",SUM(_xlfn.MAP(_xlfn.TEXTSPLIT($M12,","),_xlfn.LAMBDA(_xlpm.ref,_xlfn.XLOOKUP($A12,INDIRECT("'"&amp;_xlpm.ref&amp;"'!$B$14:$B$150"),INDIRECT("'"&amp;_xlpm.ref&amp;"'!$E$14:$E$150"),0)))))</f>
        <v/>
      </c>
      <c r="T12" s="4" t="str" cm="1">
        <f t="array" aca="1" ref="T12" ca="1">IF($M12="","",SUM(_xlfn.MAP(_xlfn.TEXTSPLIT($M12,","),_xlfn.LAMBDA(_xlpm.ref,_xlfn.XLOOKUP($A12,INDIRECT("'"&amp;_xlpm.ref&amp;"'!$B$14:$B$150"),INDIRECT("'"&amp;_xlpm.ref&amp;"'!$F$14:$F$150"),0)))))</f>
        <v/>
      </c>
      <c r="U12" s="61" t="str" cm="1">
        <f t="array" aca="1" ref="U12" ca="1">IF($O12="Completed",MAX(IFERROR(_xlfn.MAP(_xlfn.TEXTSPLIT($M12, ","),_xlfn.LAMBDA(_xlpm.ref,INDEX(INDIRECT("'" &amp; _xlpm.ref &amp; "'!AE5:OE5"),1,LOOKUP(2,1 / (INDIRECT("'" &amp; _xlpm.ref &amp; "'!AE"&amp;(ROW(INDIRECT("'"&amp;_xlpm.ref&amp;"'!$B$14"))-1 + MATCH($A12, INDIRECT("'" &amp; _xlpm.ref &amp; "'!$B$14:$B$150"), 0)) &amp;":OE"&amp;(ROW(INDIRECT("'"&amp;_xlpm.ref&amp;"'!$B$14"))-1 + MATCH($A12, INDIRECT("'" &amp; _xlpm.ref &amp; "'!$B$14:$B$150"), 0)) ) &lt;&gt; ""),COLUMN($AD$14:$OD$14) - COLUMN($AD$14) + 1 )))),"")),"")</f>
        <v/>
      </c>
      <c r="V12" s="167" t="str">
        <f t="shared" ca="1" si="0"/>
        <v/>
      </c>
      <c r="W12" s="191"/>
      <c r="X12" s="26"/>
      <c r="Y12" s="26"/>
      <c r="Z12" s="26"/>
      <c r="AA12" s="26"/>
      <c r="AB12" s="26"/>
      <c r="AC12" s="26"/>
      <c r="AD12" s="26"/>
      <c r="AE12" s="26"/>
      <c r="AF12" s="26"/>
      <c r="AG12" s="26"/>
      <c r="AH12" s="26"/>
      <c r="AI12" s="2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row>
    <row r="13" spans="1:104" s="55" customFormat="1">
      <c r="A13" s="138"/>
      <c r="B13" s="135"/>
      <c r="C13" s="136"/>
      <c r="D13" s="136"/>
      <c r="E13" s="135"/>
      <c r="F13" s="135"/>
      <c r="G13" s="135"/>
      <c r="H13" s="135"/>
      <c r="I13" s="135"/>
      <c r="J13" s="135"/>
      <c r="K13" s="135"/>
      <c r="L13" s="135"/>
      <c r="M13" s="56" t="str" cm="1">
        <f t="array" aca="1" ref="M13" ca="1">IF($A13="","",_xlfn.TEXTJOIN(",",TRUE,_xlfn.MAP(_xlfn._xlws.FILTER(Team_Members,Team_Members&lt;&gt;""),_xlfn.LAMBDA(_xlpm.x,IFERROR(IF(_xlfn.XMATCH($A13,INDIRECT("'"&amp;_xlpm.x&amp;"'!$B$14:$B$150"))&gt;0,_xlpm.x),"")))))</f>
        <v/>
      </c>
      <c r="N13" s="135"/>
      <c r="O13" s="4" t="str" cm="1">
        <f t="array" aca="1" ref="O13" ca="1">IFERROR(_xlfn.LET(_xlpm.Lst,_xlfn.MAP(Team_Members,_xlfn.LAMBDA(_xlpm.x,IFERROR(_xlfn.XLOOKUP($A13,INDIRECT("'"&amp;_xlpm.x&amp;"'!$B$14:$B$150"),INDIRECT("'"&amp;_xlpm.x&amp;"'!$D$14:$D$150")),""))),_xlpm.F_Lst,_xlfn._xlws.FILTER(_xlpm.Lst,_xlpm.Lst&lt;&gt;""),IF(COUNTA(_xlfn.UNIQUE(_xlpm.F_Lst))=1,INDEX(_xlpm.F_Lst,1),"WIP")),"")</f>
        <v/>
      </c>
      <c r="P13" s="137"/>
      <c r="Q13" s="137"/>
      <c r="R13" s="58" t="str" cm="1">
        <f t="array" aca="1" ref="R13" ca="1">IF($M13="","",_xlfn.LET(_xlpm.min,MIN(_xlfn.MAP(_xlfn.TEXTSPLIT($M13,","),_xlfn.LAMBDA(_xlpm.ref,IFERROR(INDEX(INDIRECT("'"&amp;_xlpm.ref&amp;"'!$AE$5:$OE$5"),MATCH(TRUE,INDEX(INDIRECT("'" &amp; _xlpm.ref &amp; "'!$AE$" &amp; (ROW(INDIRECT("'"&amp;_xlpm.ref&amp;"'!$B$14"))-1 + MATCH($A13, INDIRECT("'" &amp; _xlpm.ref &amp; "'!$B$14:$B$150"), 0)) &amp; ":$OE$" &amp; (ROW(INDIRECT("'"&amp;_xlpm.ref&amp;"'!$B$14"))-1 + MATCH($A13, INDIRECT("'" &amp; _xlpm.ref &amp; "'!$B$14:$B$150"), 0)))&lt;&gt;"",0),0)),"")))),IF(_xlpm.min=0,"",_xlpm.min)))</f>
        <v/>
      </c>
      <c r="S13" s="4" t="str" cm="1">
        <f t="array" aca="1" ref="S13" ca="1">IF($M13="","",SUM(_xlfn.MAP(_xlfn.TEXTSPLIT($M13,","),_xlfn.LAMBDA(_xlpm.ref,_xlfn.XLOOKUP($A13,INDIRECT("'"&amp;_xlpm.ref&amp;"'!$B$14:$B$150"),INDIRECT("'"&amp;_xlpm.ref&amp;"'!$E$14:$E$150"),0)))))</f>
        <v/>
      </c>
      <c r="T13" s="4" t="str" cm="1">
        <f t="array" aca="1" ref="T13" ca="1">IF($M13="","",SUM(_xlfn.MAP(_xlfn.TEXTSPLIT($M13,","),_xlfn.LAMBDA(_xlpm.ref,_xlfn.XLOOKUP($A13,INDIRECT("'"&amp;_xlpm.ref&amp;"'!$B$14:$B$150"),INDIRECT("'"&amp;_xlpm.ref&amp;"'!$F$14:$F$150"),0)))))</f>
        <v/>
      </c>
      <c r="U13" s="61" t="str" cm="1">
        <f t="array" aca="1" ref="U13" ca="1">IF($O13="Completed",MAX(IFERROR(_xlfn.MAP(_xlfn.TEXTSPLIT($M13, ","),_xlfn.LAMBDA(_xlpm.ref,INDEX(INDIRECT("'" &amp; _xlpm.ref &amp; "'!AE5:OE5"),1,LOOKUP(2,1 / (INDIRECT("'" &amp; _xlpm.ref &amp; "'!AE"&amp;(ROW(INDIRECT("'"&amp;_xlpm.ref&amp;"'!$B$14"))-1 + MATCH($A13, INDIRECT("'" &amp; _xlpm.ref &amp; "'!$B$14:$B$150"), 0)) &amp;":OE"&amp;(ROW(INDIRECT("'"&amp;_xlpm.ref&amp;"'!$B$14"))-1 + MATCH($A13, INDIRECT("'" &amp; _xlpm.ref &amp; "'!$B$14:$B$150"), 0)) ) &lt;&gt; ""),COLUMN($AD$14:$OD$14) - COLUMN($AD$14) + 1 )))),"")),"")</f>
        <v/>
      </c>
      <c r="V13" s="167" t="str">
        <f t="shared" ca="1" si="0"/>
        <v/>
      </c>
      <c r="W13" s="191"/>
      <c r="X13" s="26"/>
      <c r="Y13" s="26"/>
      <c r="Z13" s="26"/>
      <c r="AA13" s="26"/>
      <c r="AB13" s="26"/>
      <c r="AC13" s="26"/>
      <c r="AD13" s="26"/>
      <c r="AE13" s="26"/>
      <c r="AF13" s="26"/>
      <c r="AG13" s="26"/>
      <c r="AH13" s="26"/>
      <c r="AI13" s="26"/>
      <c r="AJ13" s="26"/>
      <c r="AK13" s="26"/>
      <c r="AL13" s="26"/>
      <c r="AM13" s="26"/>
      <c r="AN13" s="26"/>
      <c r="AO13" s="26"/>
      <c r="AP13" s="26"/>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row>
    <row r="14" spans="1:104" s="55" customFormat="1">
      <c r="A14" s="138"/>
      <c r="B14" s="135"/>
      <c r="C14" s="136"/>
      <c r="D14" s="136"/>
      <c r="E14" s="135"/>
      <c r="F14" s="135"/>
      <c r="G14" s="135"/>
      <c r="H14" s="135"/>
      <c r="I14" s="135"/>
      <c r="J14" s="135"/>
      <c r="K14" s="135"/>
      <c r="L14" s="135"/>
      <c r="M14" s="56" t="str" cm="1">
        <f t="array" aca="1" ref="M14" ca="1">IF($A14="","",_xlfn.TEXTJOIN(",",TRUE,_xlfn.MAP(_xlfn._xlws.FILTER(Team_Members,Team_Members&lt;&gt;""),_xlfn.LAMBDA(_xlpm.x,IFERROR(IF(_xlfn.XMATCH($A14,INDIRECT("'"&amp;_xlpm.x&amp;"'!$B$14:$B$150"))&gt;0,_xlpm.x),"")))))</f>
        <v/>
      </c>
      <c r="N14" s="135"/>
      <c r="O14" s="4" t="str" cm="1">
        <f t="array" aca="1" ref="O14" ca="1">IFERROR(_xlfn.LET(_xlpm.Lst,_xlfn.MAP(Team_Members,_xlfn.LAMBDA(_xlpm.x,IFERROR(_xlfn.XLOOKUP($A14,INDIRECT("'"&amp;_xlpm.x&amp;"'!$B$14:$B$150"),INDIRECT("'"&amp;_xlpm.x&amp;"'!$D$14:$D$150")),""))),_xlpm.F_Lst,_xlfn._xlws.FILTER(_xlpm.Lst,_xlpm.Lst&lt;&gt;""),IF(COUNTA(_xlfn.UNIQUE(_xlpm.F_Lst))=1,INDEX(_xlpm.F_Lst,1),"WIP")),"")</f>
        <v/>
      </c>
      <c r="P14" s="137"/>
      <c r="Q14" s="137"/>
      <c r="R14" s="58" t="str" cm="1">
        <f t="array" aca="1" ref="R14" ca="1">IF($M14="","",_xlfn.LET(_xlpm.min,MIN(_xlfn.MAP(_xlfn.TEXTSPLIT($M14,","),_xlfn.LAMBDA(_xlpm.ref,IFERROR(INDEX(INDIRECT("'"&amp;_xlpm.ref&amp;"'!$AE$5:$OE$5"),MATCH(TRUE,INDEX(INDIRECT("'" &amp; _xlpm.ref &amp; "'!$AE$" &amp; (ROW(INDIRECT("'"&amp;_xlpm.ref&amp;"'!$B$14"))-1 + MATCH($A14, INDIRECT("'" &amp; _xlpm.ref &amp; "'!$B$14:$B$150"), 0)) &amp; ":$OE$" &amp; (ROW(INDIRECT("'"&amp;_xlpm.ref&amp;"'!$B$14"))-1 + MATCH($A14, INDIRECT("'" &amp; _xlpm.ref &amp; "'!$B$14:$B$150"), 0)))&lt;&gt;"",0),0)),"")))),IF(_xlpm.min=0,"",_xlpm.min)))</f>
        <v/>
      </c>
      <c r="S14" s="4" t="str" cm="1">
        <f t="array" aca="1" ref="S14" ca="1">IF($M14="","",SUM(_xlfn.MAP(_xlfn.TEXTSPLIT($M14,","),_xlfn.LAMBDA(_xlpm.ref,_xlfn.XLOOKUP($A14,INDIRECT("'"&amp;_xlpm.ref&amp;"'!$B$14:$B$150"),INDIRECT("'"&amp;_xlpm.ref&amp;"'!$E$14:$E$150"),0)))))</f>
        <v/>
      </c>
      <c r="T14" s="4" t="str" cm="1">
        <f t="array" aca="1" ref="T14" ca="1">IF($M14="","",SUM(_xlfn.MAP(_xlfn.TEXTSPLIT($M14,","),_xlfn.LAMBDA(_xlpm.ref,_xlfn.XLOOKUP($A14,INDIRECT("'"&amp;_xlpm.ref&amp;"'!$B$14:$B$150"),INDIRECT("'"&amp;_xlpm.ref&amp;"'!$F$14:$F$150"),0)))))</f>
        <v/>
      </c>
      <c r="U14" s="61" t="str" cm="1">
        <f t="array" aca="1" ref="U14" ca="1">IF($O14="Completed",MAX(IFERROR(_xlfn.MAP(_xlfn.TEXTSPLIT($M14, ","),_xlfn.LAMBDA(_xlpm.ref,INDEX(INDIRECT("'" &amp; _xlpm.ref &amp; "'!AE5:OE5"),1,LOOKUP(2,1 / (INDIRECT("'" &amp; _xlpm.ref &amp; "'!AE"&amp;(ROW(INDIRECT("'"&amp;_xlpm.ref&amp;"'!$B$14"))-1 + MATCH($A14, INDIRECT("'" &amp; _xlpm.ref &amp; "'!$B$14:$B$150"), 0)) &amp;":OE"&amp;(ROW(INDIRECT("'"&amp;_xlpm.ref&amp;"'!$B$14"))-1 + MATCH($A14, INDIRECT("'" &amp; _xlpm.ref &amp; "'!$B$14:$B$150"), 0)) ) &lt;&gt; ""),COLUMN($AD$14:$OD$14) - COLUMN($AD$14) + 1 )))),"")),"")</f>
        <v/>
      </c>
      <c r="V14" s="167" t="str">
        <f t="shared" ca="1" si="0"/>
        <v/>
      </c>
      <c r="W14" s="191"/>
      <c r="X14" s="26"/>
      <c r="Y14" s="26"/>
      <c r="Z14" s="26"/>
      <c r="AA14" s="26"/>
      <c r="AB14" s="26"/>
      <c r="AC14" s="26"/>
      <c r="AD14" s="26"/>
      <c r="AE14" s="26"/>
      <c r="AF14" s="26"/>
      <c r="AG14" s="26"/>
      <c r="AH14" s="26"/>
      <c r="AI14" s="26"/>
      <c r="AJ14" s="26"/>
      <c r="AK14" s="26"/>
      <c r="AL14" s="26"/>
      <c r="AM14" s="26"/>
      <c r="AN14" s="26"/>
      <c r="AO14" s="26"/>
      <c r="AP14" s="26"/>
      <c r="AQ14" s="26"/>
      <c r="AR14" s="26"/>
      <c r="AS14" s="26"/>
      <c r="AT14" s="26"/>
      <c r="AU14" s="26"/>
      <c r="AV14" s="26"/>
      <c r="AW14" s="26"/>
      <c r="AX14" s="26"/>
      <c r="AY14" s="26"/>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row>
    <row r="15" spans="1:104" s="55" customFormat="1">
      <c r="A15" s="138"/>
      <c r="B15" s="135"/>
      <c r="C15" s="136"/>
      <c r="D15" s="136"/>
      <c r="E15" s="135"/>
      <c r="F15" s="135"/>
      <c r="G15" s="135"/>
      <c r="H15" s="135"/>
      <c r="I15" s="135"/>
      <c r="J15" s="135"/>
      <c r="K15" s="135"/>
      <c r="L15" s="135"/>
      <c r="M15" s="56" t="str" cm="1">
        <f t="array" aca="1" ref="M15" ca="1">IF($A15="","",_xlfn.TEXTJOIN(",",TRUE,_xlfn.MAP(_xlfn._xlws.FILTER(Team_Members,Team_Members&lt;&gt;""),_xlfn.LAMBDA(_xlpm.x,IFERROR(IF(_xlfn.XMATCH($A15,INDIRECT("'"&amp;_xlpm.x&amp;"'!$B$14:$B$150"))&gt;0,_xlpm.x),"")))))</f>
        <v/>
      </c>
      <c r="N15" s="135"/>
      <c r="O15" s="4" t="str" cm="1">
        <f t="array" aca="1" ref="O15" ca="1">IFERROR(_xlfn.LET(_xlpm.Lst,_xlfn.MAP(Team_Members,_xlfn.LAMBDA(_xlpm.x,IFERROR(_xlfn.XLOOKUP($A15,INDIRECT("'"&amp;_xlpm.x&amp;"'!$B$14:$B$150"),INDIRECT("'"&amp;_xlpm.x&amp;"'!$D$14:$D$150")),""))),_xlpm.F_Lst,_xlfn._xlws.FILTER(_xlpm.Lst,_xlpm.Lst&lt;&gt;""),IF(COUNTA(_xlfn.UNIQUE(_xlpm.F_Lst))=1,INDEX(_xlpm.F_Lst,1),"WIP")),"")</f>
        <v/>
      </c>
      <c r="P15" s="137"/>
      <c r="Q15" s="137"/>
      <c r="R15" s="58" t="str" cm="1">
        <f t="array" aca="1" ref="R15" ca="1">IF($M15="","",_xlfn.LET(_xlpm.min,MIN(_xlfn.MAP(_xlfn.TEXTSPLIT($M15,","),_xlfn.LAMBDA(_xlpm.ref,IFERROR(INDEX(INDIRECT("'"&amp;_xlpm.ref&amp;"'!$AE$5:$OE$5"),MATCH(TRUE,INDEX(INDIRECT("'" &amp; _xlpm.ref &amp; "'!$AE$" &amp; (ROW(INDIRECT("'"&amp;_xlpm.ref&amp;"'!$B$14"))-1 + MATCH($A15, INDIRECT("'" &amp; _xlpm.ref &amp; "'!$B$14:$B$150"), 0)) &amp; ":$OE$" &amp; (ROW(INDIRECT("'"&amp;_xlpm.ref&amp;"'!$B$14"))-1 + MATCH($A15, INDIRECT("'" &amp; _xlpm.ref &amp; "'!$B$14:$B$150"), 0)))&lt;&gt;"",0),0)),"")))),IF(_xlpm.min=0,"",_xlpm.min)))</f>
        <v/>
      </c>
      <c r="S15" s="4" t="str" cm="1">
        <f t="array" aca="1" ref="S15" ca="1">IF($M15="","",SUM(_xlfn.MAP(_xlfn.TEXTSPLIT($M15,","),_xlfn.LAMBDA(_xlpm.ref,_xlfn.XLOOKUP($A15,INDIRECT("'"&amp;_xlpm.ref&amp;"'!$B$14:$B$150"),INDIRECT("'"&amp;_xlpm.ref&amp;"'!$E$14:$E$150"),0)))))</f>
        <v/>
      </c>
      <c r="T15" s="4" t="str" cm="1">
        <f t="array" aca="1" ref="T15" ca="1">IF($M15="","",SUM(_xlfn.MAP(_xlfn.TEXTSPLIT($M15,","),_xlfn.LAMBDA(_xlpm.ref,_xlfn.XLOOKUP($A15,INDIRECT("'"&amp;_xlpm.ref&amp;"'!$B$14:$B$150"),INDIRECT("'"&amp;_xlpm.ref&amp;"'!$F$14:$F$150"),0)))))</f>
        <v/>
      </c>
      <c r="U15" s="61" t="str" cm="1">
        <f t="array" aca="1" ref="U15" ca="1">IF($O15="Completed",MAX(IFERROR(_xlfn.MAP(_xlfn.TEXTSPLIT($M15, ","),_xlfn.LAMBDA(_xlpm.ref,INDEX(INDIRECT("'" &amp; _xlpm.ref &amp; "'!AE5:OE5"),1,LOOKUP(2,1 / (INDIRECT("'" &amp; _xlpm.ref &amp; "'!AE"&amp;(ROW(INDIRECT("'"&amp;_xlpm.ref&amp;"'!$B$14"))-1 + MATCH($A15, INDIRECT("'" &amp; _xlpm.ref &amp; "'!$B$14:$B$150"), 0)) &amp;":OE"&amp;(ROW(INDIRECT("'"&amp;_xlpm.ref&amp;"'!$B$14"))-1 + MATCH($A15, INDIRECT("'" &amp; _xlpm.ref &amp; "'!$B$14:$B$150"), 0)) ) &lt;&gt; ""),COLUMN($AD$14:$OD$14) - COLUMN($AD$14) + 1 )))),"")),"")</f>
        <v/>
      </c>
      <c r="V15" s="167" t="str">
        <f t="shared" ca="1" si="0"/>
        <v/>
      </c>
      <c r="W15" s="191"/>
      <c r="X15" s="26"/>
      <c r="Y15" s="26"/>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row>
    <row r="16" spans="1:104" s="55" customFormat="1">
      <c r="A16" s="138"/>
      <c r="B16" s="135"/>
      <c r="C16" s="136"/>
      <c r="D16" s="136"/>
      <c r="E16" s="135"/>
      <c r="F16" s="135"/>
      <c r="G16" s="135"/>
      <c r="H16" s="135"/>
      <c r="I16" s="135"/>
      <c r="J16" s="135"/>
      <c r="K16" s="135"/>
      <c r="L16" s="135"/>
      <c r="M16" s="56" t="str" cm="1">
        <f t="array" aca="1" ref="M16" ca="1">IF($A16="","",_xlfn.TEXTJOIN(",",TRUE,_xlfn.MAP(_xlfn._xlws.FILTER(Team_Members,Team_Members&lt;&gt;""),_xlfn.LAMBDA(_xlpm.x,IFERROR(IF(_xlfn.XMATCH($A16,INDIRECT("'"&amp;_xlpm.x&amp;"'!$B$14:$B$150"))&gt;0,_xlpm.x),"")))))</f>
        <v/>
      </c>
      <c r="N16" s="135"/>
      <c r="O16" s="4" t="str" cm="1">
        <f t="array" aca="1" ref="O16" ca="1">IFERROR(_xlfn.LET(_xlpm.Lst,_xlfn.MAP(Team_Members,_xlfn.LAMBDA(_xlpm.x,IFERROR(_xlfn.XLOOKUP($A16,INDIRECT("'"&amp;_xlpm.x&amp;"'!$B$14:$B$150"),INDIRECT("'"&amp;_xlpm.x&amp;"'!$D$14:$D$150")),""))),_xlpm.F_Lst,_xlfn._xlws.FILTER(_xlpm.Lst,_xlpm.Lst&lt;&gt;""),IF(COUNTA(_xlfn.UNIQUE(_xlpm.F_Lst))=1,INDEX(_xlpm.F_Lst,1),"WIP")),"")</f>
        <v/>
      </c>
      <c r="P16" s="137"/>
      <c r="Q16" s="137"/>
      <c r="R16" s="58" t="str" cm="1">
        <f t="array" aca="1" ref="R16" ca="1">IF($M16="","",_xlfn.LET(_xlpm.min,MIN(_xlfn.MAP(_xlfn.TEXTSPLIT($M16,","),_xlfn.LAMBDA(_xlpm.ref,IFERROR(INDEX(INDIRECT("'"&amp;_xlpm.ref&amp;"'!$AE$5:$OE$5"),MATCH(TRUE,INDEX(INDIRECT("'" &amp; _xlpm.ref &amp; "'!$AE$" &amp; (ROW(INDIRECT("'"&amp;_xlpm.ref&amp;"'!$B$14"))-1 + MATCH($A16, INDIRECT("'" &amp; _xlpm.ref &amp; "'!$B$14:$B$150"), 0)) &amp; ":$OE$" &amp; (ROW(INDIRECT("'"&amp;_xlpm.ref&amp;"'!$B$14"))-1 + MATCH($A16, INDIRECT("'" &amp; _xlpm.ref &amp; "'!$B$14:$B$150"), 0)))&lt;&gt;"",0),0)),"")))),IF(_xlpm.min=0,"",_xlpm.min)))</f>
        <v/>
      </c>
      <c r="S16" s="4" t="str" cm="1">
        <f t="array" aca="1" ref="S16" ca="1">IF($M16="","",SUM(_xlfn.MAP(_xlfn.TEXTSPLIT($M16,","),_xlfn.LAMBDA(_xlpm.ref,_xlfn.XLOOKUP($A16,INDIRECT("'"&amp;_xlpm.ref&amp;"'!$B$14:$B$150"),INDIRECT("'"&amp;_xlpm.ref&amp;"'!$E$14:$E$150"),0)))))</f>
        <v/>
      </c>
      <c r="T16" s="4" t="str" cm="1">
        <f t="array" aca="1" ref="T16" ca="1">IF($M16="","",SUM(_xlfn.MAP(_xlfn.TEXTSPLIT($M16,","),_xlfn.LAMBDA(_xlpm.ref,_xlfn.XLOOKUP($A16,INDIRECT("'"&amp;_xlpm.ref&amp;"'!$B$14:$B$150"),INDIRECT("'"&amp;_xlpm.ref&amp;"'!$F$14:$F$150"),0)))))</f>
        <v/>
      </c>
      <c r="U16" s="61" t="str" cm="1">
        <f t="array" aca="1" ref="U16" ca="1">IF($O16="Completed",MAX(IFERROR(_xlfn.MAP(_xlfn.TEXTSPLIT($M16, ","),_xlfn.LAMBDA(_xlpm.ref,INDEX(INDIRECT("'" &amp; _xlpm.ref &amp; "'!AE5:OE5"),1,LOOKUP(2,1 / (INDIRECT("'" &amp; _xlpm.ref &amp; "'!AE"&amp;(ROW(INDIRECT("'"&amp;_xlpm.ref&amp;"'!$B$14"))-1 + MATCH($A16, INDIRECT("'" &amp; _xlpm.ref &amp; "'!$B$14:$B$150"), 0)) &amp;":OE"&amp;(ROW(INDIRECT("'"&amp;_xlpm.ref&amp;"'!$B$14"))-1 + MATCH($A16, INDIRECT("'" &amp; _xlpm.ref &amp; "'!$B$14:$B$150"), 0)) ) &lt;&gt; ""),COLUMN($AD$14:$OD$14) - COLUMN($AD$14) + 1 )))),"")),"")</f>
        <v/>
      </c>
      <c r="V16" s="167" t="str">
        <f t="shared" ca="1" si="0"/>
        <v/>
      </c>
      <c r="W16" s="191"/>
      <c r="X16" s="26"/>
      <c r="Y16" s="26"/>
      <c r="Z16" s="26"/>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row>
    <row r="17" spans="1:104" s="55" customFormat="1">
      <c r="A17" s="138"/>
      <c r="B17" s="135"/>
      <c r="C17" s="136"/>
      <c r="D17" s="136"/>
      <c r="E17" s="135"/>
      <c r="F17" s="135"/>
      <c r="G17" s="135"/>
      <c r="H17" s="135"/>
      <c r="I17" s="135"/>
      <c r="J17" s="135"/>
      <c r="K17" s="135"/>
      <c r="L17" s="135"/>
      <c r="M17" s="56" t="str" cm="1">
        <f t="array" aca="1" ref="M17" ca="1">IF($A17="","",_xlfn.TEXTJOIN(",",TRUE,_xlfn.MAP(_xlfn._xlws.FILTER(Team_Members,Team_Members&lt;&gt;""),_xlfn.LAMBDA(_xlpm.x,IFERROR(IF(_xlfn.XMATCH($A17,INDIRECT("'"&amp;_xlpm.x&amp;"'!$B$14:$B$150"))&gt;0,_xlpm.x),"")))))</f>
        <v/>
      </c>
      <c r="N17" s="135"/>
      <c r="O17" s="4" t="str" cm="1">
        <f t="array" aca="1" ref="O17" ca="1">IFERROR(_xlfn.LET(_xlpm.Lst,_xlfn.MAP(Team_Members,_xlfn.LAMBDA(_xlpm.x,IFERROR(_xlfn.XLOOKUP($A17,INDIRECT("'"&amp;_xlpm.x&amp;"'!$B$14:$B$150"),INDIRECT("'"&amp;_xlpm.x&amp;"'!$D$14:$D$150")),""))),_xlpm.F_Lst,_xlfn._xlws.FILTER(_xlpm.Lst,_xlpm.Lst&lt;&gt;""),IF(COUNTA(_xlfn.UNIQUE(_xlpm.F_Lst))=1,INDEX(_xlpm.F_Lst,1),"WIP")),"")</f>
        <v/>
      </c>
      <c r="P17" s="137"/>
      <c r="Q17" s="137"/>
      <c r="R17" s="58" t="str" cm="1">
        <f t="array" aca="1" ref="R17" ca="1">IF($M17="","",_xlfn.LET(_xlpm.min,MIN(_xlfn.MAP(_xlfn.TEXTSPLIT($M17,","),_xlfn.LAMBDA(_xlpm.ref,IFERROR(INDEX(INDIRECT("'"&amp;_xlpm.ref&amp;"'!$AE$5:$OE$5"),MATCH(TRUE,INDEX(INDIRECT("'" &amp; _xlpm.ref &amp; "'!$AE$" &amp; (ROW(INDIRECT("'"&amp;_xlpm.ref&amp;"'!$B$14"))-1 + MATCH($A17, INDIRECT("'" &amp; _xlpm.ref &amp; "'!$B$14:$B$150"), 0)) &amp; ":$OE$" &amp; (ROW(INDIRECT("'"&amp;_xlpm.ref&amp;"'!$B$14"))-1 + MATCH($A17, INDIRECT("'" &amp; _xlpm.ref &amp; "'!$B$14:$B$150"), 0)))&lt;&gt;"",0),0)),"")))),IF(_xlpm.min=0,"",_xlpm.min)))</f>
        <v/>
      </c>
      <c r="S17" s="4" t="str" cm="1">
        <f t="array" aca="1" ref="S17" ca="1">IF($M17="","",SUM(_xlfn.MAP(_xlfn.TEXTSPLIT($M17,","),_xlfn.LAMBDA(_xlpm.ref,_xlfn.XLOOKUP($A17,INDIRECT("'"&amp;_xlpm.ref&amp;"'!$B$14:$B$150"),INDIRECT("'"&amp;_xlpm.ref&amp;"'!$E$14:$E$150"),0)))))</f>
        <v/>
      </c>
      <c r="T17" s="4" t="str" cm="1">
        <f t="array" aca="1" ref="T17" ca="1">IF($M17="","",SUM(_xlfn.MAP(_xlfn.TEXTSPLIT($M17,","),_xlfn.LAMBDA(_xlpm.ref,_xlfn.XLOOKUP($A17,INDIRECT("'"&amp;_xlpm.ref&amp;"'!$B$14:$B$150"),INDIRECT("'"&amp;_xlpm.ref&amp;"'!$F$14:$F$150"),0)))))</f>
        <v/>
      </c>
      <c r="U17" s="61" t="str" cm="1">
        <f t="array" aca="1" ref="U17" ca="1">IF($O17="Completed",MAX(IFERROR(_xlfn.MAP(_xlfn.TEXTSPLIT($M17, ","),_xlfn.LAMBDA(_xlpm.ref,INDEX(INDIRECT("'" &amp; _xlpm.ref &amp; "'!AE5:OE5"),1,LOOKUP(2,1 / (INDIRECT("'" &amp; _xlpm.ref &amp; "'!AE"&amp;(ROW(INDIRECT("'"&amp;_xlpm.ref&amp;"'!$B$14"))-1 + MATCH($A17, INDIRECT("'" &amp; _xlpm.ref &amp; "'!$B$14:$B$150"), 0)) &amp;":OE"&amp;(ROW(INDIRECT("'"&amp;_xlpm.ref&amp;"'!$B$14"))-1 + MATCH($A17, INDIRECT("'" &amp; _xlpm.ref &amp; "'!$B$14:$B$150"), 0)) ) &lt;&gt; ""),COLUMN($AD$14:$OD$14) - COLUMN($AD$14) + 1 )))),"")),"")</f>
        <v/>
      </c>
      <c r="V17" s="167" t="str">
        <f t="shared" ca="1" si="0"/>
        <v/>
      </c>
      <c r="W17" s="191"/>
      <c r="X17" s="26"/>
      <c r="Y17" s="26"/>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row>
    <row r="18" spans="1:104" s="55" customFormat="1">
      <c r="A18" s="138"/>
      <c r="B18" s="135"/>
      <c r="C18" s="136"/>
      <c r="D18" s="136"/>
      <c r="E18" s="135"/>
      <c r="F18" s="135"/>
      <c r="G18" s="135"/>
      <c r="H18" s="135"/>
      <c r="I18" s="135"/>
      <c r="J18" s="135"/>
      <c r="K18" s="135"/>
      <c r="L18" s="135"/>
      <c r="M18" s="56" t="str" cm="1">
        <f t="array" aca="1" ref="M18" ca="1">IF($A18="","",_xlfn.TEXTJOIN(",",TRUE,_xlfn.MAP(_xlfn._xlws.FILTER(Team_Members,Team_Members&lt;&gt;""),_xlfn.LAMBDA(_xlpm.x,IFERROR(IF(_xlfn.XMATCH($A18,INDIRECT("'"&amp;_xlpm.x&amp;"'!$B$14:$B$150"))&gt;0,_xlpm.x),"")))))</f>
        <v/>
      </c>
      <c r="N18" s="135"/>
      <c r="O18" s="4" t="str" cm="1">
        <f t="array" aca="1" ref="O18" ca="1">IFERROR(_xlfn.LET(_xlpm.Lst,_xlfn.MAP(Team_Members,_xlfn.LAMBDA(_xlpm.x,IFERROR(_xlfn.XLOOKUP($A18,INDIRECT("'"&amp;_xlpm.x&amp;"'!$B$14:$B$150"),INDIRECT("'"&amp;_xlpm.x&amp;"'!$D$14:$D$150")),""))),_xlpm.F_Lst,_xlfn._xlws.FILTER(_xlpm.Lst,_xlpm.Lst&lt;&gt;""),IF(COUNTA(_xlfn.UNIQUE(_xlpm.F_Lst))=1,INDEX(_xlpm.F_Lst,1),"WIP")),"")</f>
        <v/>
      </c>
      <c r="P18" s="137"/>
      <c r="Q18" s="137"/>
      <c r="R18" s="58" t="str" cm="1">
        <f t="array" aca="1" ref="R18" ca="1">IF($M18="","",_xlfn.LET(_xlpm.min,MIN(_xlfn.MAP(_xlfn.TEXTSPLIT($M18,","),_xlfn.LAMBDA(_xlpm.ref,IFERROR(INDEX(INDIRECT("'"&amp;_xlpm.ref&amp;"'!$AE$5:$OE$5"),MATCH(TRUE,INDEX(INDIRECT("'" &amp; _xlpm.ref &amp; "'!$AE$" &amp; (ROW(INDIRECT("'"&amp;_xlpm.ref&amp;"'!$B$14"))-1 + MATCH($A18, INDIRECT("'" &amp; _xlpm.ref &amp; "'!$B$14:$B$150"), 0)) &amp; ":$OE$" &amp; (ROW(INDIRECT("'"&amp;_xlpm.ref&amp;"'!$B$14"))-1 + MATCH($A18, INDIRECT("'" &amp; _xlpm.ref &amp; "'!$B$14:$B$150"), 0)))&lt;&gt;"",0),0)),"")))),IF(_xlpm.min=0,"",_xlpm.min)))</f>
        <v/>
      </c>
      <c r="S18" s="4" t="str" cm="1">
        <f t="array" aca="1" ref="S18" ca="1">IF($M18="","",SUM(_xlfn.MAP(_xlfn.TEXTSPLIT($M18,","),_xlfn.LAMBDA(_xlpm.ref,_xlfn.XLOOKUP($A18,INDIRECT("'"&amp;_xlpm.ref&amp;"'!$B$14:$B$150"),INDIRECT("'"&amp;_xlpm.ref&amp;"'!$E$14:$E$150"),0)))))</f>
        <v/>
      </c>
      <c r="T18" s="4" t="str" cm="1">
        <f t="array" aca="1" ref="T18" ca="1">IF($M18="","",SUM(_xlfn.MAP(_xlfn.TEXTSPLIT($M18,","),_xlfn.LAMBDA(_xlpm.ref,_xlfn.XLOOKUP($A18,INDIRECT("'"&amp;_xlpm.ref&amp;"'!$B$14:$B$150"),INDIRECT("'"&amp;_xlpm.ref&amp;"'!$F$14:$F$150"),0)))))</f>
        <v/>
      </c>
      <c r="U18" s="61" t="str" cm="1">
        <f t="array" aca="1" ref="U18" ca="1">IF($O18="Completed",MAX(IFERROR(_xlfn.MAP(_xlfn.TEXTSPLIT($M18, ","),_xlfn.LAMBDA(_xlpm.ref,INDEX(INDIRECT("'" &amp; _xlpm.ref &amp; "'!AE5:OE5"),1,LOOKUP(2,1 / (INDIRECT("'" &amp; _xlpm.ref &amp; "'!AE"&amp;(ROW(INDIRECT("'"&amp;_xlpm.ref&amp;"'!$B$14"))-1 + MATCH($A18, INDIRECT("'" &amp; _xlpm.ref &amp; "'!$B$14:$B$150"), 0)) &amp;":OE"&amp;(ROW(INDIRECT("'"&amp;_xlpm.ref&amp;"'!$B$14"))-1 + MATCH($A18, INDIRECT("'" &amp; _xlpm.ref &amp; "'!$B$14:$B$150"), 0)) ) &lt;&gt; ""),COLUMN($AD$14:$OD$14) - COLUMN($AD$14) + 1 )))),"")),"")</f>
        <v/>
      </c>
      <c r="V18" s="167" t="str">
        <f t="shared" ca="1" si="0"/>
        <v/>
      </c>
      <c r="W18" s="191"/>
      <c r="X18" s="26"/>
      <c r="Y18" s="26"/>
      <c r="Z18" s="26"/>
      <c r="AA18" s="26"/>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row>
    <row r="19" spans="1:104" s="55" customFormat="1">
      <c r="A19" s="138"/>
      <c r="B19" s="135"/>
      <c r="C19" s="136"/>
      <c r="D19" s="136"/>
      <c r="E19" s="135"/>
      <c r="F19" s="135"/>
      <c r="G19" s="135"/>
      <c r="H19" s="135"/>
      <c r="I19" s="135"/>
      <c r="J19" s="135"/>
      <c r="K19" s="135"/>
      <c r="L19" s="135"/>
      <c r="M19" s="56" t="str" cm="1">
        <f t="array" aca="1" ref="M19" ca="1">IF($A19="","",_xlfn.TEXTJOIN(",",TRUE,_xlfn.MAP(_xlfn._xlws.FILTER(Team_Members,Team_Members&lt;&gt;""),_xlfn.LAMBDA(_xlpm.x,IFERROR(IF(_xlfn.XMATCH($A19,INDIRECT("'"&amp;_xlpm.x&amp;"'!$B$14:$B$150"))&gt;0,_xlpm.x),"")))))</f>
        <v/>
      </c>
      <c r="N19" s="135"/>
      <c r="O19" s="4" t="str" cm="1">
        <f t="array" aca="1" ref="O19" ca="1">IFERROR(_xlfn.LET(_xlpm.Lst,_xlfn.MAP(Team_Members,_xlfn.LAMBDA(_xlpm.x,IFERROR(_xlfn.XLOOKUP($A19,INDIRECT("'"&amp;_xlpm.x&amp;"'!$B$14:$B$150"),INDIRECT("'"&amp;_xlpm.x&amp;"'!$D$14:$D$150")),""))),_xlpm.F_Lst,_xlfn._xlws.FILTER(_xlpm.Lst,_xlpm.Lst&lt;&gt;""),IF(COUNTA(_xlfn.UNIQUE(_xlpm.F_Lst))=1,INDEX(_xlpm.F_Lst,1),"WIP")),"")</f>
        <v/>
      </c>
      <c r="P19" s="137"/>
      <c r="Q19" s="137"/>
      <c r="R19" s="58" t="str" cm="1">
        <f t="array" aca="1" ref="R19" ca="1">IF($M19="","",_xlfn.LET(_xlpm.min,MIN(_xlfn.MAP(_xlfn.TEXTSPLIT($M19,","),_xlfn.LAMBDA(_xlpm.ref,IFERROR(INDEX(INDIRECT("'"&amp;_xlpm.ref&amp;"'!$AE$5:$OE$5"),MATCH(TRUE,INDEX(INDIRECT("'" &amp; _xlpm.ref &amp; "'!$AE$" &amp; (ROW(INDIRECT("'"&amp;_xlpm.ref&amp;"'!$B$14"))-1 + MATCH($A19, INDIRECT("'" &amp; _xlpm.ref &amp; "'!$B$14:$B$150"), 0)) &amp; ":$OE$" &amp; (ROW(INDIRECT("'"&amp;_xlpm.ref&amp;"'!$B$14"))-1 + MATCH($A19, INDIRECT("'" &amp; _xlpm.ref &amp; "'!$B$14:$B$150"), 0)))&lt;&gt;"",0),0)),"")))),IF(_xlpm.min=0,"",_xlpm.min)))</f>
        <v/>
      </c>
      <c r="S19" s="4" t="str" cm="1">
        <f t="array" aca="1" ref="S19" ca="1">IF($M19="","",SUM(_xlfn.MAP(_xlfn.TEXTSPLIT($M19,","),_xlfn.LAMBDA(_xlpm.ref,_xlfn.XLOOKUP($A19,INDIRECT("'"&amp;_xlpm.ref&amp;"'!$B$14:$B$150"),INDIRECT("'"&amp;_xlpm.ref&amp;"'!$E$14:$E$150"),0)))))</f>
        <v/>
      </c>
      <c r="T19" s="4" t="str" cm="1">
        <f t="array" aca="1" ref="T19" ca="1">IF($M19="","",SUM(_xlfn.MAP(_xlfn.TEXTSPLIT($M19,","),_xlfn.LAMBDA(_xlpm.ref,_xlfn.XLOOKUP($A19,INDIRECT("'"&amp;_xlpm.ref&amp;"'!$B$14:$B$150"),INDIRECT("'"&amp;_xlpm.ref&amp;"'!$F$14:$F$150"),0)))))</f>
        <v/>
      </c>
      <c r="U19" s="61" t="str" cm="1">
        <f t="array" aca="1" ref="U19" ca="1">IF($O19="Completed",MAX(IFERROR(_xlfn.MAP(_xlfn.TEXTSPLIT($M19, ","),_xlfn.LAMBDA(_xlpm.ref,INDEX(INDIRECT("'" &amp; _xlpm.ref &amp; "'!AE5:OE5"),1,LOOKUP(2,1 / (INDIRECT("'" &amp; _xlpm.ref &amp; "'!AE"&amp;(ROW(INDIRECT("'"&amp;_xlpm.ref&amp;"'!$B$14"))-1 + MATCH($A19, INDIRECT("'" &amp; _xlpm.ref &amp; "'!$B$14:$B$150"), 0)) &amp;":OE"&amp;(ROW(INDIRECT("'"&amp;_xlpm.ref&amp;"'!$B$14"))-1 + MATCH($A19, INDIRECT("'" &amp; _xlpm.ref &amp; "'!$B$14:$B$150"), 0)) ) &lt;&gt; ""),COLUMN($AD$14:$OD$14) - COLUMN($AD$14) + 1 )))),"")),"")</f>
        <v/>
      </c>
      <c r="V19" s="167" t="str">
        <f t="shared" ca="1" si="0"/>
        <v/>
      </c>
      <c r="W19" s="191"/>
      <c r="X19" s="26"/>
      <c r="Y19" s="26"/>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row>
    <row r="20" spans="1:104" s="55" customFormat="1">
      <c r="A20" s="138"/>
      <c r="B20" s="135"/>
      <c r="C20" s="136"/>
      <c r="D20" s="136"/>
      <c r="E20" s="135"/>
      <c r="F20" s="135"/>
      <c r="G20" s="135"/>
      <c r="H20" s="135"/>
      <c r="I20" s="135"/>
      <c r="J20" s="135"/>
      <c r="K20" s="135"/>
      <c r="L20" s="135"/>
      <c r="M20" s="56" t="str" cm="1">
        <f t="array" aca="1" ref="M20" ca="1">IF($A20="","",_xlfn.TEXTJOIN(",",TRUE,_xlfn.MAP(_xlfn._xlws.FILTER(Team_Members,Team_Members&lt;&gt;""),_xlfn.LAMBDA(_xlpm.x,IFERROR(IF(_xlfn.XMATCH($A20,INDIRECT("'"&amp;_xlpm.x&amp;"'!$B$14:$B$150"))&gt;0,_xlpm.x),"")))))</f>
        <v/>
      </c>
      <c r="N20" s="135"/>
      <c r="O20" s="4" t="str" cm="1">
        <f t="array" aca="1" ref="O20" ca="1">IFERROR(_xlfn.LET(_xlpm.Lst,_xlfn.MAP(Team_Members,_xlfn.LAMBDA(_xlpm.x,IFERROR(_xlfn.XLOOKUP($A20,INDIRECT("'"&amp;_xlpm.x&amp;"'!$B$14:$B$150"),INDIRECT("'"&amp;_xlpm.x&amp;"'!$D$14:$D$150")),""))),_xlpm.F_Lst,_xlfn._xlws.FILTER(_xlpm.Lst,_xlpm.Lst&lt;&gt;""),IF(COUNTA(_xlfn.UNIQUE(_xlpm.F_Lst))=1,INDEX(_xlpm.F_Lst,1),"WIP")),"")</f>
        <v/>
      </c>
      <c r="P20" s="137"/>
      <c r="Q20" s="137"/>
      <c r="R20" s="58" t="str" cm="1">
        <f t="array" aca="1" ref="R20" ca="1">IF($M20="","",_xlfn.LET(_xlpm.min,MIN(_xlfn.MAP(_xlfn.TEXTSPLIT($M20,","),_xlfn.LAMBDA(_xlpm.ref,IFERROR(INDEX(INDIRECT("'"&amp;_xlpm.ref&amp;"'!$AE$5:$OE$5"),MATCH(TRUE,INDEX(INDIRECT("'" &amp; _xlpm.ref &amp; "'!$AE$" &amp; (ROW(INDIRECT("'"&amp;_xlpm.ref&amp;"'!$B$14"))-1 + MATCH($A20, INDIRECT("'" &amp; _xlpm.ref &amp; "'!$B$14:$B$150"), 0)) &amp; ":$OE$" &amp; (ROW(INDIRECT("'"&amp;_xlpm.ref&amp;"'!$B$14"))-1 + MATCH($A20, INDIRECT("'" &amp; _xlpm.ref &amp; "'!$B$14:$B$150"), 0)))&lt;&gt;"",0),0)),"")))),IF(_xlpm.min=0,"",_xlpm.min)))</f>
        <v/>
      </c>
      <c r="S20" s="4" t="str" cm="1">
        <f t="array" aca="1" ref="S20" ca="1">IF($M20="","",SUM(_xlfn.MAP(_xlfn.TEXTSPLIT($M20,","),_xlfn.LAMBDA(_xlpm.ref,_xlfn.XLOOKUP($A20,INDIRECT("'"&amp;_xlpm.ref&amp;"'!$B$14:$B$150"),INDIRECT("'"&amp;_xlpm.ref&amp;"'!$E$14:$E$150"),0)))))</f>
        <v/>
      </c>
      <c r="T20" s="4" t="str" cm="1">
        <f t="array" aca="1" ref="T20" ca="1">IF($M20="","",SUM(_xlfn.MAP(_xlfn.TEXTSPLIT($M20,","),_xlfn.LAMBDA(_xlpm.ref,_xlfn.XLOOKUP($A20,INDIRECT("'"&amp;_xlpm.ref&amp;"'!$B$14:$B$150"),INDIRECT("'"&amp;_xlpm.ref&amp;"'!$F$14:$F$150"),0)))))</f>
        <v/>
      </c>
      <c r="U20" s="61" t="str" cm="1">
        <f t="array" aca="1" ref="U20" ca="1">IF($O20="Completed",MAX(IFERROR(_xlfn.MAP(_xlfn.TEXTSPLIT($M20, ","),_xlfn.LAMBDA(_xlpm.ref,INDEX(INDIRECT("'" &amp; _xlpm.ref &amp; "'!AE5:OE5"),1,LOOKUP(2,1 / (INDIRECT("'" &amp; _xlpm.ref &amp; "'!AE"&amp;(ROW(INDIRECT("'"&amp;_xlpm.ref&amp;"'!$B$14"))-1 + MATCH($A20, INDIRECT("'" &amp; _xlpm.ref &amp; "'!$B$14:$B$150"), 0)) &amp;":OE"&amp;(ROW(INDIRECT("'"&amp;_xlpm.ref&amp;"'!$B$14"))-1 + MATCH($A20, INDIRECT("'" &amp; _xlpm.ref &amp; "'!$B$14:$B$150"), 0)) ) &lt;&gt; ""),COLUMN($AD$14:$OD$14) - COLUMN($AD$14) + 1 )))),"")),"")</f>
        <v/>
      </c>
      <c r="V20" s="167" t="str">
        <f t="shared" ca="1" si="0"/>
        <v/>
      </c>
      <c r="W20" s="191"/>
      <c r="X20" s="26"/>
      <c r="Y20" s="26"/>
      <c r="Z20" s="26"/>
      <c r="AA20" s="26"/>
      <c r="AB20" s="26"/>
      <c r="AC20" s="26"/>
      <c r="AD20" s="26"/>
      <c r="AE20" s="26"/>
      <c r="AF20" s="26"/>
      <c r="AG20" s="26"/>
      <c r="AH20" s="26"/>
      <c r="AI20" s="2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row>
    <row r="21" spans="1:104" s="55" customFormat="1">
      <c r="A21" s="138"/>
      <c r="B21" s="135"/>
      <c r="C21" s="136"/>
      <c r="D21" s="136"/>
      <c r="E21" s="135"/>
      <c r="F21" s="135"/>
      <c r="G21" s="135"/>
      <c r="H21" s="135"/>
      <c r="I21" s="135"/>
      <c r="J21" s="135"/>
      <c r="K21" s="135"/>
      <c r="L21" s="135"/>
      <c r="M21" s="56" t="str" cm="1">
        <f t="array" aca="1" ref="M21" ca="1">IF($A21="","",_xlfn.TEXTJOIN(",",TRUE,_xlfn.MAP(_xlfn._xlws.FILTER(Team_Members,Team_Members&lt;&gt;""),_xlfn.LAMBDA(_xlpm.x,IFERROR(IF(_xlfn.XMATCH($A21,INDIRECT("'"&amp;_xlpm.x&amp;"'!$B$14:$B$150"))&gt;0,_xlpm.x),"")))))</f>
        <v/>
      </c>
      <c r="N21" s="135"/>
      <c r="O21" s="4" t="str" cm="1">
        <f t="array" aca="1" ref="O21" ca="1">IFERROR(_xlfn.LET(_xlpm.Lst,_xlfn.MAP(Team_Members,_xlfn.LAMBDA(_xlpm.x,IFERROR(_xlfn.XLOOKUP($A21,INDIRECT("'"&amp;_xlpm.x&amp;"'!$B$14:$B$150"),INDIRECT("'"&amp;_xlpm.x&amp;"'!$D$14:$D$150")),""))),_xlpm.F_Lst,_xlfn._xlws.FILTER(_xlpm.Lst,_xlpm.Lst&lt;&gt;""),IF(COUNTA(_xlfn.UNIQUE(_xlpm.F_Lst))=1,INDEX(_xlpm.F_Lst,1),"WIP")),"")</f>
        <v/>
      </c>
      <c r="P21" s="137"/>
      <c r="Q21" s="137"/>
      <c r="R21" s="58" t="str" cm="1">
        <f t="array" aca="1" ref="R21" ca="1">IF($M21="","",_xlfn.LET(_xlpm.min,MIN(_xlfn.MAP(_xlfn.TEXTSPLIT($M21,","),_xlfn.LAMBDA(_xlpm.ref,IFERROR(INDEX(INDIRECT("'"&amp;_xlpm.ref&amp;"'!$AE$5:$OE$5"),MATCH(TRUE,INDEX(INDIRECT("'" &amp; _xlpm.ref &amp; "'!$AE$" &amp; (ROW(INDIRECT("'"&amp;_xlpm.ref&amp;"'!$B$14"))-1 + MATCH($A21, INDIRECT("'" &amp; _xlpm.ref &amp; "'!$B$14:$B$150"), 0)) &amp; ":$OE$" &amp; (ROW(INDIRECT("'"&amp;_xlpm.ref&amp;"'!$B$14"))-1 + MATCH($A21, INDIRECT("'" &amp; _xlpm.ref &amp; "'!$B$14:$B$150"), 0)))&lt;&gt;"",0),0)),"")))),IF(_xlpm.min=0,"",_xlpm.min)))</f>
        <v/>
      </c>
      <c r="S21" s="4" t="str" cm="1">
        <f t="array" aca="1" ref="S21" ca="1">IF($M21="","",SUM(_xlfn.MAP(_xlfn.TEXTSPLIT($M21,","),_xlfn.LAMBDA(_xlpm.ref,_xlfn.XLOOKUP($A21,INDIRECT("'"&amp;_xlpm.ref&amp;"'!$B$14:$B$150"),INDIRECT("'"&amp;_xlpm.ref&amp;"'!$E$14:$E$150"),0)))))</f>
        <v/>
      </c>
      <c r="T21" s="4" t="str" cm="1">
        <f t="array" aca="1" ref="T21" ca="1">IF($M21="","",SUM(_xlfn.MAP(_xlfn.TEXTSPLIT($M21,","),_xlfn.LAMBDA(_xlpm.ref,_xlfn.XLOOKUP($A21,INDIRECT("'"&amp;_xlpm.ref&amp;"'!$B$14:$B$150"),INDIRECT("'"&amp;_xlpm.ref&amp;"'!$F$14:$F$150"),0)))))</f>
        <v/>
      </c>
      <c r="U21" s="61" t="str" cm="1">
        <f t="array" aca="1" ref="U21" ca="1">IF($O21="Completed",MAX(IFERROR(_xlfn.MAP(_xlfn.TEXTSPLIT($M21, ","),_xlfn.LAMBDA(_xlpm.ref,INDEX(INDIRECT("'" &amp; _xlpm.ref &amp; "'!AE5:OE5"),1,LOOKUP(2,1 / (INDIRECT("'" &amp; _xlpm.ref &amp; "'!AE"&amp;(ROW(INDIRECT("'"&amp;_xlpm.ref&amp;"'!$B$14"))-1 + MATCH($A21, INDIRECT("'" &amp; _xlpm.ref &amp; "'!$B$14:$B$150"), 0)) &amp;":OE"&amp;(ROW(INDIRECT("'"&amp;_xlpm.ref&amp;"'!$B$14"))-1 + MATCH($A21, INDIRECT("'" &amp; _xlpm.ref &amp; "'!$B$14:$B$150"), 0)) ) &lt;&gt; ""),COLUMN($AD$14:$OD$14) - COLUMN($AD$14) + 1 )))),"")),"")</f>
        <v/>
      </c>
      <c r="V21" s="167" t="str">
        <f t="shared" ca="1" si="0"/>
        <v/>
      </c>
      <c r="W21" s="191"/>
      <c r="X21" s="26"/>
      <c r="Y21" s="26"/>
      <c r="Z21" s="26"/>
      <c r="AA21" s="26"/>
      <c r="AB21" s="26"/>
      <c r="AC21" s="26"/>
      <c r="AD21" s="26"/>
      <c r="AE21" s="26"/>
      <c r="AF21" s="26"/>
      <c r="AG21" s="26"/>
      <c r="AH21" s="26"/>
      <c r="AI21" s="2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row>
    <row r="22" spans="1:104" s="55" customFormat="1">
      <c r="A22" s="138"/>
      <c r="B22" s="135"/>
      <c r="C22" s="136"/>
      <c r="D22" s="136"/>
      <c r="E22" s="135"/>
      <c r="F22" s="135"/>
      <c r="G22" s="135"/>
      <c r="H22" s="135"/>
      <c r="I22" s="135"/>
      <c r="J22" s="135"/>
      <c r="K22" s="135"/>
      <c r="L22" s="135"/>
      <c r="M22" s="56" t="str" cm="1">
        <f t="array" aca="1" ref="M22" ca="1">IF($A22="","",_xlfn.TEXTJOIN(",",TRUE,_xlfn.MAP(_xlfn._xlws.FILTER(Team_Members,Team_Members&lt;&gt;""),_xlfn.LAMBDA(_xlpm.x,IFERROR(IF(_xlfn.XMATCH($A22,INDIRECT("'"&amp;_xlpm.x&amp;"'!$B$14:$B$150"))&gt;0,_xlpm.x),"")))))</f>
        <v/>
      </c>
      <c r="N22" s="135"/>
      <c r="O22" s="4" t="str" cm="1">
        <f t="array" aca="1" ref="O22" ca="1">IFERROR(_xlfn.LET(_xlpm.Lst,_xlfn.MAP(Team_Members,_xlfn.LAMBDA(_xlpm.x,IFERROR(_xlfn.XLOOKUP($A22,INDIRECT("'"&amp;_xlpm.x&amp;"'!$B$14:$B$150"),INDIRECT("'"&amp;_xlpm.x&amp;"'!$D$14:$D$150")),""))),_xlpm.F_Lst,_xlfn._xlws.FILTER(_xlpm.Lst,_xlpm.Lst&lt;&gt;""),IF(COUNTA(_xlfn.UNIQUE(_xlpm.F_Lst))=1,INDEX(_xlpm.F_Lst,1),"WIP")),"")</f>
        <v/>
      </c>
      <c r="P22" s="137"/>
      <c r="Q22" s="137"/>
      <c r="R22" s="58" t="str" cm="1">
        <f t="array" aca="1" ref="R22" ca="1">IF($M22="","",_xlfn.LET(_xlpm.min,MIN(_xlfn.MAP(_xlfn.TEXTSPLIT($M22,","),_xlfn.LAMBDA(_xlpm.ref,IFERROR(INDEX(INDIRECT("'"&amp;_xlpm.ref&amp;"'!$AE$5:$OE$5"),MATCH(TRUE,INDEX(INDIRECT("'" &amp; _xlpm.ref &amp; "'!$AE$" &amp; (ROW(INDIRECT("'"&amp;_xlpm.ref&amp;"'!$B$14"))-1 + MATCH($A22, INDIRECT("'" &amp; _xlpm.ref &amp; "'!$B$14:$B$150"), 0)) &amp; ":$OE$" &amp; (ROW(INDIRECT("'"&amp;_xlpm.ref&amp;"'!$B$14"))-1 + MATCH($A22, INDIRECT("'" &amp; _xlpm.ref &amp; "'!$B$14:$B$150"), 0)))&lt;&gt;"",0),0)),"")))),IF(_xlpm.min=0,"",_xlpm.min)))</f>
        <v/>
      </c>
      <c r="S22" s="4" t="str" cm="1">
        <f t="array" aca="1" ref="S22" ca="1">IF($M22="","",SUM(_xlfn.MAP(_xlfn.TEXTSPLIT($M22,","),_xlfn.LAMBDA(_xlpm.ref,_xlfn.XLOOKUP($A22,INDIRECT("'"&amp;_xlpm.ref&amp;"'!$B$14:$B$150"),INDIRECT("'"&amp;_xlpm.ref&amp;"'!$E$14:$E$150"),0)))))</f>
        <v/>
      </c>
      <c r="T22" s="4" t="str" cm="1">
        <f t="array" aca="1" ref="T22" ca="1">IF($M22="","",SUM(_xlfn.MAP(_xlfn.TEXTSPLIT($M22,","),_xlfn.LAMBDA(_xlpm.ref,_xlfn.XLOOKUP($A22,INDIRECT("'"&amp;_xlpm.ref&amp;"'!$B$14:$B$150"),INDIRECT("'"&amp;_xlpm.ref&amp;"'!$F$14:$F$150"),0)))))</f>
        <v/>
      </c>
      <c r="U22" s="61" t="str" cm="1">
        <f t="array" aca="1" ref="U22" ca="1">IF($O22="Completed",MAX(IFERROR(_xlfn.MAP(_xlfn.TEXTSPLIT($M22, ","),_xlfn.LAMBDA(_xlpm.ref,INDEX(INDIRECT("'" &amp; _xlpm.ref &amp; "'!AE5:OE5"),1,LOOKUP(2,1 / (INDIRECT("'" &amp; _xlpm.ref &amp; "'!AE"&amp;(ROW(INDIRECT("'"&amp;_xlpm.ref&amp;"'!$B$14"))-1 + MATCH($A22, INDIRECT("'" &amp; _xlpm.ref &amp; "'!$B$14:$B$150"), 0)) &amp;":OE"&amp;(ROW(INDIRECT("'"&amp;_xlpm.ref&amp;"'!$B$14"))-1 + MATCH($A22, INDIRECT("'" &amp; _xlpm.ref &amp; "'!$B$14:$B$150"), 0)) ) &lt;&gt; ""),COLUMN($AD$14:$OD$14) - COLUMN($AD$14) + 1 )))),"")),"")</f>
        <v/>
      </c>
      <c r="V22" s="167" t="str">
        <f t="shared" ca="1" si="0"/>
        <v/>
      </c>
      <c r="W22" s="191"/>
      <c r="X22" s="26"/>
      <c r="Y22" s="26"/>
      <c r="Z22" s="26"/>
      <c r="AA22" s="26"/>
      <c r="AB22" s="26"/>
      <c r="AC22" s="26"/>
      <c r="AD22" s="26"/>
      <c r="AE22" s="26"/>
      <c r="AF22" s="26"/>
      <c r="AG22" s="26"/>
      <c r="AH22" s="26"/>
      <c r="AI22" s="2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row>
    <row r="23" spans="1:104" s="55" customFormat="1">
      <c r="A23" s="138"/>
      <c r="B23" s="135"/>
      <c r="C23" s="136"/>
      <c r="D23" s="136"/>
      <c r="E23" s="135"/>
      <c r="F23" s="135"/>
      <c r="G23" s="135"/>
      <c r="H23" s="135"/>
      <c r="I23" s="135"/>
      <c r="J23" s="135"/>
      <c r="K23" s="135"/>
      <c r="L23" s="135"/>
      <c r="M23" s="56" t="str" cm="1">
        <f t="array" aca="1" ref="M23" ca="1">IF($A23="","",_xlfn.TEXTJOIN(",",TRUE,_xlfn.MAP(_xlfn._xlws.FILTER(Team_Members,Team_Members&lt;&gt;""),_xlfn.LAMBDA(_xlpm.x,IFERROR(IF(_xlfn.XMATCH($A23,INDIRECT("'"&amp;_xlpm.x&amp;"'!$B$14:$B$150"))&gt;0,_xlpm.x),"")))))</f>
        <v/>
      </c>
      <c r="N23" s="135"/>
      <c r="O23" s="4" t="str" cm="1">
        <f t="array" aca="1" ref="O23" ca="1">IFERROR(_xlfn.LET(_xlpm.Lst,_xlfn.MAP(Team_Members,_xlfn.LAMBDA(_xlpm.x,IFERROR(_xlfn.XLOOKUP($A23,INDIRECT("'"&amp;_xlpm.x&amp;"'!$B$14:$B$150"),INDIRECT("'"&amp;_xlpm.x&amp;"'!$D$14:$D$150")),""))),_xlpm.F_Lst,_xlfn._xlws.FILTER(_xlpm.Lst,_xlpm.Lst&lt;&gt;""),IF(COUNTA(_xlfn.UNIQUE(_xlpm.F_Lst))=1,INDEX(_xlpm.F_Lst,1),"WIP")),"")</f>
        <v/>
      </c>
      <c r="P23" s="137"/>
      <c r="Q23" s="137"/>
      <c r="R23" s="58" t="str" cm="1">
        <f t="array" aca="1" ref="R23" ca="1">IF($M23="","",_xlfn.LET(_xlpm.min,MIN(_xlfn.MAP(_xlfn.TEXTSPLIT($M23,","),_xlfn.LAMBDA(_xlpm.ref,IFERROR(INDEX(INDIRECT("'"&amp;_xlpm.ref&amp;"'!$AE$5:$OE$5"),MATCH(TRUE,INDEX(INDIRECT("'" &amp; _xlpm.ref &amp; "'!$AE$" &amp; (ROW(INDIRECT("'"&amp;_xlpm.ref&amp;"'!$B$14"))-1 + MATCH($A23, INDIRECT("'" &amp; _xlpm.ref &amp; "'!$B$14:$B$150"), 0)) &amp; ":$OE$" &amp; (ROW(INDIRECT("'"&amp;_xlpm.ref&amp;"'!$B$14"))-1 + MATCH($A23, INDIRECT("'" &amp; _xlpm.ref &amp; "'!$B$14:$B$150"), 0)))&lt;&gt;"",0),0)),"")))),IF(_xlpm.min=0,"",_xlpm.min)))</f>
        <v/>
      </c>
      <c r="S23" s="4" t="str" cm="1">
        <f t="array" aca="1" ref="S23" ca="1">IF($M23="","",SUM(_xlfn.MAP(_xlfn.TEXTSPLIT($M23,","),_xlfn.LAMBDA(_xlpm.ref,_xlfn.XLOOKUP($A23,INDIRECT("'"&amp;_xlpm.ref&amp;"'!$B$14:$B$150"),INDIRECT("'"&amp;_xlpm.ref&amp;"'!$E$14:$E$150"),0)))))</f>
        <v/>
      </c>
      <c r="T23" s="4" t="str" cm="1">
        <f t="array" aca="1" ref="T23" ca="1">IF($M23="","",SUM(_xlfn.MAP(_xlfn.TEXTSPLIT($M23,","),_xlfn.LAMBDA(_xlpm.ref,_xlfn.XLOOKUP($A23,INDIRECT("'"&amp;_xlpm.ref&amp;"'!$B$14:$B$150"),INDIRECT("'"&amp;_xlpm.ref&amp;"'!$F$14:$F$150"),0)))))</f>
        <v/>
      </c>
      <c r="U23" s="61" t="str" cm="1">
        <f t="array" aca="1" ref="U23" ca="1">IF($O23="Completed",MAX(IFERROR(_xlfn.MAP(_xlfn.TEXTSPLIT($M23, ","),_xlfn.LAMBDA(_xlpm.ref,INDEX(INDIRECT("'" &amp; _xlpm.ref &amp; "'!AE5:OE5"),1,LOOKUP(2,1 / (INDIRECT("'" &amp; _xlpm.ref &amp; "'!AE"&amp;(ROW(INDIRECT("'"&amp;_xlpm.ref&amp;"'!$B$14"))-1 + MATCH($A23, INDIRECT("'" &amp; _xlpm.ref &amp; "'!$B$14:$B$150"), 0)) &amp;":OE"&amp;(ROW(INDIRECT("'"&amp;_xlpm.ref&amp;"'!$B$14"))-1 + MATCH($A23, INDIRECT("'" &amp; _xlpm.ref &amp; "'!$B$14:$B$150"), 0)) ) &lt;&gt; ""),COLUMN($AD$14:$OD$14) - COLUMN($AD$14) + 1 )))),"")),"")</f>
        <v/>
      </c>
      <c r="V23" s="167" t="str">
        <f t="shared" ca="1" si="0"/>
        <v/>
      </c>
      <c r="W23" s="191"/>
      <c r="X23" s="26"/>
      <c r="Y23" s="26"/>
      <c r="Z23" s="26"/>
      <c r="AA23" s="26"/>
      <c r="AB23" s="26"/>
      <c r="AC23" s="26"/>
      <c r="AD23" s="26"/>
      <c r="AE23" s="26"/>
      <c r="AF23" s="26"/>
      <c r="AG23" s="26"/>
      <c r="AH23" s="26"/>
      <c r="AI23" s="2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row>
    <row r="24" spans="1:104" s="55" customFormat="1">
      <c r="A24" s="138"/>
      <c r="B24" s="135"/>
      <c r="C24" s="136"/>
      <c r="D24" s="136"/>
      <c r="E24" s="135"/>
      <c r="F24" s="135"/>
      <c r="G24" s="135"/>
      <c r="H24" s="135"/>
      <c r="I24" s="135"/>
      <c r="J24" s="135"/>
      <c r="K24" s="135"/>
      <c r="L24" s="135"/>
      <c r="M24" s="56" t="str" cm="1">
        <f t="array" aca="1" ref="M24" ca="1">IF($A24="","",_xlfn.TEXTJOIN(",",TRUE,_xlfn.MAP(_xlfn._xlws.FILTER(Team_Members,Team_Members&lt;&gt;""),_xlfn.LAMBDA(_xlpm.x,IFERROR(IF(_xlfn.XMATCH($A24,INDIRECT("'"&amp;_xlpm.x&amp;"'!$B$14:$B$150"))&gt;0,_xlpm.x),"")))))</f>
        <v/>
      </c>
      <c r="N24" s="135"/>
      <c r="O24" s="4" t="str" cm="1">
        <f t="array" aca="1" ref="O24" ca="1">IFERROR(_xlfn.LET(_xlpm.Lst,_xlfn.MAP(Team_Members,_xlfn.LAMBDA(_xlpm.x,IFERROR(_xlfn.XLOOKUP($A24,INDIRECT("'"&amp;_xlpm.x&amp;"'!$B$14:$B$150"),INDIRECT("'"&amp;_xlpm.x&amp;"'!$D$14:$D$150")),""))),_xlpm.F_Lst,_xlfn._xlws.FILTER(_xlpm.Lst,_xlpm.Lst&lt;&gt;""),IF(COUNTA(_xlfn.UNIQUE(_xlpm.F_Lst))=1,INDEX(_xlpm.F_Lst,1),"WIP")),"")</f>
        <v/>
      </c>
      <c r="P24" s="137"/>
      <c r="Q24" s="137"/>
      <c r="R24" s="58" t="str" cm="1">
        <f t="array" aca="1" ref="R24" ca="1">IF($M24="","",_xlfn.LET(_xlpm.min,MIN(_xlfn.MAP(_xlfn.TEXTSPLIT($M24,","),_xlfn.LAMBDA(_xlpm.ref,IFERROR(INDEX(INDIRECT("'"&amp;_xlpm.ref&amp;"'!$AE$5:$OE$5"),MATCH(TRUE,INDEX(INDIRECT("'" &amp; _xlpm.ref &amp; "'!$AE$" &amp; (ROW(INDIRECT("'"&amp;_xlpm.ref&amp;"'!$B$14"))-1 + MATCH($A24, INDIRECT("'" &amp; _xlpm.ref &amp; "'!$B$14:$B$150"), 0)) &amp; ":$OE$" &amp; (ROW(INDIRECT("'"&amp;_xlpm.ref&amp;"'!$B$14"))-1 + MATCH($A24, INDIRECT("'" &amp; _xlpm.ref &amp; "'!$B$14:$B$150"), 0)))&lt;&gt;"",0),0)),"")))),IF(_xlpm.min=0,"",_xlpm.min)))</f>
        <v/>
      </c>
      <c r="S24" s="4" t="str" cm="1">
        <f t="array" aca="1" ref="S24" ca="1">IF($M24="","",SUM(_xlfn.MAP(_xlfn.TEXTSPLIT($M24,","),_xlfn.LAMBDA(_xlpm.ref,_xlfn.XLOOKUP($A24,INDIRECT("'"&amp;_xlpm.ref&amp;"'!$B$14:$B$150"),INDIRECT("'"&amp;_xlpm.ref&amp;"'!$E$14:$E$150"),0)))))</f>
        <v/>
      </c>
      <c r="T24" s="4" t="str" cm="1">
        <f t="array" aca="1" ref="T24" ca="1">IF($M24="","",SUM(_xlfn.MAP(_xlfn.TEXTSPLIT($M24,","),_xlfn.LAMBDA(_xlpm.ref,_xlfn.XLOOKUP($A24,INDIRECT("'"&amp;_xlpm.ref&amp;"'!$B$14:$B$150"),INDIRECT("'"&amp;_xlpm.ref&amp;"'!$F$14:$F$150"),0)))))</f>
        <v/>
      </c>
      <c r="U24" s="61" t="str" cm="1">
        <f t="array" aca="1" ref="U24" ca="1">IF($O24="Completed",MAX(IFERROR(_xlfn.MAP(_xlfn.TEXTSPLIT($M24, ","),_xlfn.LAMBDA(_xlpm.ref,INDEX(INDIRECT("'" &amp; _xlpm.ref &amp; "'!AE5:OE5"),1,LOOKUP(2,1 / (INDIRECT("'" &amp; _xlpm.ref &amp; "'!AE"&amp;(ROW(INDIRECT("'"&amp;_xlpm.ref&amp;"'!$B$14"))-1 + MATCH($A24, INDIRECT("'" &amp; _xlpm.ref &amp; "'!$B$14:$B$150"), 0)) &amp;":OE"&amp;(ROW(INDIRECT("'"&amp;_xlpm.ref&amp;"'!$B$14"))-1 + MATCH($A24, INDIRECT("'" &amp; _xlpm.ref &amp; "'!$B$14:$B$150"), 0)) ) &lt;&gt; ""),COLUMN($AD$14:$OD$14) - COLUMN($AD$14) + 1 )))),"")),"")</f>
        <v/>
      </c>
      <c r="V24" s="167" t="str">
        <f t="shared" ca="1" si="0"/>
        <v/>
      </c>
      <c r="W24" s="191"/>
      <c r="X24" s="26"/>
      <c r="Y24" s="26"/>
      <c r="Z24" s="26"/>
      <c r="AA24" s="26"/>
      <c r="AB24" s="26"/>
      <c r="AC24" s="26"/>
      <c r="AD24" s="26"/>
      <c r="AE24" s="26"/>
      <c r="AF24" s="26"/>
      <c r="AG24" s="26"/>
      <c r="AH24" s="26"/>
      <c r="AI24" s="2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row>
    <row r="25" spans="1:104" s="55" customFormat="1">
      <c r="A25" s="138"/>
      <c r="B25" s="135"/>
      <c r="C25" s="136"/>
      <c r="D25" s="136"/>
      <c r="E25" s="135"/>
      <c r="F25" s="135"/>
      <c r="G25" s="135"/>
      <c r="H25" s="135"/>
      <c r="I25" s="135"/>
      <c r="J25" s="135"/>
      <c r="K25" s="135"/>
      <c r="L25" s="135"/>
      <c r="M25" s="56" t="str" cm="1">
        <f t="array" aca="1" ref="M25" ca="1">IF($A25="","",_xlfn.TEXTJOIN(",",TRUE,_xlfn.MAP(_xlfn._xlws.FILTER(Team_Members,Team_Members&lt;&gt;""),_xlfn.LAMBDA(_xlpm.x,IFERROR(IF(_xlfn.XMATCH($A25,INDIRECT("'"&amp;_xlpm.x&amp;"'!$B$14:$B$150"))&gt;0,_xlpm.x),"")))))</f>
        <v/>
      </c>
      <c r="N25" s="135"/>
      <c r="O25" s="4" t="str" cm="1">
        <f t="array" aca="1" ref="O25" ca="1">IFERROR(_xlfn.LET(_xlpm.Lst,_xlfn.MAP(Team_Members,_xlfn.LAMBDA(_xlpm.x,IFERROR(_xlfn.XLOOKUP($A25,INDIRECT("'"&amp;_xlpm.x&amp;"'!$B$14:$B$150"),INDIRECT("'"&amp;_xlpm.x&amp;"'!$D$14:$D$150")),""))),_xlpm.F_Lst,_xlfn._xlws.FILTER(_xlpm.Lst,_xlpm.Lst&lt;&gt;""),IF(COUNTA(_xlfn.UNIQUE(_xlpm.F_Lst))=1,INDEX(_xlpm.F_Lst,1),"WIP")),"")</f>
        <v/>
      </c>
      <c r="P25" s="137"/>
      <c r="Q25" s="137"/>
      <c r="R25" s="58" t="str" cm="1">
        <f t="array" aca="1" ref="R25" ca="1">IF($M25="","",_xlfn.LET(_xlpm.min,MIN(_xlfn.MAP(_xlfn.TEXTSPLIT($M25,","),_xlfn.LAMBDA(_xlpm.ref,IFERROR(INDEX(INDIRECT("'"&amp;_xlpm.ref&amp;"'!$AE$5:$OE$5"),MATCH(TRUE,INDEX(INDIRECT("'" &amp; _xlpm.ref &amp; "'!$AE$" &amp; (ROW(INDIRECT("'"&amp;_xlpm.ref&amp;"'!$B$14"))-1 + MATCH($A25, INDIRECT("'" &amp; _xlpm.ref &amp; "'!$B$14:$B$150"), 0)) &amp; ":$OE$" &amp; (ROW(INDIRECT("'"&amp;_xlpm.ref&amp;"'!$B$14"))-1 + MATCH($A25, INDIRECT("'" &amp; _xlpm.ref &amp; "'!$B$14:$B$150"), 0)))&lt;&gt;"",0),0)),"")))),IF(_xlpm.min=0,"",_xlpm.min)))</f>
        <v/>
      </c>
      <c r="S25" s="4" t="str" cm="1">
        <f t="array" aca="1" ref="S25" ca="1">IF($M25="","",SUM(_xlfn.MAP(_xlfn.TEXTSPLIT($M25,","),_xlfn.LAMBDA(_xlpm.ref,_xlfn.XLOOKUP($A25,INDIRECT("'"&amp;_xlpm.ref&amp;"'!$B$14:$B$150"),INDIRECT("'"&amp;_xlpm.ref&amp;"'!$E$14:$E$150"),0)))))</f>
        <v/>
      </c>
      <c r="T25" s="4" t="str" cm="1">
        <f t="array" aca="1" ref="T25" ca="1">IF($M25="","",SUM(_xlfn.MAP(_xlfn.TEXTSPLIT($M25,","),_xlfn.LAMBDA(_xlpm.ref,_xlfn.XLOOKUP($A25,INDIRECT("'"&amp;_xlpm.ref&amp;"'!$B$14:$B$150"),INDIRECT("'"&amp;_xlpm.ref&amp;"'!$F$14:$F$150"),0)))))</f>
        <v/>
      </c>
      <c r="U25" s="61" t="str" cm="1">
        <f t="array" aca="1" ref="U25" ca="1">IF($O25="Completed",MAX(IFERROR(_xlfn.MAP(_xlfn.TEXTSPLIT($M25, ","),_xlfn.LAMBDA(_xlpm.ref,INDEX(INDIRECT("'" &amp; _xlpm.ref &amp; "'!AE5:OE5"),1,LOOKUP(2,1 / (INDIRECT("'" &amp; _xlpm.ref &amp; "'!AE"&amp;(ROW(INDIRECT("'"&amp;_xlpm.ref&amp;"'!$B$14"))-1 + MATCH($A25, INDIRECT("'" &amp; _xlpm.ref &amp; "'!$B$14:$B$150"), 0)) &amp;":OE"&amp;(ROW(INDIRECT("'"&amp;_xlpm.ref&amp;"'!$B$14"))-1 + MATCH($A25, INDIRECT("'" &amp; _xlpm.ref &amp; "'!$B$14:$B$150"), 0)) ) &lt;&gt; ""),COLUMN($AD$14:$OD$14) - COLUMN($AD$14) + 1 )))),"")),"")</f>
        <v/>
      </c>
      <c r="V25" s="167" t="str">
        <f t="shared" ca="1" si="0"/>
        <v/>
      </c>
      <c r="W25" s="191"/>
      <c r="X25" s="26"/>
      <c r="Y25" s="26"/>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row>
    <row r="26" spans="1:104" s="55" customFormat="1">
      <c r="A26" s="138"/>
      <c r="B26" s="135"/>
      <c r="C26" s="136"/>
      <c r="D26" s="136"/>
      <c r="E26" s="135"/>
      <c r="F26" s="135"/>
      <c r="G26" s="135"/>
      <c r="H26" s="135"/>
      <c r="I26" s="135"/>
      <c r="J26" s="135"/>
      <c r="K26" s="135"/>
      <c r="L26" s="135"/>
      <c r="M26" s="56" t="str" cm="1">
        <f t="array" aca="1" ref="M26" ca="1">IF($A26="","",_xlfn.TEXTJOIN(",",TRUE,_xlfn.MAP(_xlfn._xlws.FILTER(Team_Members,Team_Members&lt;&gt;""),_xlfn.LAMBDA(_xlpm.x,IFERROR(IF(_xlfn.XMATCH($A26,INDIRECT("'"&amp;_xlpm.x&amp;"'!$B$14:$B$150"))&gt;0,_xlpm.x),"")))))</f>
        <v/>
      </c>
      <c r="N26" s="135"/>
      <c r="O26" s="4" t="str" cm="1">
        <f t="array" aca="1" ref="O26" ca="1">IFERROR(_xlfn.LET(_xlpm.Lst,_xlfn.MAP(Team_Members,_xlfn.LAMBDA(_xlpm.x,IFERROR(_xlfn.XLOOKUP($A26,INDIRECT("'"&amp;_xlpm.x&amp;"'!$B$14:$B$150"),INDIRECT("'"&amp;_xlpm.x&amp;"'!$D$14:$D$150")),""))),_xlpm.F_Lst,_xlfn._xlws.FILTER(_xlpm.Lst,_xlpm.Lst&lt;&gt;""),IF(COUNTA(_xlfn.UNIQUE(_xlpm.F_Lst))=1,INDEX(_xlpm.F_Lst,1),"WIP")),"")</f>
        <v/>
      </c>
      <c r="P26" s="137"/>
      <c r="Q26" s="137"/>
      <c r="R26" s="58" t="str" cm="1">
        <f t="array" aca="1" ref="R26" ca="1">IF($M26="","",_xlfn.LET(_xlpm.min,MIN(_xlfn.MAP(_xlfn.TEXTSPLIT($M26,","),_xlfn.LAMBDA(_xlpm.ref,IFERROR(INDEX(INDIRECT("'"&amp;_xlpm.ref&amp;"'!$AE$5:$OE$5"),MATCH(TRUE,INDEX(INDIRECT("'" &amp; _xlpm.ref &amp; "'!$AE$" &amp; (ROW(INDIRECT("'"&amp;_xlpm.ref&amp;"'!$B$14"))-1 + MATCH($A26, INDIRECT("'" &amp; _xlpm.ref &amp; "'!$B$14:$B$150"), 0)) &amp; ":$OE$" &amp; (ROW(INDIRECT("'"&amp;_xlpm.ref&amp;"'!$B$14"))-1 + MATCH($A26, INDIRECT("'" &amp; _xlpm.ref &amp; "'!$B$14:$B$150"), 0)))&lt;&gt;"",0),0)),"")))),IF(_xlpm.min=0,"",_xlpm.min)))</f>
        <v/>
      </c>
      <c r="S26" s="4" t="str" cm="1">
        <f t="array" aca="1" ref="S26" ca="1">IF($M26="","",SUM(_xlfn.MAP(_xlfn.TEXTSPLIT($M26,","),_xlfn.LAMBDA(_xlpm.ref,_xlfn.XLOOKUP($A26,INDIRECT("'"&amp;_xlpm.ref&amp;"'!$B$14:$B$150"),INDIRECT("'"&amp;_xlpm.ref&amp;"'!$E$14:$E$150"),0)))))</f>
        <v/>
      </c>
      <c r="T26" s="4" t="str" cm="1">
        <f t="array" aca="1" ref="T26" ca="1">IF($M26="","",SUM(_xlfn.MAP(_xlfn.TEXTSPLIT($M26,","),_xlfn.LAMBDA(_xlpm.ref,_xlfn.XLOOKUP($A26,INDIRECT("'"&amp;_xlpm.ref&amp;"'!$B$14:$B$150"),INDIRECT("'"&amp;_xlpm.ref&amp;"'!$F$14:$F$150"),0)))))</f>
        <v/>
      </c>
      <c r="U26" s="61" t="str" cm="1">
        <f t="array" aca="1" ref="U26" ca="1">IF($O26="Completed",MAX(IFERROR(_xlfn.MAP(_xlfn.TEXTSPLIT($M26, ","),_xlfn.LAMBDA(_xlpm.ref,INDEX(INDIRECT("'" &amp; _xlpm.ref &amp; "'!AE5:OE5"),1,LOOKUP(2,1 / (INDIRECT("'" &amp; _xlpm.ref &amp; "'!AE"&amp;(ROW(INDIRECT("'"&amp;_xlpm.ref&amp;"'!$B$14"))-1 + MATCH($A26, INDIRECT("'" &amp; _xlpm.ref &amp; "'!$B$14:$B$150"), 0)) &amp;":OE"&amp;(ROW(INDIRECT("'"&amp;_xlpm.ref&amp;"'!$B$14"))-1 + MATCH($A26, INDIRECT("'" &amp; _xlpm.ref &amp; "'!$B$14:$B$150"), 0)) ) &lt;&gt; ""),COLUMN($AD$14:$OD$14) - COLUMN($AD$14) + 1 )))),"")),"")</f>
        <v/>
      </c>
      <c r="V26" s="167" t="str">
        <f t="shared" ca="1" si="0"/>
        <v/>
      </c>
      <c r="W26" s="191"/>
      <c r="X26" s="26"/>
      <c r="Y26" s="26"/>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row>
    <row r="27" spans="1:104" s="55" customFormat="1">
      <c r="A27" s="138"/>
      <c r="B27" s="135"/>
      <c r="C27" s="136"/>
      <c r="D27" s="136"/>
      <c r="E27" s="135"/>
      <c r="F27" s="135"/>
      <c r="G27" s="135"/>
      <c r="H27" s="135"/>
      <c r="I27" s="135"/>
      <c r="J27" s="135"/>
      <c r="K27" s="135"/>
      <c r="L27" s="135"/>
      <c r="M27" s="56" t="str" cm="1">
        <f t="array" aca="1" ref="M27" ca="1">IF($A27="","",_xlfn.TEXTJOIN(",",TRUE,_xlfn.MAP(_xlfn._xlws.FILTER(Team_Members,Team_Members&lt;&gt;""),_xlfn.LAMBDA(_xlpm.x,IFERROR(IF(_xlfn.XMATCH($A27,INDIRECT("'"&amp;_xlpm.x&amp;"'!$B$14:$B$150"))&gt;0,_xlpm.x),"")))))</f>
        <v/>
      </c>
      <c r="N27" s="135"/>
      <c r="O27" s="4" t="str" cm="1">
        <f t="array" aca="1" ref="O27" ca="1">IFERROR(_xlfn.LET(_xlpm.Lst,_xlfn.MAP(Team_Members,_xlfn.LAMBDA(_xlpm.x,IFERROR(_xlfn.XLOOKUP($A27,INDIRECT("'"&amp;_xlpm.x&amp;"'!$B$14:$B$150"),INDIRECT("'"&amp;_xlpm.x&amp;"'!$D$14:$D$150")),""))),_xlpm.F_Lst,_xlfn._xlws.FILTER(_xlpm.Lst,_xlpm.Lst&lt;&gt;""),IF(COUNTA(_xlfn.UNIQUE(_xlpm.F_Lst))=1,INDEX(_xlpm.F_Lst,1),"WIP")),"")</f>
        <v/>
      </c>
      <c r="P27" s="137"/>
      <c r="Q27" s="137"/>
      <c r="R27" s="58" t="str" cm="1">
        <f t="array" aca="1" ref="R27" ca="1">IF($M27="","",_xlfn.LET(_xlpm.min,MIN(_xlfn.MAP(_xlfn.TEXTSPLIT($M27,","),_xlfn.LAMBDA(_xlpm.ref,IFERROR(INDEX(INDIRECT("'"&amp;_xlpm.ref&amp;"'!$AE$5:$OE$5"),MATCH(TRUE,INDEX(INDIRECT("'" &amp; _xlpm.ref &amp; "'!$AE$" &amp; (ROW(INDIRECT("'"&amp;_xlpm.ref&amp;"'!$B$14"))-1 + MATCH($A27, INDIRECT("'" &amp; _xlpm.ref &amp; "'!$B$14:$B$150"), 0)) &amp; ":$OE$" &amp; (ROW(INDIRECT("'"&amp;_xlpm.ref&amp;"'!$B$14"))-1 + MATCH($A27, INDIRECT("'" &amp; _xlpm.ref &amp; "'!$B$14:$B$150"), 0)))&lt;&gt;"",0),0)),"")))),IF(_xlpm.min=0,"",_xlpm.min)))</f>
        <v/>
      </c>
      <c r="S27" s="4" t="str" cm="1">
        <f t="array" aca="1" ref="S27" ca="1">IF($M27="","",SUM(_xlfn.MAP(_xlfn.TEXTSPLIT($M27,","),_xlfn.LAMBDA(_xlpm.ref,_xlfn.XLOOKUP($A27,INDIRECT("'"&amp;_xlpm.ref&amp;"'!$B$14:$B$150"),INDIRECT("'"&amp;_xlpm.ref&amp;"'!$E$14:$E$150"),0)))))</f>
        <v/>
      </c>
      <c r="T27" s="4" t="str" cm="1">
        <f t="array" aca="1" ref="T27" ca="1">IF($M27="","",SUM(_xlfn.MAP(_xlfn.TEXTSPLIT($M27,","),_xlfn.LAMBDA(_xlpm.ref,_xlfn.XLOOKUP($A27,INDIRECT("'"&amp;_xlpm.ref&amp;"'!$B$14:$B$150"),INDIRECT("'"&amp;_xlpm.ref&amp;"'!$F$14:$F$150"),0)))))</f>
        <v/>
      </c>
      <c r="U27" s="61" t="str" cm="1">
        <f t="array" aca="1" ref="U27" ca="1">IF($O27="Completed",MAX(IFERROR(_xlfn.MAP(_xlfn.TEXTSPLIT($M27, ","),_xlfn.LAMBDA(_xlpm.ref,INDEX(INDIRECT("'" &amp; _xlpm.ref &amp; "'!AE5:OE5"),1,LOOKUP(2,1 / (INDIRECT("'" &amp; _xlpm.ref &amp; "'!AE"&amp;(ROW(INDIRECT("'"&amp;_xlpm.ref&amp;"'!$B$14"))-1 + MATCH($A27, INDIRECT("'" &amp; _xlpm.ref &amp; "'!$B$14:$B$150"), 0)) &amp;":OE"&amp;(ROW(INDIRECT("'"&amp;_xlpm.ref&amp;"'!$B$14"))-1 + MATCH($A27, INDIRECT("'" &amp; _xlpm.ref &amp; "'!$B$14:$B$150"), 0)) ) &lt;&gt; ""),COLUMN($AD$14:$OD$14) - COLUMN($AD$14) + 1 )))),"")),"")</f>
        <v/>
      </c>
      <c r="V27" s="167" t="str">
        <f t="shared" ca="1" si="0"/>
        <v/>
      </c>
      <c r="W27" s="191"/>
      <c r="X27" s="26"/>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row>
    <row r="28" spans="1:104" s="55" customFormat="1">
      <c r="A28" s="138"/>
      <c r="B28" s="135"/>
      <c r="C28" s="136"/>
      <c r="D28" s="136"/>
      <c r="E28" s="135"/>
      <c r="F28" s="135"/>
      <c r="G28" s="135"/>
      <c r="H28" s="135"/>
      <c r="I28" s="135"/>
      <c r="J28" s="135"/>
      <c r="K28" s="135"/>
      <c r="L28" s="135"/>
      <c r="M28" s="56" t="str" cm="1">
        <f t="array" aca="1" ref="M28" ca="1">IF($A28="","",_xlfn.TEXTJOIN(",",TRUE,_xlfn.MAP(_xlfn._xlws.FILTER(Team_Members,Team_Members&lt;&gt;""),_xlfn.LAMBDA(_xlpm.x,IFERROR(IF(_xlfn.XMATCH($A28,INDIRECT("'"&amp;_xlpm.x&amp;"'!$B$14:$B$150"))&gt;0,_xlpm.x),"")))))</f>
        <v/>
      </c>
      <c r="N28" s="135"/>
      <c r="O28" s="4" t="str" cm="1">
        <f t="array" aca="1" ref="O28" ca="1">IFERROR(_xlfn.LET(_xlpm.Lst,_xlfn.MAP(Team_Members,_xlfn.LAMBDA(_xlpm.x,IFERROR(_xlfn.XLOOKUP($A28,INDIRECT("'"&amp;_xlpm.x&amp;"'!$B$14:$B$150"),INDIRECT("'"&amp;_xlpm.x&amp;"'!$D$14:$D$150")),""))),_xlpm.F_Lst,_xlfn._xlws.FILTER(_xlpm.Lst,_xlpm.Lst&lt;&gt;""),IF(COUNTA(_xlfn.UNIQUE(_xlpm.F_Lst))=1,INDEX(_xlpm.F_Lst,1),"WIP")),"")</f>
        <v/>
      </c>
      <c r="P28" s="137"/>
      <c r="Q28" s="137"/>
      <c r="R28" s="58" t="str" cm="1">
        <f t="array" aca="1" ref="R28" ca="1">IF($M28="","",_xlfn.LET(_xlpm.min,MIN(_xlfn.MAP(_xlfn.TEXTSPLIT($M28,","),_xlfn.LAMBDA(_xlpm.ref,IFERROR(INDEX(INDIRECT("'"&amp;_xlpm.ref&amp;"'!$AE$5:$OE$5"),MATCH(TRUE,INDEX(INDIRECT("'" &amp; _xlpm.ref &amp; "'!$AE$" &amp; (ROW(INDIRECT("'"&amp;_xlpm.ref&amp;"'!$B$14"))-1 + MATCH($A28, INDIRECT("'" &amp; _xlpm.ref &amp; "'!$B$14:$B$150"), 0)) &amp; ":$OE$" &amp; (ROW(INDIRECT("'"&amp;_xlpm.ref&amp;"'!$B$14"))-1 + MATCH($A28, INDIRECT("'" &amp; _xlpm.ref &amp; "'!$B$14:$B$150"), 0)))&lt;&gt;"",0),0)),"")))),IF(_xlpm.min=0,"",_xlpm.min)))</f>
        <v/>
      </c>
      <c r="S28" s="4" t="str" cm="1">
        <f t="array" aca="1" ref="S28" ca="1">IF($M28="","",SUM(_xlfn.MAP(_xlfn.TEXTSPLIT($M28,","),_xlfn.LAMBDA(_xlpm.ref,_xlfn.XLOOKUP($A28,INDIRECT("'"&amp;_xlpm.ref&amp;"'!$B$14:$B$150"),INDIRECT("'"&amp;_xlpm.ref&amp;"'!$E$14:$E$150"),0)))))</f>
        <v/>
      </c>
      <c r="T28" s="4" t="str" cm="1">
        <f t="array" aca="1" ref="T28" ca="1">IF($M28="","",SUM(_xlfn.MAP(_xlfn.TEXTSPLIT($M28,","),_xlfn.LAMBDA(_xlpm.ref,_xlfn.XLOOKUP($A28,INDIRECT("'"&amp;_xlpm.ref&amp;"'!$B$14:$B$150"),INDIRECT("'"&amp;_xlpm.ref&amp;"'!$F$14:$F$150"),0)))))</f>
        <v/>
      </c>
      <c r="U28" s="61" t="str" cm="1">
        <f t="array" aca="1" ref="U28" ca="1">IF($O28="Completed",MAX(IFERROR(_xlfn.MAP(_xlfn.TEXTSPLIT($M28, ","),_xlfn.LAMBDA(_xlpm.ref,INDEX(INDIRECT("'" &amp; _xlpm.ref &amp; "'!AE5:OE5"),1,LOOKUP(2,1 / (INDIRECT("'" &amp; _xlpm.ref &amp; "'!AE"&amp;(ROW(INDIRECT("'"&amp;_xlpm.ref&amp;"'!$B$14"))-1 + MATCH($A28, INDIRECT("'" &amp; _xlpm.ref &amp; "'!$B$14:$B$150"), 0)) &amp;":OE"&amp;(ROW(INDIRECT("'"&amp;_xlpm.ref&amp;"'!$B$14"))-1 + MATCH($A28, INDIRECT("'" &amp; _xlpm.ref &amp; "'!$B$14:$B$150"), 0)) ) &lt;&gt; ""),COLUMN($AD$14:$OD$14) - COLUMN($AD$14) + 1 )))),"")),"")</f>
        <v/>
      </c>
      <c r="V28" s="167" t="str">
        <f t="shared" ca="1" si="0"/>
        <v/>
      </c>
      <c r="W28" s="191"/>
      <c r="X28" s="26"/>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row>
    <row r="29" spans="1:104" s="55" customFormat="1">
      <c r="A29" s="138"/>
      <c r="B29" s="135"/>
      <c r="C29" s="136"/>
      <c r="D29" s="136"/>
      <c r="E29" s="135"/>
      <c r="F29" s="135"/>
      <c r="G29" s="135"/>
      <c r="H29" s="135"/>
      <c r="I29" s="135"/>
      <c r="J29" s="135"/>
      <c r="K29" s="135"/>
      <c r="L29" s="135"/>
      <c r="M29" s="56" t="str" cm="1">
        <f t="array" aca="1" ref="M29" ca="1">IF($A29="","",_xlfn.TEXTJOIN(",",TRUE,_xlfn.MAP(_xlfn._xlws.FILTER(Team_Members,Team_Members&lt;&gt;""),_xlfn.LAMBDA(_xlpm.x,IFERROR(IF(_xlfn.XMATCH($A29,INDIRECT("'"&amp;_xlpm.x&amp;"'!$B$14:$B$150"))&gt;0,_xlpm.x),"")))))</f>
        <v/>
      </c>
      <c r="N29" s="135"/>
      <c r="O29" s="4" t="str" cm="1">
        <f t="array" aca="1" ref="O29" ca="1">IFERROR(_xlfn.LET(_xlpm.Lst,_xlfn.MAP(Team_Members,_xlfn.LAMBDA(_xlpm.x,IFERROR(_xlfn.XLOOKUP($A29,INDIRECT("'"&amp;_xlpm.x&amp;"'!$B$14:$B$150"),INDIRECT("'"&amp;_xlpm.x&amp;"'!$D$14:$D$150")),""))),_xlpm.F_Lst,_xlfn._xlws.FILTER(_xlpm.Lst,_xlpm.Lst&lt;&gt;""),IF(COUNTA(_xlfn.UNIQUE(_xlpm.F_Lst))=1,INDEX(_xlpm.F_Lst,1),"WIP")),"")</f>
        <v/>
      </c>
      <c r="P29" s="137"/>
      <c r="Q29" s="137"/>
      <c r="R29" s="58" t="str" cm="1">
        <f t="array" aca="1" ref="R29" ca="1">IF($M29="","",_xlfn.LET(_xlpm.min,MIN(_xlfn.MAP(_xlfn.TEXTSPLIT($M29,","),_xlfn.LAMBDA(_xlpm.ref,IFERROR(INDEX(INDIRECT("'"&amp;_xlpm.ref&amp;"'!$AE$5:$OE$5"),MATCH(TRUE,INDEX(INDIRECT("'" &amp; _xlpm.ref &amp; "'!$AE$" &amp; (ROW(INDIRECT("'"&amp;_xlpm.ref&amp;"'!$B$14"))-1 + MATCH($A29, INDIRECT("'" &amp; _xlpm.ref &amp; "'!$B$14:$B$150"), 0)) &amp; ":$OE$" &amp; (ROW(INDIRECT("'"&amp;_xlpm.ref&amp;"'!$B$14"))-1 + MATCH($A29, INDIRECT("'" &amp; _xlpm.ref &amp; "'!$B$14:$B$150"), 0)))&lt;&gt;"",0),0)),"")))),IF(_xlpm.min=0,"",_xlpm.min)))</f>
        <v/>
      </c>
      <c r="S29" s="4" t="str" cm="1">
        <f t="array" aca="1" ref="S29" ca="1">IF($M29="","",SUM(_xlfn.MAP(_xlfn.TEXTSPLIT($M29,","),_xlfn.LAMBDA(_xlpm.ref,_xlfn.XLOOKUP($A29,INDIRECT("'"&amp;_xlpm.ref&amp;"'!$B$14:$B$150"),INDIRECT("'"&amp;_xlpm.ref&amp;"'!$E$14:$E$150"),0)))))</f>
        <v/>
      </c>
      <c r="T29" s="4" t="str" cm="1">
        <f t="array" aca="1" ref="T29" ca="1">IF($M29="","",SUM(_xlfn.MAP(_xlfn.TEXTSPLIT($M29,","),_xlfn.LAMBDA(_xlpm.ref,_xlfn.XLOOKUP($A29,INDIRECT("'"&amp;_xlpm.ref&amp;"'!$B$14:$B$150"),INDIRECT("'"&amp;_xlpm.ref&amp;"'!$F$14:$F$150"),0)))))</f>
        <v/>
      </c>
      <c r="U29" s="61" t="str" cm="1">
        <f t="array" aca="1" ref="U29" ca="1">IF($O29="Completed",MAX(IFERROR(_xlfn.MAP(_xlfn.TEXTSPLIT($M29, ","),_xlfn.LAMBDA(_xlpm.ref,INDEX(INDIRECT("'" &amp; _xlpm.ref &amp; "'!AE5:OE5"),1,LOOKUP(2,1 / (INDIRECT("'" &amp; _xlpm.ref &amp; "'!AE"&amp;(ROW(INDIRECT("'"&amp;_xlpm.ref&amp;"'!$B$14"))-1 + MATCH($A29, INDIRECT("'" &amp; _xlpm.ref &amp; "'!$B$14:$B$150"), 0)) &amp;":OE"&amp;(ROW(INDIRECT("'"&amp;_xlpm.ref&amp;"'!$B$14"))-1 + MATCH($A29, INDIRECT("'" &amp; _xlpm.ref &amp; "'!$B$14:$B$150"), 0)) ) &lt;&gt; ""),COLUMN($AD$14:$OD$14) - COLUMN($AD$14) + 1 )))),"")),"")</f>
        <v/>
      </c>
      <c r="V29" s="167" t="str">
        <f t="shared" ca="1" si="0"/>
        <v/>
      </c>
      <c r="W29" s="191"/>
      <c r="X29" s="26"/>
      <c r="Y29" s="26"/>
      <c r="Z29" s="26"/>
      <c r="AA29" s="26"/>
      <c r="AB29" s="26"/>
      <c r="AC29" s="26"/>
      <c r="AD29" s="26"/>
      <c r="AE29" s="26"/>
      <c r="AF29" s="26"/>
      <c r="AG29" s="26"/>
      <c r="AH29" s="26"/>
      <c r="AI29" s="2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row>
    <row r="30" spans="1:104" s="55" customFormat="1">
      <c r="A30" s="138"/>
      <c r="B30" s="135"/>
      <c r="C30" s="136"/>
      <c r="D30" s="136"/>
      <c r="E30" s="135"/>
      <c r="F30" s="135"/>
      <c r="G30" s="135"/>
      <c r="H30" s="135"/>
      <c r="I30" s="135"/>
      <c r="J30" s="135"/>
      <c r="K30" s="135"/>
      <c r="L30" s="135"/>
      <c r="M30" s="56" t="str" cm="1">
        <f t="array" aca="1" ref="M30" ca="1">IF($A30="","",_xlfn.TEXTJOIN(",",TRUE,_xlfn.MAP(_xlfn._xlws.FILTER(Team_Members,Team_Members&lt;&gt;""),_xlfn.LAMBDA(_xlpm.x,IFERROR(IF(_xlfn.XMATCH($A30,INDIRECT("'"&amp;_xlpm.x&amp;"'!$B$14:$B$150"))&gt;0,_xlpm.x),"")))))</f>
        <v/>
      </c>
      <c r="N30" s="135"/>
      <c r="O30" s="4" t="str" cm="1">
        <f t="array" aca="1" ref="O30" ca="1">IFERROR(_xlfn.LET(_xlpm.Lst,_xlfn.MAP(Team_Members,_xlfn.LAMBDA(_xlpm.x,IFERROR(_xlfn.XLOOKUP($A30,INDIRECT("'"&amp;_xlpm.x&amp;"'!$B$14:$B$150"),INDIRECT("'"&amp;_xlpm.x&amp;"'!$D$14:$D$150")),""))),_xlpm.F_Lst,_xlfn._xlws.FILTER(_xlpm.Lst,_xlpm.Lst&lt;&gt;""),IF(COUNTA(_xlfn.UNIQUE(_xlpm.F_Lst))=1,INDEX(_xlpm.F_Lst,1),"WIP")),"")</f>
        <v/>
      </c>
      <c r="P30" s="137"/>
      <c r="Q30" s="137"/>
      <c r="R30" s="58" t="str" cm="1">
        <f t="array" aca="1" ref="R30" ca="1">IF($M30="","",_xlfn.LET(_xlpm.min,MIN(_xlfn.MAP(_xlfn.TEXTSPLIT($M30,","),_xlfn.LAMBDA(_xlpm.ref,IFERROR(INDEX(INDIRECT("'"&amp;_xlpm.ref&amp;"'!$AE$5:$OE$5"),MATCH(TRUE,INDEX(INDIRECT("'" &amp; _xlpm.ref &amp; "'!$AE$" &amp; (ROW(INDIRECT("'"&amp;_xlpm.ref&amp;"'!$B$14"))-1 + MATCH($A30, INDIRECT("'" &amp; _xlpm.ref &amp; "'!$B$14:$B$150"), 0)) &amp; ":$OE$" &amp; (ROW(INDIRECT("'"&amp;_xlpm.ref&amp;"'!$B$14"))-1 + MATCH($A30, INDIRECT("'" &amp; _xlpm.ref &amp; "'!$B$14:$B$150"), 0)))&lt;&gt;"",0),0)),"")))),IF(_xlpm.min=0,"",_xlpm.min)))</f>
        <v/>
      </c>
      <c r="S30" s="4" t="str" cm="1">
        <f t="array" aca="1" ref="S30" ca="1">IF($M30="","",SUM(_xlfn.MAP(_xlfn.TEXTSPLIT($M30,","),_xlfn.LAMBDA(_xlpm.ref,_xlfn.XLOOKUP($A30,INDIRECT("'"&amp;_xlpm.ref&amp;"'!$B$14:$B$150"),INDIRECT("'"&amp;_xlpm.ref&amp;"'!$E$14:$E$150"),0)))))</f>
        <v/>
      </c>
      <c r="T30" s="4" t="str" cm="1">
        <f t="array" aca="1" ref="T30" ca="1">IF($M30="","",SUM(_xlfn.MAP(_xlfn.TEXTSPLIT($M30,","),_xlfn.LAMBDA(_xlpm.ref,_xlfn.XLOOKUP($A30,INDIRECT("'"&amp;_xlpm.ref&amp;"'!$B$14:$B$150"),INDIRECT("'"&amp;_xlpm.ref&amp;"'!$F$14:$F$150"),0)))))</f>
        <v/>
      </c>
      <c r="U30" s="61" t="str" cm="1">
        <f t="array" aca="1" ref="U30" ca="1">IF($O30="Completed",MAX(IFERROR(_xlfn.MAP(_xlfn.TEXTSPLIT($M30, ","),_xlfn.LAMBDA(_xlpm.ref,INDEX(INDIRECT("'" &amp; _xlpm.ref &amp; "'!AE5:OE5"),1,LOOKUP(2,1 / (INDIRECT("'" &amp; _xlpm.ref &amp; "'!AE"&amp;(ROW(INDIRECT("'"&amp;_xlpm.ref&amp;"'!$B$14"))-1 + MATCH($A30, INDIRECT("'" &amp; _xlpm.ref &amp; "'!$B$14:$B$150"), 0)) &amp;":OE"&amp;(ROW(INDIRECT("'"&amp;_xlpm.ref&amp;"'!$B$14"))-1 + MATCH($A30, INDIRECT("'" &amp; _xlpm.ref &amp; "'!$B$14:$B$150"), 0)) ) &lt;&gt; ""),COLUMN($AD$14:$OD$14) - COLUMN($AD$14) + 1 )))),"")),"")</f>
        <v/>
      </c>
      <c r="V30" s="167" t="str">
        <f t="shared" ca="1" si="0"/>
        <v/>
      </c>
      <c r="W30" s="191"/>
      <c r="X30" s="26"/>
      <c r="Y30" s="26"/>
      <c r="Z30" s="26"/>
      <c r="AA30" s="26"/>
      <c r="AB30" s="26"/>
      <c r="AC30" s="26"/>
      <c r="AD30" s="26"/>
      <c r="AE30" s="26"/>
      <c r="AF30" s="26"/>
      <c r="AG30" s="26"/>
      <c r="AH30" s="26"/>
      <c r="AI30" s="2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row>
    <row r="31" spans="1:104" s="55" customFormat="1">
      <c r="A31" s="138"/>
      <c r="B31" s="135"/>
      <c r="C31" s="136"/>
      <c r="D31" s="136"/>
      <c r="E31" s="135"/>
      <c r="F31" s="135"/>
      <c r="G31" s="135"/>
      <c r="H31" s="135"/>
      <c r="I31" s="135"/>
      <c r="J31" s="135"/>
      <c r="K31" s="135"/>
      <c r="L31" s="135"/>
      <c r="M31" s="56" t="str" cm="1">
        <f t="array" aca="1" ref="M31" ca="1">IF($A31="","",_xlfn.TEXTJOIN(",",TRUE,_xlfn.MAP(_xlfn._xlws.FILTER(Team_Members,Team_Members&lt;&gt;""),_xlfn.LAMBDA(_xlpm.x,IFERROR(IF(_xlfn.XMATCH($A31,INDIRECT("'"&amp;_xlpm.x&amp;"'!$B$14:$B$150"))&gt;0,_xlpm.x),"")))))</f>
        <v/>
      </c>
      <c r="N31" s="135"/>
      <c r="O31" s="4" t="str" cm="1">
        <f t="array" aca="1" ref="O31" ca="1">IFERROR(_xlfn.LET(_xlpm.Lst,_xlfn.MAP(Team_Members,_xlfn.LAMBDA(_xlpm.x,IFERROR(_xlfn.XLOOKUP($A31,INDIRECT("'"&amp;_xlpm.x&amp;"'!$B$14:$B$150"),INDIRECT("'"&amp;_xlpm.x&amp;"'!$D$14:$D$150")),""))),_xlpm.F_Lst,_xlfn._xlws.FILTER(_xlpm.Lst,_xlpm.Lst&lt;&gt;""),IF(COUNTA(_xlfn.UNIQUE(_xlpm.F_Lst))=1,INDEX(_xlpm.F_Lst,1),"WIP")),"")</f>
        <v/>
      </c>
      <c r="P31" s="137"/>
      <c r="Q31" s="137"/>
      <c r="R31" s="58" t="str" cm="1">
        <f t="array" aca="1" ref="R31" ca="1">IF($M31="","",_xlfn.LET(_xlpm.min,MIN(_xlfn.MAP(_xlfn.TEXTSPLIT($M31,","),_xlfn.LAMBDA(_xlpm.ref,IFERROR(INDEX(INDIRECT("'"&amp;_xlpm.ref&amp;"'!$AE$5:$OE$5"),MATCH(TRUE,INDEX(INDIRECT("'" &amp; _xlpm.ref &amp; "'!$AE$" &amp; (ROW(INDIRECT("'"&amp;_xlpm.ref&amp;"'!$B$14"))-1 + MATCH($A31, INDIRECT("'" &amp; _xlpm.ref &amp; "'!$B$14:$B$150"), 0)) &amp; ":$OE$" &amp; (ROW(INDIRECT("'"&amp;_xlpm.ref&amp;"'!$B$14"))-1 + MATCH($A31, INDIRECT("'" &amp; _xlpm.ref &amp; "'!$B$14:$B$150"), 0)))&lt;&gt;"",0),0)),"")))),IF(_xlpm.min=0,"",_xlpm.min)))</f>
        <v/>
      </c>
      <c r="S31" s="4" t="str" cm="1">
        <f t="array" aca="1" ref="S31" ca="1">IF($M31="","",SUM(_xlfn.MAP(_xlfn.TEXTSPLIT($M31,","),_xlfn.LAMBDA(_xlpm.ref,_xlfn.XLOOKUP($A31,INDIRECT("'"&amp;_xlpm.ref&amp;"'!$B$14:$B$150"),INDIRECT("'"&amp;_xlpm.ref&amp;"'!$E$14:$E$150"),0)))))</f>
        <v/>
      </c>
      <c r="T31" s="4" t="str" cm="1">
        <f t="array" aca="1" ref="T31" ca="1">IF($M31="","",SUM(_xlfn.MAP(_xlfn.TEXTSPLIT($M31,","),_xlfn.LAMBDA(_xlpm.ref,_xlfn.XLOOKUP($A31,INDIRECT("'"&amp;_xlpm.ref&amp;"'!$B$14:$B$150"),INDIRECT("'"&amp;_xlpm.ref&amp;"'!$F$14:$F$150"),0)))))</f>
        <v/>
      </c>
      <c r="U31" s="61" t="str" cm="1">
        <f t="array" aca="1" ref="U31" ca="1">IF($O31="Completed",MAX(IFERROR(_xlfn.MAP(_xlfn.TEXTSPLIT($M31, ","),_xlfn.LAMBDA(_xlpm.ref,INDEX(INDIRECT("'" &amp; _xlpm.ref &amp; "'!AE5:OE5"),1,LOOKUP(2,1 / (INDIRECT("'" &amp; _xlpm.ref &amp; "'!AE"&amp;(ROW(INDIRECT("'"&amp;_xlpm.ref&amp;"'!$B$14"))-1 + MATCH($A31, INDIRECT("'" &amp; _xlpm.ref &amp; "'!$B$14:$B$150"), 0)) &amp;":OE"&amp;(ROW(INDIRECT("'"&amp;_xlpm.ref&amp;"'!$B$14"))-1 + MATCH($A31, INDIRECT("'" &amp; _xlpm.ref &amp; "'!$B$14:$B$150"), 0)) ) &lt;&gt; ""),COLUMN($AD$14:$OD$14) - COLUMN($AD$14) + 1 )))),"")),"")</f>
        <v/>
      </c>
      <c r="V31" s="167" t="str">
        <f t="shared" ca="1" si="0"/>
        <v/>
      </c>
      <c r="W31" s="191"/>
      <c r="X31" s="26"/>
      <c r="Y31" s="26"/>
      <c r="Z31" s="26"/>
      <c r="AA31" s="26"/>
      <c r="AB31" s="26"/>
      <c r="AC31" s="26"/>
      <c r="AD31" s="26"/>
      <c r="AE31" s="26"/>
      <c r="AF31" s="26"/>
      <c r="AG31" s="26"/>
      <c r="AH31" s="26"/>
      <c r="AI31" s="2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row>
    <row r="32" spans="1:104" s="55" customFormat="1">
      <c r="A32" s="138"/>
      <c r="B32" s="135"/>
      <c r="C32" s="136"/>
      <c r="D32" s="136"/>
      <c r="E32" s="135"/>
      <c r="F32" s="135"/>
      <c r="G32" s="135"/>
      <c r="H32" s="135"/>
      <c r="I32" s="135"/>
      <c r="J32" s="135"/>
      <c r="K32" s="135"/>
      <c r="L32" s="135"/>
      <c r="M32" s="56" t="str" cm="1">
        <f t="array" aca="1" ref="M32" ca="1">IF($A32="","",_xlfn.TEXTJOIN(",",TRUE,_xlfn.MAP(_xlfn._xlws.FILTER(Team_Members,Team_Members&lt;&gt;""),_xlfn.LAMBDA(_xlpm.x,IFERROR(IF(_xlfn.XMATCH($A32,INDIRECT("'"&amp;_xlpm.x&amp;"'!$B$14:$B$150"))&gt;0,_xlpm.x),"")))))</f>
        <v/>
      </c>
      <c r="N32" s="135"/>
      <c r="O32" s="4" t="str" cm="1">
        <f t="array" aca="1" ref="O32" ca="1">IFERROR(_xlfn.LET(_xlpm.Lst,_xlfn.MAP(Team_Members,_xlfn.LAMBDA(_xlpm.x,IFERROR(_xlfn.XLOOKUP($A32,INDIRECT("'"&amp;_xlpm.x&amp;"'!$B$14:$B$150"),INDIRECT("'"&amp;_xlpm.x&amp;"'!$D$14:$D$150")),""))),_xlpm.F_Lst,_xlfn._xlws.FILTER(_xlpm.Lst,_xlpm.Lst&lt;&gt;""),IF(COUNTA(_xlfn.UNIQUE(_xlpm.F_Lst))=1,INDEX(_xlpm.F_Lst,1),"WIP")),"")</f>
        <v/>
      </c>
      <c r="P32" s="137"/>
      <c r="Q32" s="137"/>
      <c r="R32" s="58" t="str" cm="1">
        <f t="array" aca="1" ref="R32" ca="1">IF($M32="","",_xlfn.LET(_xlpm.min,MIN(_xlfn.MAP(_xlfn.TEXTSPLIT($M32,","),_xlfn.LAMBDA(_xlpm.ref,IFERROR(INDEX(INDIRECT("'"&amp;_xlpm.ref&amp;"'!$AE$5:$OE$5"),MATCH(TRUE,INDEX(INDIRECT("'" &amp; _xlpm.ref &amp; "'!$AE$" &amp; (ROW(INDIRECT("'"&amp;_xlpm.ref&amp;"'!$B$14"))-1 + MATCH($A32, INDIRECT("'" &amp; _xlpm.ref &amp; "'!$B$14:$B$150"), 0)) &amp; ":$OE$" &amp; (ROW(INDIRECT("'"&amp;_xlpm.ref&amp;"'!$B$14"))-1 + MATCH($A32, INDIRECT("'" &amp; _xlpm.ref &amp; "'!$B$14:$B$150"), 0)))&lt;&gt;"",0),0)),"")))),IF(_xlpm.min=0,"",_xlpm.min)))</f>
        <v/>
      </c>
      <c r="S32" s="4" t="str" cm="1">
        <f t="array" aca="1" ref="S32" ca="1">IF($M32="","",SUM(_xlfn.MAP(_xlfn.TEXTSPLIT($M32,","),_xlfn.LAMBDA(_xlpm.ref,_xlfn.XLOOKUP($A32,INDIRECT("'"&amp;_xlpm.ref&amp;"'!$B$14:$B$150"),INDIRECT("'"&amp;_xlpm.ref&amp;"'!$E$14:$E$150"),0)))))</f>
        <v/>
      </c>
      <c r="T32" s="4" t="str" cm="1">
        <f t="array" aca="1" ref="T32" ca="1">IF($M32="","",SUM(_xlfn.MAP(_xlfn.TEXTSPLIT($M32,","),_xlfn.LAMBDA(_xlpm.ref,_xlfn.XLOOKUP($A32,INDIRECT("'"&amp;_xlpm.ref&amp;"'!$B$14:$B$150"),INDIRECT("'"&amp;_xlpm.ref&amp;"'!$F$14:$F$150"),0)))))</f>
        <v/>
      </c>
      <c r="U32" s="61" t="str" cm="1">
        <f t="array" aca="1" ref="U32" ca="1">IF($O32="Completed",MAX(IFERROR(_xlfn.MAP(_xlfn.TEXTSPLIT($M32, ","),_xlfn.LAMBDA(_xlpm.ref,INDEX(INDIRECT("'" &amp; _xlpm.ref &amp; "'!AE5:OE5"),1,LOOKUP(2,1 / (INDIRECT("'" &amp; _xlpm.ref &amp; "'!AE"&amp;(ROW(INDIRECT("'"&amp;_xlpm.ref&amp;"'!$B$14"))-1 + MATCH($A32, INDIRECT("'" &amp; _xlpm.ref &amp; "'!$B$14:$B$150"), 0)) &amp;":OE"&amp;(ROW(INDIRECT("'"&amp;_xlpm.ref&amp;"'!$B$14"))-1 + MATCH($A32, INDIRECT("'" &amp; _xlpm.ref &amp; "'!$B$14:$B$150"), 0)) ) &lt;&gt; ""),COLUMN($AD$14:$OD$14) - COLUMN($AD$14) + 1 )))),"")),"")</f>
        <v/>
      </c>
      <c r="V32" s="167" t="str">
        <f t="shared" ca="1" si="0"/>
        <v/>
      </c>
      <c r="W32" s="191"/>
      <c r="X32" s="26"/>
      <c r="Y32" s="26"/>
      <c r="Z32" s="26"/>
      <c r="AA32" s="26"/>
      <c r="AB32" s="26"/>
      <c r="AC32" s="26"/>
      <c r="AD32" s="26"/>
      <c r="AE32" s="26"/>
      <c r="AF32" s="26"/>
      <c r="AG32" s="26"/>
      <c r="AH32" s="26"/>
      <c r="AI32" s="2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row>
    <row r="33" spans="1:104" s="55" customFormat="1">
      <c r="A33" s="138"/>
      <c r="B33" s="135"/>
      <c r="C33" s="136"/>
      <c r="D33" s="136"/>
      <c r="E33" s="135"/>
      <c r="F33" s="135"/>
      <c r="G33" s="135"/>
      <c r="H33" s="135"/>
      <c r="I33" s="135"/>
      <c r="J33" s="135"/>
      <c r="K33" s="135"/>
      <c r="L33" s="135"/>
      <c r="M33" s="56" t="str" cm="1">
        <f t="array" aca="1" ref="M33" ca="1">IF($A33="","",_xlfn.TEXTJOIN(",",TRUE,_xlfn.MAP(_xlfn._xlws.FILTER(Team_Members,Team_Members&lt;&gt;""),_xlfn.LAMBDA(_xlpm.x,IFERROR(IF(_xlfn.XMATCH($A33,INDIRECT("'"&amp;_xlpm.x&amp;"'!$B$14:$B$150"))&gt;0,_xlpm.x),"")))))</f>
        <v/>
      </c>
      <c r="N33" s="135"/>
      <c r="O33" s="4" t="str" cm="1">
        <f t="array" aca="1" ref="O33" ca="1">IFERROR(_xlfn.LET(_xlpm.Lst,_xlfn.MAP(Team_Members,_xlfn.LAMBDA(_xlpm.x,IFERROR(_xlfn.XLOOKUP($A33,INDIRECT("'"&amp;_xlpm.x&amp;"'!$B$14:$B$150"),INDIRECT("'"&amp;_xlpm.x&amp;"'!$D$14:$D$150")),""))),_xlpm.F_Lst,_xlfn._xlws.FILTER(_xlpm.Lst,_xlpm.Lst&lt;&gt;""),IF(COUNTA(_xlfn.UNIQUE(_xlpm.F_Lst))=1,INDEX(_xlpm.F_Lst,1),"WIP")),"")</f>
        <v/>
      </c>
      <c r="P33" s="137"/>
      <c r="Q33" s="137"/>
      <c r="R33" s="58" t="str" cm="1">
        <f t="array" aca="1" ref="R33" ca="1">IF($M33="","",_xlfn.LET(_xlpm.min,MIN(_xlfn.MAP(_xlfn.TEXTSPLIT($M33,","),_xlfn.LAMBDA(_xlpm.ref,IFERROR(INDEX(INDIRECT("'"&amp;_xlpm.ref&amp;"'!$AE$5:$OE$5"),MATCH(TRUE,INDEX(INDIRECT("'" &amp; _xlpm.ref &amp; "'!$AE$" &amp; (ROW(INDIRECT("'"&amp;_xlpm.ref&amp;"'!$B$14"))-1 + MATCH($A33, INDIRECT("'" &amp; _xlpm.ref &amp; "'!$B$14:$B$150"), 0)) &amp; ":$OE$" &amp; (ROW(INDIRECT("'"&amp;_xlpm.ref&amp;"'!$B$14"))-1 + MATCH($A33, INDIRECT("'" &amp; _xlpm.ref &amp; "'!$B$14:$B$150"), 0)))&lt;&gt;"",0),0)),"")))),IF(_xlpm.min=0,"",_xlpm.min)))</f>
        <v/>
      </c>
      <c r="S33" s="4" t="str" cm="1">
        <f t="array" aca="1" ref="S33" ca="1">IF($M33="","",SUM(_xlfn.MAP(_xlfn.TEXTSPLIT($M33,","),_xlfn.LAMBDA(_xlpm.ref,_xlfn.XLOOKUP($A33,INDIRECT("'"&amp;_xlpm.ref&amp;"'!$B$14:$B$150"),INDIRECT("'"&amp;_xlpm.ref&amp;"'!$E$14:$E$150"),0)))))</f>
        <v/>
      </c>
      <c r="T33" s="4" t="str" cm="1">
        <f t="array" aca="1" ref="T33" ca="1">IF($M33="","",SUM(_xlfn.MAP(_xlfn.TEXTSPLIT($M33,","),_xlfn.LAMBDA(_xlpm.ref,_xlfn.XLOOKUP($A33,INDIRECT("'"&amp;_xlpm.ref&amp;"'!$B$14:$B$150"),INDIRECT("'"&amp;_xlpm.ref&amp;"'!$F$14:$F$150"),0)))))</f>
        <v/>
      </c>
      <c r="U33" s="61" t="str" cm="1">
        <f t="array" aca="1" ref="U33" ca="1">IF($O33="Completed",MAX(IFERROR(_xlfn.MAP(_xlfn.TEXTSPLIT($M33, ","),_xlfn.LAMBDA(_xlpm.ref,INDEX(INDIRECT("'" &amp; _xlpm.ref &amp; "'!AE5:OE5"),1,LOOKUP(2,1 / (INDIRECT("'" &amp; _xlpm.ref &amp; "'!AE"&amp;(ROW(INDIRECT("'"&amp;_xlpm.ref&amp;"'!$B$14"))-1 + MATCH($A33, INDIRECT("'" &amp; _xlpm.ref &amp; "'!$B$14:$B$150"), 0)) &amp;":OE"&amp;(ROW(INDIRECT("'"&amp;_xlpm.ref&amp;"'!$B$14"))-1 + MATCH($A33, INDIRECT("'" &amp; _xlpm.ref &amp; "'!$B$14:$B$150"), 0)) ) &lt;&gt; ""),COLUMN($AD$14:$OD$14) - COLUMN($AD$14) + 1 )))),"")),"")</f>
        <v/>
      </c>
      <c r="V33" s="167" t="str">
        <f t="shared" ca="1" si="0"/>
        <v/>
      </c>
      <c r="W33" s="191"/>
      <c r="X33" s="26"/>
      <c r="Y33" s="26"/>
      <c r="Z33" s="26"/>
      <c r="AA33" s="26"/>
      <c r="AB33" s="26"/>
      <c r="AC33" s="26"/>
      <c r="AD33" s="26"/>
      <c r="AE33" s="26"/>
      <c r="AF33" s="26"/>
      <c r="AG33" s="26"/>
      <c r="AH33" s="26"/>
      <c r="AI33" s="2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row>
    <row r="34" spans="1:104" s="55" customFormat="1">
      <c r="A34" s="138"/>
      <c r="B34" s="135"/>
      <c r="C34" s="136"/>
      <c r="D34" s="136"/>
      <c r="E34" s="135"/>
      <c r="F34" s="135"/>
      <c r="G34" s="135"/>
      <c r="H34" s="135"/>
      <c r="I34" s="135"/>
      <c r="J34" s="135"/>
      <c r="K34" s="135"/>
      <c r="L34" s="135"/>
      <c r="M34" s="56" t="str" cm="1">
        <f t="array" aca="1" ref="M34" ca="1">IF($A34="","",_xlfn.TEXTJOIN(",",TRUE,_xlfn.MAP(_xlfn._xlws.FILTER(Team_Members,Team_Members&lt;&gt;""),_xlfn.LAMBDA(_xlpm.x,IFERROR(IF(_xlfn.XMATCH($A34,INDIRECT("'"&amp;_xlpm.x&amp;"'!$B$14:$B$150"))&gt;0,_xlpm.x),"")))))</f>
        <v/>
      </c>
      <c r="N34" s="135"/>
      <c r="O34" s="4" t="str" cm="1">
        <f t="array" aca="1" ref="O34" ca="1">IFERROR(_xlfn.LET(_xlpm.Lst,_xlfn.MAP(Team_Members,_xlfn.LAMBDA(_xlpm.x,IFERROR(_xlfn.XLOOKUP($A34,INDIRECT("'"&amp;_xlpm.x&amp;"'!$B$14:$B$150"),INDIRECT("'"&amp;_xlpm.x&amp;"'!$D$14:$D$150")),""))),_xlpm.F_Lst,_xlfn._xlws.FILTER(_xlpm.Lst,_xlpm.Lst&lt;&gt;""),IF(COUNTA(_xlfn.UNIQUE(_xlpm.F_Lst))=1,INDEX(_xlpm.F_Lst,1),"WIP")),"")</f>
        <v/>
      </c>
      <c r="P34" s="137"/>
      <c r="Q34" s="137"/>
      <c r="R34" s="58" t="str" cm="1">
        <f t="array" aca="1" ref="R34" ca="1">IF($M34="","",_xlfn.LET(_xlpm.min,MIN(_xlfn.MAP(_xlfn.TEXTSPLIT($M34,","),_xlfn.LAMBDA(_xlpm.ref,IFERROR(INDEX(INDIRECT("'"&amp;_xlpm.ref&amp;"'!$AE$5:$OE$5"),MATCH(TRUE,INDEX(INDIRECT("'" &amp; _xlpm.ref &amp; "'!$AE$" &amp; (ROW(INDIRECT("'"&amp;_xlpm.ref&amp;"'!$B$14"))-1 + MATCH($A34, INDIRECT("'" &amp; _xlpm.ref &amp; "'!$B$14:$B$150"), 0)) &amp; ":$OE$" &amp; (ROW(INDIRECT("'"&amp;_xlpm.ref&amp;"'!$B$14"))-1 + MATCH($A34, INDIRECT("'" &amp; _xlpm.ref &amp; "'!$B$14:$B$150"), 0)))&lt;&gt;"",0),0)),"")))),IF(_xlpm.min=0,"",_xlpm.min)))</f>
        <v/>
      </c>
      <c r="S34" s="4" t="str" cm="1">
        <f t="array" aca="1" ref="S34" ca="1">IF($M34="","",SUM(_xlfn.MAP(_xlfn.TEXTSPLIT($M34,","),_xlfn.LAMBDA(_xlpm.ref,_xlfn.XLOOKUP($A34,INDIRECT("'"&amp;_xlpm.ref&amp;"'!$B$14:$B$150"),INDIRECT("'"&amp;_xlpm.ref&amp;"'!$E$14:$E$150"),0)))))</f>
        <v/>
      </c>
      <c r="T34" s="4" t="str" cm="1">
        <f t="array" aca="1" ref="T34" ca="1">IF($M34="","",SUM(_xlfn.MAP(_xlfn.TEXTSPLIT($M34,","),_xlfn.LAMBDA(_xlpm.ref,_xlfn.XLOOKUP($A34,INDIRECT("'"&amp;_xlpm.ref&amp;"'!$B$14:$B$150"),INDIRECT("'"&amp;_xlpm.ref&amp;"'!$F$14:$F$150"),0)))))</f>
        <v/>
      </c>
      <c r="U34" s="61" t="str" cm="1">
        <f t="array" aca="1" ref="U34" ca="1">IF($O34="Completed",MAX(IFERROR(_xlfn.MAP(_xlfn.TEXTSPLIT($M34, ","),_xlfn.LAMBDA(_xlpm.ref,INDEX(INDIRECT("'" &amp; _xlpm.ref &amp; "'!AE5:OE5"),1,LOOKUP(2,1 / (INDIRECT("'" &amp; _xlpm.ref &amp; "'!AE"&amp;(ROW(INDIRECT("'"&amp;_xlpm.ref&amp;"'!$B$14"))-1 + MATCH($A34, INDIRECT("'" &amp; _xlpm.ref &amp; "'!$B$14:$B$150"), 0)) &amp;":OE"&amp;(ROW(INDIRECT("'"&amp;_xlpm.ref&amp;"'!$B$14"))-1 + MATCH($A34, INDIRECT("'" &amp; _xlpm.ref &amp; "'!$B$14:$B$150"), 0)) ) &lt;&gt; ""),COLUMN($AD$14:$OD$14) - COLUMN($AD$14) + 1 )))),"")),"")</f>
        <v/>
      </c>
      <c r="V34" s="167" t="str">
        <f t="shared" ca="1" si="0"/>
        <v/>
      </c>
      <c r="W34" s="191"/>
      <c r="X34" s="26"/>
      <c r="Y34" s="26"/>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row>
    <row r="35" spans="1:104" s="55" customFormat="1">
      <c r="A35" s="138"/>
      <c r="B35" s="135"/>
      <c r="C35" s="136"/>
      <c r="D35" s="136"/>
      <c r="E35" s="135"/>
      <c r="F35" s="135"/>
      <c r="G35" s="135"/>
      <c r="H35" s="135"/>
      <c r="I35" s="135"/>
      <c r="J35" s="135"/>
      <c r="K35" s="135"/>
      <c r="L35" s="135"/>
      <c r="M35" s="56" t="str" cm="1">
        <f t="array" aca="1" ref="M35" ca="1">IF($A35="","",_xlfn.TEXTJOIN(",",TRUE,_xlfn.MAP(_xlfn._xlws.FILTER(Team_Members,Team_Members&lt;&gt;""),_xlfn.LAMBDA(_xlpm.x,IFERROR(IF(_xlfn.XMATCH($A35,INDIRECT("'"&amp;_xlpm.x&amp;"'!$B$14:$B$150"))&gt;0,_xlpm.x),"")))))</f>
        <v/>
      </c>
      <c r="N35" s="135"/>
      <c r="O35" s="4" t="str" cm="1">
        <f t="array" aca="1" ref="O35" ca="1">IFERROR(_xlfn.LET(_xlpm.Lst,_xlfn.MAP(Team_Members,_xlfn.LAMBDA(_xlpm.x,IFERROR(_xlfn.XLOOKUP($A35,INDIRECT("'"&amp;_xlpm.x&amp;"'!$B$14:$B$150"),INDIRECT("'"&amp;_xlpm.x&amp;"'!$D$14:$D$150")),""))),_xlpm.F_Lst,_xlfn._xlws.FILTER(_xlpm.Lst,_xlpm.Lst&lt;&gt;""),IF(COUNTA(_xlfn.UNIQUE(_xlpm.F_Lst))=1,INDEX(_xlpm.F_Lst,1),"WIP")),"")</f>
        <v/>
      </c>
      <c r="P35" s="137"/>
      <c r="Q35" s="137"/>
      <c r="R35" s="58" t="str" cm="1">
        <f t="array" aca="1" ref="R35" ca="1">IF($M35="","",_xlfn.LET(_xlpm.min,MIN(_xlfn.MAP(_xlfn.TEXTSPLIT($M35,","),_xlfn.LAMBDA(_xlpm.ref,IFERROR(INDEX(INDIRECT("'"&amp;_xlpm.ref&amp;"'!$AE$5:$OE$5"),MATCH(TRUE,INDEX(INDIRECT("'" &amp; _xlpm.ref &amp; "'!$AE$" &amp; (ROW(INDIRECT("'"&amp;_xlpm.ref&amp;"'!$B$14"))-1 + MATCH($A35, INDIRECT("'" &amp; _xlpm.ref &amp; "'!$B$14:$B$150"), 0)) &amp; ":$OE$" &amp; (ROW(INDIRECT("'"&amp;_xlpm.ref&amp;"'!$B$14"))-1 + MATCH($A35, INDIRECT("'" &amp; _xlpm.ref &amp; "'!$B$14:$B$150"), 0)))&lt;&gt;"",0),0)),"")))),IF(_xlpm.min=0,"",_xlpm.min)))</f>
        <v/>
      </c>
      <c r="S35" s="4" t="str" cm="1">
        <f t="array" aca="1" ref="S35" ca="1">IF($M35="","",SUM(_xlfn.MAP(_xlfn.TEXTSPLIT($M35,","),_xlfn.LAMBDA(_xlpm.ref,_xlfn.XLOOKUP($A35,INDIRECT("'"&amp;_xlpm.ref&amp;"'!$B$14:$B$150"),INDIRECT("'"&amp;_xlpm.ref&amp;"'!$E$14:$E$150"),0)))))</f>
        <v/>
      </c>
      <c r="T35" s="4" t="str" cm="1">
        <f t="array" aca="1" ref="T35" ca="1">IF($M35="","",SUM(_xlfn.MAP(_xlfn.TEXTSPLIT($M35,","),_xlfn.LAMBDA(_xlpm.ref,_xlfn.XLOOKUP($A35,INDIRECT("'"&amp;_xlpm.ref&amp;"'!$B$14:$B$150"),INDIRECT("'"&amp;_xlpm.ref&amp;"'!$F$14:$F$150"),0)))))</f>
        <v/>
      </c>
      <c r="U35" s="61" t="str" cm="1">
        <f t="array" aca="1" ref="U35" ca="1">IF($O35="Completed",MAX(IFERROR(_xlfn.MAP(_xlfn.TEXTSPLIT($M35, ","),_xlfn.LAMBDA(_xlpm.ref,INDEX(INDIRECT("'" &amp; _xlpm.ref &amp; "'!AE5:OE5"),1,LOOKUP(2,1 / (INDIRECT("'" &amp; _xlpm.ref &amp; "'!AE"&amp;(ROW(INDIRECT("'"&amp;_xlpm.ref&amp;"'!$B$14"))-1 + MATCH($A35, INDIRECT("'" &amp; _xlpm.ref &amp; "'!$B$14:$B$150"), 0)) &amp;":OE"&amp;(ROW(INDIRECT("'"&amp;_xlpm.ref&amp;"'!$B$14"))-1 + MATCH($A35, INDIRECT("'" &amp; _xlpm.ref &amp; "'!$B$14:$B$150"), 0)) ) &lt;&gt; ""),COLUMN($AD$14:$OD$14) - COLUMN($AD$14) + 1 )))),"")),"")</f>
        <v/>
      </c>
      <c r="V35" s="167" t="str">
        <f t="shared" ca="1" si="0"/>
        <v/>
      </c>
      <c r="W35" s="191"/>
      <c r="X35" s="26"/>
      <c r="Y35" s="26"/>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row>
    <row r="36" spans="1:104" s="55" customFormat="1">
      <c r="A36" s="138"/>
      <c r="B36" s="135"/>
      <c r="C36" s="136"/>
      <c r="D36" s="136"/>
      <c r="E36" s="135"/>
      <c r="F36" s="135"/>
      <c r="G36" s="135"/>
      <c r="H36" s="135"/>
      <c r="I36" s="135"/>
      <c r="J36" s="135"/>
      <c r="K36" s="135"/>
      <c r="L36" s="135"/>
      <c r="M36" s="56" t="str" cm="1">
        <f t="array" aca="1" ref="M36" ca="1">IF($A36="","",_xlfn.TEXTJOIN(",",TRUE,_xlfn.MAP(_xlfn._xlws.FILTER(Team_Members,Team_Members&lt;&gt;""),_xlfn.LAMBDA(_xlpm.x,IFERROR(IF(_xlfn.XMATCH($A36,INDIRECT("'"&amp;_xlpm.x&amp;"'!$B$14:$B$150"))&gt;0,_xlpm.x),"")))))</f>
        <v/>
      </c>
      <c r="N36" s="135"/>
      <c r="O36" s="4" t="str" cm="1">
        <f t="array" aca="1" ref="O36" ca="1">IFERROR(_xlfn.LET(_xlpm.Lst,_xlfn.MAP(Team_Members,_xlfn.LAMBDA(_xlpm.x,IFERROR(_xlfn.XLOOKUP($A36,INDIRECT("'"&amp;_xlpm.x&amp;"'!$B$14:$B$150"),INDIRECT("'"&amp;_xlpm.x&amp;"'!$D$14:$D$150")),""))),_xlpm.F_Lst,_xlfn._xlws.FILTER(_xlpm.Lst,_xlpm.Lst&lt;&gt;""),IF(COUNTA(_xlfn.UNIQUE(_xlpm.F_Lst))=1,INDEX(_xlpm.F_Lst,1),"WIP")),"")</f>
        <v/>
      </c>
      <c r="P36" s="137"/>
      <c r="Q36" s="137"/>
      <c r="R36" s="58" t="str" cm="1">
        <f t="array" aca="1" ref="R36" ca="1">IF($M36="","",_xlfn.LET(_xlpm.min,MIN(_xlfn.MAP(_xlfn.TEXTSPLIT($M36,","),_xlfn.LAMBDA(_xlpm.ref,IFERROR(INDEX(INDIRECT("'"&amp;_xlpm.ref&amp;"'!$AE$5:$OE$5"),MATCH(TRUE,INDEX(INDIRECT("'" &amp; _xlpm.ref &amp; "'!$AE$" &amp; (ROW(INDIRECT("'"&amp;_xlpm.ref&amp;"'!$B$14"))-1 + MATCH($A36, INDIRECT("'" &amp; _xlpm.ref &amp; "'!$B$14:$B$150"), 0)) &amp; ":$OE$" &amp; (ROW(INDIRECT("'"&amp;_xlpm.ref&amp;"'!$B$14"))-1 + MATCH($A36, INDIRECT("'" &amp; _xlpm.ref &amp; "'!$B$14:$B$150"), 0)))&lt;&gt;"",0),0)),"")))),IF(_xlpm.min=0,"",_xlpm.min)))</f>
        <v/>
      </c>
      <c r="S36" s="4" t="str" cm="1">
        <f t="array" aca="1" ref="S36" ca="1">IF($M36="","",SUM(_xlfn.MAP(_xlfn.TEXTSPLIT($M36,","),_xlfn.LAMBDA(_xlpm.ref,_xlfn.XLOOKUP($A36,INDIRECT("'"&amp;_xlpm.ref&amp;"'!$B$14:$B$150"),INDIRECT("'"&amp;_xlpm.ref&amp;"'!$E$14:$E$150"),0)))))</f>
        <v/>
      </c>
      <c r="T36" s="4" t="str" cm="1">
        <f t="array" aca="1" ref="T36" ca="1">IF($M36="","",SUM(_xlfn.MAP(_xlfn.TEXTSPLIT($M36,","),_xlfn.LAMBDA(_xlpm.ref,_xlfn.XLOOKUP($A36,INDIRECT("'"&amp;_xlpm.ref&amp;"'!$B$14:$B$150"),INDIRECT("'"&amp;_xlpm.ref&amp;"'!$F$14:$F$150"),0)))))</f>
        <v/>
      </c>
      <c r="U36" s="61" t="str" cm="1">
        <f t="array" aca="1" ref="U36" ca="1">IF($O36="Completed",MAX(IFERROR(_xlfn.MAP(_xlfn.TEXTSPLIT($M36, ","),_xlfn.LAMBDA(_xlpm.ref,INDEX(INDIRECT("'" &amp; _xlpm.ref &amp; "'!AE5:OE5"),1,LOOKUP(2,1 / (INDIRECT("'" &amp; _xlpm.ref &amp; "'!AE"&amp;(ROW(INDIRECT("'"&amp;_xlpm.ref&amp;"'!$B$14"))-1 + MATCH($A36, INDIRECT("'" &amp; _xlpm.ref &amp; "'!$B$14:$B$150"), 0)) &amp;":OE"&amp;(ROW(INDIRECT("'"&amp;_xlpm.ref&amp;"'!$B$14"))-1 + MATCH($A36, INDIRECT("'" &amp; _xlpm.ref &amp; "'!$B$14:$B$150"), 0)) ) &lt;&gt; ""),COLUMN($AD$14:$OD$14) - COLUMN($AD$14) + 1 )))),"")),"")</f>
        <v/>
      </c>
      <c r="V36" s="167" t="str">
        <f t="shared" ca="1" si="0"/>
        <v/>
      </c>
      <c r="W36" s="191"/>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row>
    <row r="37" spans="1:104" s="55" customFormat="1">
      <c r="A37" s="138"/>
      <c r="B37" s="135"/>
      <c r="C37" s="136"/>
      <c r="D37" s="136"/>
      <c r="E37" s="135"/>
      <c r="F37" s="135"/>
      <c r="G37" s="135"/>
      <c r="H37" s="135"/>
      <c r="I37" s="135"/>
      <c r="J37" s="135"/>
      <c r="K37" s="135"/>
      <c r="L37" s="135"/>
      <c r="M37" s="56" t="str" cm="1">
        <f t="array" aca="1" ref="M37" ca="1">IF($A37="","",_xlfn.TEXTJOIN(",",TRUE,_xlfn.MAP(_xlfn._xlws.FILTER(Team_Members,Team_Members&lt;&gt;""),_xlfn.LAMBDA(_xlpm.x,IFERROR(IF(_xlfn.XMATCH($A37,INDIRECT("'"&amp;_xlpm.x&amp;"'!$B$14:$B$150"))&gt;0,_xlpm.x),"")))))</f>
        <v/>
      </c>
      <c r="N37" s="135"/>
      <c r="O37" s="4" t="str" cm="1">
        <f t="array" aca="1" ref="O37" ca="1">IFERROR(_xlfn.LET(_xlpm.Lst,_xlfn.MAP(Team_Members,_xlfn.LAMBDA(_xlpm.x,IFERROR(_xlfn.XLOOKUP($A37,INDIRECT("'"&amp;_xlpm.x&amp;"'!$B$14:$B$150"),INDIRECT("'"&amp;_xlpm.x&amp;"'!$D$14:$D$150")),""))),_xlpm.F_Lst,_xlfn._xlws.FILTER(_xlpm.Lst,_xlpm.Lst&lt;&gt;""),IF(COUNTA(_xlfn.UNIQUE(_xlpm.F_Lst))=1,INDEX(_xlpm.F_Lst,1),"WIP")),"")</f>
        <v/>
      </c>
      <c r="P37" s="137"/>
      <c r="Q37" s="137"/>
      <c r="R37" s="58" t="str" cm="1">
        <f t="array" aca="1" ref="R37" ca="1">IF($M37="","",_xlfn.LET(_xlpm.min,MIN(_xlfn.MAP(_xlfn.TEXTSPLIT($M37,","),_xlfn.LAMBDA(_xlpm.ref,IFERROR(INDEX(INDIRECT("'"&amp;_xlpm.ref&amp;"'!$AE$5:$OE$5"),MATCH(TRUE,INDEX(INDIRECT("'" &amp; _xlpm.ref &amp; "'!$AE$" &amp; (ROW(INDIRECT("'"&amp;_xlpm.ref&amp;"'!$B$14"))-1 + MATCH($A37, INDIRECT("'" &amp; _xlpm.ref &amp; "'!$B$14:$B$150"), 0)) &amp; ":$OE$" &amp; (ROW(INDIRECT("'"&amp;_xlpm.ref&amp;"'!$B$14"))-1 + MATCH($A37, INDIRECT("'" &amp; _xlpm.ref &amp; "'!$B$14:$B$150"), 0)))&lt;&gt;"",0),0)),"")))),IF(_xlpm.min=0,"",_xlpm.min)))</f>
        <v/>
      </c>
      <c r="S37" s="4" t="str" cm="1">
        <f t="array" aca="1" ref="S37" ca="1">IF($M37="","",SUM(_xlfn.MAP(_xlfn.TEXTSPLIT($M37,","),_xlfn.LAMBDA(_xlpm.ref,_xlfn.XLOOKUP($A37,INDIRECT("'"&amp;_xlpm.ref&amp;"'!$B$14:$B$150"),INDIRECT("'"&amp;_xlpm.ref&amp;"'!$E$14:$E$150"),0)))))</f>
        <v/>
      </c>
      <c r="T37" s="4" t="str" cm="1">
        <f t="array" aca="1" ref="T37" ca="1">IF($M37="","",SUM(_xlfn.MAP(_xlfn.TEXTSPLIT($M37,","),_xlfn.LAMBDA(_xlpm.ref,_xlfn.XLOOKUP($A37,INDIRECT("'"&amp;_xlpm.ref&amp;"'!$B$14:$B$150"),INDIRECT("'"&amp;_xlpm.ref&amp;"'!$F$14:$F$150"),0)))))</f>
        <v/>
      </c>
      <c r="U37" s="61" t="str" cm="1">
        <f t="array" aca="1" ref="U37" ca="1">IF($O37="Completed",MAX(IFERROR(_xlfn.MAP(_xlfn.TEXTSPLIT($M37, ","),_xlfn.LAMBDA(_xlpm.ref,INDEX(INDIRECT("'" &amp; _xlpm.ref &amp; "'!AE5:OE5"),1,LOOKUP(2,1 / (INDIRECT("'" &amp; _xlpm.ref &amp; "'!AE"&amp;(ROW(INDIRECT("'"&amp;_xlpm.ref&amp;"'!$B$14"))-1 + MATCH($A37, INDIRECT("'" &amp; _xlpm.ref &amp; "'!$B$14:$B$150"), 0)) &amp;":OE"&amp;(ROW(INDIRECT("'"&amp;_xlpm.ref&amp;"'!$B$14"))-1 + MATCH($A37, INDIRECT("'" &amp; _xlpm.ref &amp; "'!$B$14:$B$150"), 0)) ) &lt;&gt; ""),COLUMN($AD$14:$OD$14) - COLUMN($AD$14) + 1 )))),"")),"")</f>
        <v/>
      </c>
      <c r="V37" s="167" t="str">
        <f t="shared" ca="1" si="0"/>
        <v/>
      </c>
      <c r="W37" s="191"/>
      <c r="X37" s="26"/>
      <c r="Y37" s="26"/>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row>
    <row r="38" spans="1:104" s="55" customFormat="1">
      <c r="A38" s="143"/>
      <c r="B38" s="135"/>
      <c r="C38" s="136"/>
      <c r="D38" s="136"/>
      <c r="E38" s="135"/>
      <c r="F38" s="135"/>
      <c r="G38" s="135"/>
      <c r="H38" s="135"/>
      <c r="I38" s="135"/>
      <c r="J38" s="135"/>
      <c r="K38" s="135"/>
      <c r="L38" s="135"/>
      <c r="M38" s="56" t="str" cm="1">
        <f t="array" aca="1" ref="M38" ca="1">IF($A38="","",_xlfn.TEXTJOIN(",",TRUE,_xlfn.MAP(_xlfn._xlws.FILTER(Team_Members,Team_Members&lt;&gt;""),_xlfn.LAMBDA(_xlpm.x,IFERROR(IF(_xlfn.XMATCH($A38,INDIRECT("'"&amp;_xlpm.x&amp;"'!$B$14:$B$150"))&gt;0,_xlpm.x),"")))))</f>
        <v/>
      </c>
      <c r="N38" s="135"/>
      <c r="O38" s="4" t="str" cm="1">
        <f t="array" aca="1" ref="O38" ca="1">IFERROR(_xlfn.LET(_xlpm.Lst,_xlfn.MAP(Team_Members,_xlfn.LAMBDA(_xlpm.x,IFERROR(_xlfn.XLOOKUP($A38,INDIRECT("'"&amp;_xlpm.x&amp;"'!$B$14:$B$150"),INDIRECT("'"&amp;_xlpm.x&amp;"'!$D$14:$D$150")),""))),_xlpm.F_Lst,_xlfn._xlws.FILTER(_xlpm.Lst,_xlpm.Lst&lt;&gt;""),IF(COUNTA(_xlfn.UNIQUE(_xlpm.F_Lst))=1,INDEX(_xlpm.F_Lst,1),"WIP")),"")</f>
        <v/>
      </c>
      <c r="P38" s="137"/>
      <c r="Q38" s="137"/>
      <c r="R38" s="58" t="str" cm="1">
        <f t="array" aca="1" ref="R38" ca="1">IF($M38="","",_xlfn.LET(_xlpm.min,MIN(_xlfn.MAP(_xlfn.TEXTSPLIT($M38,","),_xlfn.LAMBDA(_xlpm.ref,IFERROR(INDEX(INDIRECT("'"&amp;_xlpm.ref&amp;"'!$AE$5:$OE$5"),MATCH(TRUE,INDEX(INDIRECT("'" &amp; _xlpm.ref &amp; "'!$AE$" &amp; (ROW(INDIRECT("'"&amp;_xlpm.ref&amp;"'!$B$14"))-1 + MATCH($A38, INDIRECT("'" &amp; _xlpm.ref &amp; "'!$B$14:$B$150"), 0)) &amp; ":$OE$" &amp; (ROW(INDIRECT("'"&amp;_xlpm.ref&amp;"'!$B$14"))-1 + MATCH($A38, INDIRECT("'" &amp; _xlpm.ref &amp; "'!$B$14:$B$150"), 0)))&lt;&gt;"",0),0)),"")))),IF(_xlpm.min=0,"",_xlpm.min)))</f>
        <v/>
      </c>
      <c r="S38" s="4" t="str" cm="1">
        <f t="array" aca="1" ref="S38" ca="1">IF($M38="","",SUM(_xlfn.MAP(_xlfn.TEXTSPLIT($M38,","),_xlfn.LAMBDA(_xlpm.ref,_xlfn.XLOOKUP($A38,INDIRECT("'"&amp;_xlpm.ref&amp;"'!$B$14:$B$150"),INDIRECT("'"&amp;_xlpm.ref&amp;"'!$E$14:$E$150"),0)))))</f>
        <v/>
      </c>
      <c r="T38" s="4" t="str" cm="1">
        <f t="array" aca="1" ref="T38" ca="1">IF($M38="","",SUM(_xlfn.MAP(_xlfn.TEXTSPLIT($M38,","),_xlfn.LAMBDA(_xlpm.ref,_xlfn.XLOOKUP($A38,INDIRECT("'"&amp;_xlpm.ref&amp;"'!$B$14:$B$150"),INDIRECT("'"&amp;_xlpm.ref&amp;"'!$F$14:$F$150"),0)))))</f>
        <v/>
      </c>
      <c r="U38" s="61" t="str" cm="1">
        <f t="array" aca="1" ref="U38" ca="1">IF($O38="Completed",MAX(IFERROR(_xlfn.MAP(_xlfn.TEXTSPLIT($M38, ","),_xlfn.LAMBDA(_xlpm.ref,INDEX(INDIRECT("'" &amp; _xlpm.ref &amp; "'!AE5:OE5"),1,LOOKUP(2,1 / (INDIRECT("'" &amp; _xlpm.ref &amp; "'!AE"&amp;(ROW(INDIRECT("'"&amp;_xlpm.ref&amp;"'!$B$14"))-1 + MATCH($A38, INDIRECT("'" &amp; _xlpm.ref &amp; "'!$B$14:$B$150"), 0)) &amp;":OE"&amp;(ROW(INDIRECT("'"&amp;_xlpm.ref&amp;"'!$B$14"))-1 + MATCH($A38, INDIRECT("'" &amp; _xlpm.ref &amp; "'!$B$14:$B$150"), 0)) ) &lt;&gt; ""),COLUMN($AD$14:$OD$14) - COLUMN($AD$14) + 1 )))),"")),"")</f>
        <v/>
      </c>
      <c r="V38" s="167" t="str">
        <f t="shared" ca="1" si="0"/>
        <v/>
      </c>
      <c r="W38" s="191"/>
      <c r="X38" s="26"/>
      <c r="Y38" s="26"/>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row>
    <row r="39" spans="1:104" s="55" customFormat="1">
      <c r="A39" s="138"/>
      <c r="B39" s="135"/>
      <c r="C39" s="136"/>
      <c r="D39" s="136"/>
      <c r="E39" s="135"/>
      <c r="F39" s="135"/>
      <c r="G39" s="135"/>
      <c r="H39" s="135"/>
      <c r="I39" s="135"/>
      <c r="J39" s="135"/>
      <c r="K39" s="135"/>
      <c r="L39" s="135"/>
      <c r="M39" s="56" t="str" cm="1">
        <f t="array" aca="1" ref="M39" ca="1">IF($A39="","",_xlfn.TEXTJOIN(",",TRUE,_xlfn.MAP(_xlfn._xlws.FILTER(Team_Members,Team_Members&lt;&gt;""),_xlfn.LAMBDA(_xlpm.x,IFERROR(IF(_xlfn.XMATCH($A39,INDIRECT("'"&amp;_xlpm.x&amp;"'!$B$14:$B$150"))&gt;0,_xlpm.x),"")))))</f>
        <v/>
      </c>
      <c r="N39" s="135"/>
      <c r="O39" s="4" t="str" cm="1">
        <f t="array" aca="1" ref="O39" ca="1">IFERROR(_xlfn.LET(_xlpm.Lst,_xlfn.MAP(Team_Members,_xlfn.LAMBDA(_xlpm.x,IFERROR(_xlfn.XLOOKUP($A39,INDIRECT("'"&amp;_xlpm.x&amp;"'!$B$14:$B$150"),INDIRECT("'"&amp;_xlpm.x&amp;"'!$D$14:$D$150")),""))),_xlpm.F_Lst,_xlfn._xlws.FILTER(_xlpm.Lst,_xlpm.Lst&lt;&gt;""),IF(COUNTA(_xlfn.UNIQUE(_xlpm.F_Lst))=1,INDEX(_xlpm.F_Lst,1),"WIP")),"")</f>
        <v/>
      </c>
      <c r="P39" s="137"/>
      <c r="Q39" s="137"/>
      <c r="R39" s="58" t="str" cm="1">
        <f t="array" aca="1" ref="R39" ca="1">IF($M39="","",_xlfn.LET(_xlpm.min,MIN(_xlfn.MAP(_xlfn.TEXTSPLIT($M39,","),_xlfn.LAMBDA(_xlpm.ref,IFERROR(INDEX(INDIRECT("'"&amp;_xlpm.ref&amp;"'!$AE$5:$OE$5"),MATCH(TRUE,INDEX(INDIRECT("'" &amp; _xlpm.ref &amp; "'!$AE$" &amp; (ROW(INDIRECT("'"&amp;_xlpm.ref&amp;"'!$B$14"))-1 + MATCH($A39, INDIRECT("'" &amp; _xlpm.ref &amp; "'!$B$14:$B$150"), 0)) &amp; ":$OE$" &amp; (ROW(INDIRECT("'"&amp;_xlpm.ref&amp;"'!$B$14"))-1 + MATCH($A39, INDIRECT("'" &amp; _xlpm.ref &amp; "'!$B$14:$B$150"), 0)))&lt;&gt;"",0),0)),"")))),IF(_xlpm.min=0,"",_xlpm.min)))</f>
        <v/>
      </c>
      <c r="S39" s="4" t="str" cm="1">
        <f t="array" aca="1" ref="S39" ca="1">IF($M39="","",SUM(_xlfn.MAP(_xlfn.TEXTSPLIT($M39,","),_xlfn.LAMBDA(_xlpm.ref,_xlfn.XLOOKUP($A39,INDIRECT("'"&amp;_xlpm.ref&amp;"'!$B$14:$B$150"),INDIRECT("'"&amp;_xlpm.ref&amp;"'!$E$14:$E$150"),0)))))</f>
        <v/>
      </c>
      <c r="T39" s="4" t="str" cm="1">
        <f t="array" aca="1" ref="T39" ca="1">IF($M39="","",SUM(_xlfn.MAP(_xlfn.TEXTSPLIT($M39,","),_xlfn.LAMBDA(_xlpm.ref,_xlfn.XLOOKUP($A39,INDIRECT("'"&amp;_xlpm.ref&amp;"'!$B$14:$B$150"),INDIRECT("'"&amp;_xlpm.ref&amp;"'!$F$14:$F$150"),0)))))</f>
        <v/>
      </c>
      <c r="U39" s="61" t="str" cm="1">
        <f t="array" aca="1" ref="U39" ca="1">IF($O39="Completed",MAX(IFERROR(_xlfn.MAP(_xlfn.TEXTSPLIT($M39, ","),_xlfn.LAMBDA(_xlpm.ref,INDEX(INDIRECT("'" &amp; _xlpm.ref &amp; "'!AE5:OE5"),1,LOOKUP(2,1 / (INDIRECT("'" &amp; _xlpm.ref &amp; "'!AE"&amp;(ROW(INDIRECT("'"&amp;_xlpm.ref&amp;"'!$B$14"))-1 + MATCH($A39, INDIRECT("'" &amp; _xlpm.ref &amp; "'!$B$14:$B$150"), 0)) &amp;":OE"&amp;(ROW(INDIRECT("'"&amp;_xlpm.ref&amp;"'!$B$14"))-1 + MATCH($A39, INDIRECT("'" &amp; _xlpm.ref &amp; "'!$B$14:$B$150"), 0)) ) &lt;&gt; ""),COLUMN($AD$14:$OD$14) - COLUMN($AD$14) + 1 )))),"")),"")</f>
        <v/>
      </c>
      <c r="V39" s="167" t="str">
        <f t="shared" ca="1" si="0"/>
        <v/>
      </c>
      <c r="W39" s="191"/>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row>
    <row r="40" spans="1:104" s="55" customFormat="1">
      <c r="A40" s="138"/>
      <c r="B40" s="135"/>
      <c r="C40" s="136"/>
      <c r="D40" s="136"/>
      <c r="E40" s="135"/>
      <c r="F40" s="135"/>
      <c r="G40" s="135"/>
      <c r="H40" s="135"/>
      <c r="I40" s="135"/>
      <c r="J40" s="135"/>
      <c r="K40" s="135"/>
      <c r="L40" s="135"/>
      <c r="M40" s="56" t="str" cm="1">
        <f t="array" aca="1" ref="M40" ca="1">IF($A40="","",_xlfn.TEXTJOIN(",",TRUE,_xlfn.MAP(_xlfn._xlws.FILTER(Team_Members,Team_Members&lt;&gt;""),_xlfn.LAMBDA(_xlpm.x,IFERROR(IF(_xlfn.XMATCH($A40,INDIRECT("'"&amp;_xlpm.x&amp;"'!$B$14:$B$150"))&gt;0,_xlpm.x),"")))))</f>
        <v/>
      </c>
      <c r="N40" s="135"/>
      <c r="O40" s="4" t="str" cm="1">
        <f t="array" aca="1" ref="O40" ca="1">IFERROR(_xlfn.LET(_xlpm.Lst,_xlfn.MAP(Team_Members,_xlfn.LAMBDA(_xlpm.x,IFERROR(_xlfn.XLOOKUP($A40,INDIRECT("'"&amp;_xlpm.x&amp;"'!$B$14:$B$150"),INDIRECT("'"&amp;_xlpm.x&amp;"'!$D$14:$D$150")),""))),_xlpm.F_Lst,_xlfn._xlws.FILTER(_xlpm.Lst,_xlpm.Lst&lt;&gt;""),IF(COUNTA(_xlfn.UNIQUE(_xlpm.F_Lst))=1,INDEX(_xlpm.F_Lst,1),"WIP")),"")</f>
        <v/>
      </c>
      <c r="P40" s="137"/>
      <c r="Q40" s="137"/>
      <c r="R40" s="58" t="str" cm="1">
        <f t="array" aca="1" ref="R40" ca="1">IF($M40="","",_xlfn.LET(_xlpm.min,MIN(_xlfn.MAP(_xlfn.TEXTSPLIT($M40,","),_xlfn.LAMBDA(_xlpm.ref,IFERROR(INDEX(INDIRECT("'"&amp;_xlpm.ref&amp;"'!$AE$5:$OE$5"),MATCH(TRUE,INDEX(INDIRECT("'" &amp; _xlpm.ref &amp; "'!$AE$" &amp; (ROW(INDIRECT("'"&amp;_xlpm.ref&amp;"'!$B$14"))-1 + MATCH($A40, INDIRECT("'" &amp; _xlpm.ref &amp; "'!$B$14:$B$150"), 0)) &amp; ":$OE$" &amp; (ROW(INDIRECT("'"&amp;_xlpm.ref&amp;"'!$B$14"))-1 + MATCH($A40, INDIRECT("'" &amp; _xlpm.ref &amp; "'!$B$14:$B$150"), 0)))&lt;&gt;"",0),0)),"")))),IF(_xlpm.min=0,"",_xlpm.min)))</f>
        <v/>
      </c>
      <c r="S40" s="4" t="str" cm="1">
        <f t="array" aca="1" ref="S40" ca="1">IF($M40="","",SUM(_xlfn.MAP(_xlfn.TEXTSPLIT($M40,","),_xlfn.LAMBDA(_xlpm.ref,_xlfn.XLOOKUP($A40,INDIRECT("'"&amp;_xlpm.ref&amp;"'!$B$14:$B$150"),INDIRECT("'"&amp;_xlpm.ref&amp;"'!$E$14:$E$150"),0)))))</f>
        <v/>
      </c>
      <c r="T40" s="4" t="str" cm="1">
        <f t="array" aca="1" ref="T40" ca="1">IF($M40="","",SUM(_xlfn.MAP(_xlfn.TEXTSPLIT($M40,","),_xlfn.LAMBDA(_xlpm.ref,_xlfn.XLOOKUP($A40,INDIRECT("'"&amp;_xlpm.ref&amp;"'!$B$14:$B$150"),INDIRECT("'"&amp;_xlpm.ref&amp;"'!$F$14:$F$150"),0)))))</f>
        <v/>
      </c>
      <c r="U40" s="61" t="str" cm="1">
        <f t="array" aca="1" ref="U40" ca="1">IF($O40="Completed",MAX(IFERROR(_xlfn.MAP(_xlfn.TEXTSPLIT($M40, ","),_xlfn.LAMBDA(_xlpm.ref,INDEX(INDIRECT("'" &amp; _xlpm.ref &amp; "'!AE5:OE5"),1,LOOKUP(2,1 / (INDIRECT("'" &amp; _xlpm.ref &amp; "'!AE"&amp;(ROW(INDIRECT("'"&amp;_xlpm.ref&amp;"'!$B$14"))-1 + MATCH($A40, INDIRECT("'" &amp; _xlpm.ref &amp; "'!$B$14:$B$150"), 0)) &amp;":OE"&amp;(ROW(INDIRECT("'"&amp;_xlpm.ref&amp;"'!$B$14"))-1 + MATCH($A40, INDIRECT("'" &amp; _xlpm.ref &amp; "'!$B$14:$B$150"), 0)) ) &lt;&gt; ""),COLUMN($AD$14:$OD$14) - COLUMN($AD$14) + 1 )))),"")),"")</f>
        <v/>
      </c>
      <c r="V40" s="167" t="str">
        <f t="shared" ca="1" si="0"/>
        <v/>
      </c>
      <c r="W40" s="191"/>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row>
    <row r="41" spans="1:104" s="55" customFormat="1">
      <c r="A41" s="138"/>
      <c r="B41" s="135"/>
      <c r="C41" s="136"/>
      <c r="D41" s="136"/>
      <c r="E41" s="135"/>
      <c r="F41" s="135"/>
      <c r="G41" s="135"/>
      <c r="H41" s="135"/>
      <c r="I41" s="135"/>
      <c r="J41" s="135"/>
      <c r="K41" s="135"/>
      <c r="L41" s="135"/>
      <c r="M41" s="56" t="str" cm="1">
        <f t="array" aca="1" ref="M41" ca="1">IF($A41="","",_xlfn.TEXTJOIN(",",TRUE,_xlfn.MAP(_xlfn._xlws.FILTER(Team_Members,Team_Members&lt;&gt;""),_xlfn.LAMBDA(_xlpm.x,IFERROR(IF(_xlfn.XMATCH($A41,INDIRECT("'"&amp;_xlpm.x&amp;"'!$B$14:$B$150"))&gt;0,_xlpm.x),"")))))</f>
        <v/>
      </c>
      <c r="N41" s="135"/>
      <c r="O41" s="4" t="str" cm="1">
        <f t="array" aca="1" ref="O41" ca="1">IFERROR(_xlfn.LET(_xlpm.Lst,_xlfn.MAP(Team_Members,_xlfn.LAMBDA(_xlpm.x,IFERROR(_xlfn.XLOOKUP($A41,INDIRECT("'"&amp;_xlpm.x&amp;"'!$B$14:$B$150"),INDIRECT("'"&amp;_xlpm.x&amp;"'!$D$14:$D$150")),""))),_xlpm.F_Lst,_xlfn._xlws.FILTER(_xlpm.Lst,_xlpm.Lst&lt;&gt;""),IF(COUNTA(_xlfn.UNIQUE(_xlpm.F_Lst))=1,INDEX(_xlpm.F_Lst,1),"WIP")),"")</f>
        <v/>
      </c>
      <c r="P41" s="137"/>
      <c r="Q41" s="137"/>
      <c r="R41" s="58" t="str" cm="1">
        <f t="array" aca="1" ref="R41" ca="1">IF($M41="","",_xlfn.LET(_xlpm.min,MIN(_xlfn.MAP(_xlfn.TEXTSPLIT($M41,","),_xlfn.LAMBDA(_xlpm.ref,IFERROR(INDEX(INDIRECT("'"&amp;_xlpm.ref&amp;"'!$AE$5:$OE$5"),MATCH(TRUE,INDEX(INDIRECT("'" &amp; _xlpm.ref &amp; "'!$AE$" &amp; (ROW(INDIRECT("'"&amp;_xlpm.ref&amp;"'!$B$14"))-1 + MATCH($A41, INDIRECT("'" &amp; _xlpm.ref &amp; "'!$B$14:$B$150"), 0)) &amp; ":$OE$" &amp; (ROW(INDIRECT("'"&amp;_xlpm.ref&amp;"'!$B$14"))-1 + MATCH($A41, INDIRECT("'" &amp; _xlpm.ref &amp; "'!$B$14:$B$150"), 0)))&lt;&gt;"",0),0)),"")))),IF(_xlpm.min=0,"",_xlpm.min)))</f>
        <v/>
      </c>
      <c r="S41" s="4" t="str" cm="1">
        <f t="array" aca="1" ref="S41" ca="1">IF($M41="","",SUM(_xlfn.MAP(_xlfn.TEXTSPLIT($M41,","),_xlfn.LAMBDA(_xlpm.ref,_xlfn.XLOOKUP($A41,INDIRECT("'"&amp;_xlpm.ref&amp;"'!$B$14:$B$150"),INDIRECT("'"&amp;_xlpm.ref&amp;"'!$E$14:$E$150"),0)))))</f>
        <v/>
      </c>
      <c r="T41" s="4" t="str" cm="1">
        <f t="array" aca="1" ref="T41" ca="1">IF($M41="","",SUM(_xlfn.MAP(_xlfn.TEXTSPLIT($M41,","),_xlfn.LAMBDA(_xlpm.ref,_xlfn.XLOOKUP($A41,INDIRECT("'"&amp;_xlpm.ref&amp;"'!$B$14:$B$150"),INDIRECT("'"&amp;_xlpm.ref&amp;"'!$F$14:$F$150"),0)))))</f>
        <v/>
      </c>
      <c r="U41" s="61" t="str" cm="1">
        <f t="array" aca="1" ref="U41" ca="1">IF($O41="Completed",MAX(IFERROR(_xlfn.MAP(_xlfn.TEXTSPLIT($M41, ","),_xlfn.LAMBDA(_xlpm.ref,INDEX(INDIRECT("'" &amp; _xlpm.ref &amp; "'!AE5:OE5"),1,LOOKUP(2,1 / (INDIRECT("'" &amp; _xlpm.ref &amp; "'!AE"&amp;(ROW(INDIRECT("'"&amp;_xlpm.ref&amp;"'!$B$14"))-1 + MATCH($A41, INDIRECT("'" &amp; _xlpm.ref &amp; "'!$B$14:$B$150"), 0)) &amp;":OE"&amp;(ROW(INDIRECT("'"&amp;_xlpm.ref&amp;"'!$B$14"))-1 + MATCH($A41, INDIRECT("'" &amp; _xlpm.ref &amp; "'!$B$14:$B$150"), 0)) ) &lt;&gt; ""),COLUMN($AD$14:$OD$14) - COLUMN($AD$14) + 1 )))),"")),"")</f>
        <v/>
      </c>
      <c r="V41" s="167" t="str">
        <f t="shared" ca="1" si="0"/>
        <v/>
      </c>
      <c r="W41" s="191"/>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row>
    <row r="42" spans="1:104" s="55" customFormat="1">
      <c r="A42" s="138"/>
      <c r="B42" s="135"/>
      <c r="C42" s="136"/>
      <c r="D42" s="136"/>
      <c r="E42" s="135"/>
      <c r="F42" s="135"/>
      <c r="G42" s="135"/>
      <c r="H42" s="135"/>
      <c r="I42" s="135"/>
      <c r="J42" s="135"/>
      <c r="K42" s="135"/>
      <c r="L42" s="135"/>
      <c r="M42" s="56" t="str" cm="1">
        <f t="array" aca="1" ref="M42" ca="1">IF($A42="","",_xlfn.TEXTJOIN(",",TRUE,_xlfn.MAP(_xlfn._xlws.FILTER(Team_Members,Team_Members&lt;&gt;""),_xlfn.LAMBDA(_xlpm.x,IFERROR(IF(_xlfn.XMATCH($A42,INDIRECT("'"&amp;_xlpm.x&amp;"'!$B$14:$B$150"))&gt;0,_xlpm.x),"")))))</f>
        <v/>
      </c>
      <c r="N42" s="135"/>
      <c r="O42" s="4" t="str" cm="1">
        <f t="array" aca="1" ref="O42" ca="1">IFERROR(_xlfn.LET(_xlpm.Lst,_xlfn.MAP(Team_Members,_xlfn.LAMBDA(_xlpm.x,IFERROR(_xlfn.XLOOKUP($A42,INDIRECT("'"&amp;_xlpm.x&amp;"'!$B$14:$B$150"),INDIRECT("'"&amp;_xlpm.x&amp;"'!$D$14:$D$150")),""))),_xlpm.F_Lst,_xlfn._xlws.FILTER(_xlpm.Lst,_xlpm.Lst&lt;&gt;""),IF(COUNTA(_xlfn.UNIQUE(_xlpm.F_Lst))=1,INDEX(_xlpm.F_Lst,1),"WIP")),"")</f>
        <v/>
      </c>
      <c r="P42" s="137"/>
      <c r="Q42" s="137"/>
      <c r="R42" s="58" t="str" cm="1">
        <f t="array" aca="1" ref="R42" ca="1">IF($M42="","",_xlfn.LET(_xlpm.min,MIN(_xlfn.MAP(_xlfn.TEXTSPLIT($M42,","),_xlfn.LAMBDA(_xlpm.ref,IFERROR(INDEX(INDIRECT("'"&amp;_xlpm.ref&amp;"'!$AE$5:$OE$5"),MATCH(TRUE,INDEX(INDIRECT("'" &amp; _xlpm.ref &amp; "'!$AE$" &amp; (ROW(INDIRECT("'"&amp;_xlpm.ref&amp;"'!$B$14"))-1 + MATCH($A42, INDIRECT("'" &amp; _xlpm.ref &amp; "'!$B$14:$B$150"), 0)) &amp; ":$OE$" &amp; (ROW(INDIRECT("'"&amp;_xlpm.ref&amp;"'!$B$14"))-1 + MATCH($A42, INDIRECT("'" &amp; _xlpm.ref &amp; "'!$B$14:$B$150"), 0)))&lt;&gt;"",0),0)),"")))),IF(_xlpm.min=0,"",_xlpm.min)))</f>
        <v/>
      </c>
      <c r="S42" s="4" t="str" cm="1">
        <f t="array" aca="1" ref="S42" ca="1">IF($M42="","",SUM(_xlfn.MAP(_xlfn.TEXTSPLIT($M42,","),_xlfn.LAMBDA(_xlpm.ref,_xlfn.XLOOKUP($A42,INDIRECT("'"&amp;_xlpm.ref&amp;"'!$B$14:$B$150"),INDIRECT("'"&amp;_xlpm.ref&amp;"'!$E$14:$E$150"),0)))))</f>
        <v/>
      </c>
      <c r="T42" s="4" t="str" cm="1">
        <f t="array" aca="1" ref="T42" ca="1">IF($M42="","",SUM(_xlfn.MAP(_xlfn.TEXTSPLIT($M42,","),_xlfn.LAMBDA(_xlpm.ref,_xlfn.XLOOKUP($A42,INDIRECT("'"&amp;_xlpm.ref&amp;"'!$B$14:$B$150"),INDIRECT("'"&amp;_xlpm.ref&amp;"'!$F$14:$F$150"),0)))))</f>
        <v/>
      </c>
      <c r="U42" s="61" t="str" cm="1">
        <f t="array" aca="1" ref="U42" ca="1">IF($O42="Completed",MAX(IFERROR(_xlfn.MAP(_xlfn.TEXTSPLIT($M42, ","),_xlfn.LAMBDA(_xlpm.ref,INDEX(INDIRECT("'" &amp; _xlpm.ref &amp; "'!AE5:OE5"),1,LOOKUP(2,1 / (INDIRECT("'" &amp; _xlpm.ref &amp; "'!AE"&amp;(ROW(INDIRECT("'"&amp;_xlpm.ref&amp;"'!$B$14"))-1 + MATCH($A42, INDIRECT("'" &amp; _xlpm.ref &amp; "'!$B$14:$B$150"), 0)) &amp;":OE"&amp;(ROW(INDIRECT("'"&amp;_xlpm.ref&amp;"'!$B$14"))-1 + MATCH($A42, INDIRECT("'" &amp; _xlpm.ref &amp; "'!$B$14:$B$150"), 0)) ) &lt;&gt; ""),COLUMN($AD$14:$OD$14) - COLUMN($AD$14) + 1 )))),"")),"")</f>
        <v/>
      </c>
      <c r="V42" s="167" t="str">
        <f t="shared" ca="1" si="0"/>
        <v/>
      </c>
      <c r="W42" s="191"/>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row>
    <row r="43" spans="1:104" s="55" customFormat="1">
      <c r="A43" s="138"/>
      <c r="B43" s="135"/>
      <c r="C43" s="136"/>
      <c r="D43" s="136"/>
      <c r="E43" s="135"/>
      <c r="F43" s="135"/>
      <c r="G43" s="135"/>
      <c r="H43" s="135"/>
      <c r="I43" s="135"/>
      <c r="J43" s="135"/>
      <c r="K43" s="135"/>
      <c r="L43" s="135"/>
      <c r="M43" s="56" t="str" cm="1">
        <f t="array" aca="1" ref="M43" ca="1">IF($A43="","",_xlfn.TEXTJOIN(",",TRUE,_xlfn.MAP(_xlfn._xlws.FILTER(Team_Members,Team_Members&lt;&gt;""),_xlfn.LAMBDA(_xlpm.x,IFERROR(IF(_xlfn.XMATCH($A43,INDIRECT("'"&amp;_xlpm.x&amp;"'!$B$14:$B$150"))&gt;0,_xlpm.x),"")))))</f>
        <v/>
      </c>
      <c r="N43" s="135"/>
      <c r="O43" s="4" t="str" cm="1">
        <f t="array" aca="1" ref="O43" ca="1">IFERROR(_xlfn.LET(_xlpm.Lst,_xlfn.MAP(Team_Members,_xlfn.LAMBDA(_xlpm.x,IFERROR(_xlfn.XLOOKUP($A43,INDIRECT("'"&amp;_xlpm.x&amp;"'!$B$14:$B$150"),INDIRECT("'"&amp;_xlpm.x&amp;"'!$D$14:$D$150")),""))),_xlpm.F_Lst,_xlfn._xlws.FILTER(_xlpm.Lst,_xlpm.Lst&lt;&gt;""),IF(COUNTA(_xlfn.UNIQUE(_xlpm.F_Lst))=1,INDEX(_xlpm.F_Lst,1),"WIP")),"")</f>
        <v/>
      </c>
      <c r="P43" s="137"/>
      <c r="Q43" s="137"/>
      <c r="R43" s="58" t="str" cm="1">
        <f t="array" aca="1" ref="R43" ca="1">IF($M43="","",_xlfn.LET(_xlpm.min,MIN(_xlfn.MAP(_xlfn.TEXTSPLIT($M43,","),_xlfn.LAMBDA(_xlpm.ref,IFERROR(INDEX(INDIRECT("'"&amp;_xlpm.ref&amp;"'!$AE$5:$OE$5"),MATCH(TRUE,INDEX(INDIRECT("'" &amp; _xlpm.ref &amp; "'!$AE$" &amp; (ROW(INDIRECT("'"&amp;_xlpm.ref&amp;"'!$B$14"))-1 + MATCH($A43, INDIRECT("'" &amp; _xlpm.ref &amp; "'!$B$14:$B$150"), 0)) &amp; ":$OE$" &amp; (ROW(INDIRECT("'"&amp;_xlpm.ref&amp;"'!$B$14"))-1 + MATCH($A43, INDIRECT("'" &amp; _xlpm.ref &amp; "'!$B$14:$B$150"), 0)))&lt;&gt;"",0),0)),"")))),IF(_xlpm.min=0,"",_xlpm.min)))</f>
        <v/>
      </c>
      <c r="S43" s="4" t="str" cm="1">
        <f t="array" aca="1" ref="S43" ca="1">IF($M43="","",SUM(_xlfn.MAP(_xlfn.TEXTSPLIT($M43,","),_xlfn.LAMBDA(_xlpm.ref,_xlfn.XLOOKUP($A43,INDIRECT("'"&amp;_xlpm.ref&amp;"'!$B$14:$B$150"),INDIRECT("'"&amp;_xlpm.ref&amp;"'!$E$14:$E$150"),0)))))</f>
        <v/>
      </c>
      <c r="T43" s="4" t="str" cm="1">
        <f t="array" aca="1" ref="T43" ca="1">IF($M43="","",SUM(_xlfn.MAP(_xlfn.TEXTSPLIT($M43,","),_xlfn.LAMBDA(_xlpm.ref,_xlfn.XLOOKUP($A43,INDIRECT("'"&amp;_xlpm.ref&amp;"'!$B$14:$B$150"),INDIRECT("'"&amp;_xlpm.ref&amp;"'!$F$14:$F$150"),0)))))</f>
        <v/>
      </c>
      <c r="U43" s="61" t="str" cm="1">
        <f t="array" aca="1" ref="U43" ca="1">IF($O43="Completed",MAX(IFERROR(_xlfn.MAP(_xlfn.TEXTSPLIT($M43, ","),_xlfn.LAMBDA(_xlpm.ref,INDEX(INDIRECT("'" &amp; _xlpm.ref &amp; "'!AE5:OE5"),1,LOOKUP(2,1 / (INDIRECT("'" &amp; _xlpm.ref &amp; "'!AE"&amp;(ROW(INDIRECT("'"&amp;_xlpm.ref&amp;"'!$B$14"))-1 + MATCH($A43, INDIRECT("'" &amp; _xlpm.ref &amp; "'!$B$14:$B$150"), 0)) &amp;":OE"&amp;(ROW(INDIRECT("'"&amp;_xlpm.ref&amp;"'!$B$14"))-1 + MATCH($A43, INDIRECT("'" &amp; _xlpm.ref &amp; "'!$B$14:$B$150"), 0)) ) &lt;&gt; ""),COLUMN($AD$14:$OD$14) - COLUMN($AD$14) + 1 )))),"")),"")</f>
        <v/>
      </c>
      <c r="V43" s="167" t="str">
        <f t="shared" ca="1" si="0"/>
        <v/>
      </c>
      <c r="W43" s="191"/>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row>
    <row r="44" spans="1:104" s="55" customFormat="1">
      <c r="A44" s="138"/>
      <c r="B44" s="135"/>
      <c r="C44" s="136"/>
      <c r="D44" s="136"/>
      <c r="E44" s="136"/>
      <c r="F44" s="135"/>
      <c r="G44" s="135"/>
      <c r="H44" s="135"/>
      <c r="I44" s="135"/>
      <c r="J44" s="135"/>
      <c r="K44" s="135"/>
      <c r="L44" s="135"/>
      <c r="M44" s="56" t="str" cm="1">
        <f t="array" aca="1" ref="M44" ca="1">IF($A44="","",_xlfn.TEXTJOIN(",",TRUE,_xlfn.MAP(_xlfn._xlws.FILTER(Team_Members,Team_Members&lt;&gt;""),_xlfn.LAMBDA(_xlpm.x,IFERROR(IF(_xlfn.XMATCH($A44,INDIRECT("'"&amp;_xlpm.x&amp;"'!$B$14:$B$150"))&gt;0,_xlpm.x),"")))))</f>
        <v/>
      </c>
      <c r="N44" s="135"/>
      <c r="O44" s="4" t="str" cm="1">
        <f t="array" aca="1" ref="O44" ca="1">IFERROR(_xlfn.LET(_xlpm.Lst,_xlfn.MAP(Team_Members,_xlfn.LAMBDA(_xlpm.x,IFERROR(_xlfn.XLOOKUP($A44,INDIRECT("'"&amp;_xlpm.x&amp;"'!$B$14:$B$150"),INDIRECT("'"&amp;_xlpm.x&amp;"'!$D$14:$D$150")),""))),_xlpm.F_Lst,_xlfn._xlws.FILTER(_xlpm.Lst,_xlpm.Lst&lt;&gt;""),IF(COUNTA(_xlfn.UNIQUE(_xlpm.F_Lst))=1,INDEX(_xlpm.F_Lst,1),"WIP")),"")</f>
        <v/>
      </c>
      <c r="P44" s="137"/>
      <c r="Q44" s="137"/>
      <c r="R44" s="58" t="str" cm="1">
        <f t="array" aca="1" ref="R44" ca="1">IF($M44="","",_xlfn.LET(_xlpm.min,MIN(_xlfn.MAP(_xlfn.TEXTSPLIT($M44,","),_xlfn.LAMBDA(_xlpm.ref,IFERROR(INDEX(INDIRECT("'"&amp;_xlpm.ref&amp;"'!$AE$5:$OE$5"),MATCH(TRUE,INDEX(INDIRECT("'" &amp; _xlpm.ref &amp; "'!$AE$" &amp; (ROW(INDIRECT("'"&amp;_xlpm.ref&amp;"'!$B$14"))-1 + MATCH($A44, INDIRECT("'" &amp; _xlpm.ref &amp; "'!$B$14:$B$150"), 0)) &amp; ":$OE$" &amp; (ROW(INDIRECT("'"&amp;_xlpm.ref&amp;"'!$B$14"))-1 + MATCH($A44, INDIRECT("'" &amp; _xlpm.ref &amp; "'!$B$14:$B$150"), 0)))&lt;&gt;"",0),0)),"")))),IF(_xlpm.min=0,"",_xlpm.min)))</f>
        <v/>
      </c>
      <c r="S44" s="4" t="str" cm="1">
        <f t="array" aca="1" ref="S44" ca="1">IF($M44="","",SUM(_xlfn.MAP(_xlfn.TEXTSPLIT($M44,","),_xlfn.LAMBDA(_xlpm.ref,_xlfn.XLOOKUP($A44,INDIRECT("'"&amp;_xlpm.ref&amp;"'!$B$14:$B$150"),INDIRECT("'"&amp;_xlpm.ref&amp;"'!$E$14:$E$150"),0)))))</f>
        <v/>
      </c>
      <c r="T44" s="4" t="str" cm="1">
        <f t="array" aca="1" ref="T44" ca="1">IF($M44="","",SUM(_xlfn.MAP(_xlfn.TEXTSPLIT($M44,","),_xlfn.LAMBDA(_xlpm.ref,_xlfn.XLOOKUP($A44,INDIRECT("'"&amp;_xlpm.ref&amp;"'!$B$14:$B$150"),INDIRECT("'"&amp;_xlpm.ref&amp;"'!$F$14:$F$150"),0)))))</f>
        <v/>
      </c>
      <c r="U44" s="61" t="str" cm="1">
        <f t="array" aca="1" ref="U44" ca="1">IF($O44="Completed",MAX(IFERROR(_xlfn.MAP(_xlfn.TEXTSPLIT($M44, ","),_xlfn.LAMBDA(_xlpm.ref,INDEX(INDIRECT("'" &amp; _xlpm.ref &amp; "'!AE5:OE5"),1,LOOKUP(2,1 / (INDIRECT("'" &amp; _xlpm.ref &amp; "'!AE"&amp;(ROW(INDIRECT("'"&amp;_xlpm.ref&amp;"'!$B$14"))-1 + MATCH($A44, INDIRECT("'" &amp; _xlpm.ref &amp; "'!$B$14:$B$150"), 0)) &amp;":OE"&amp;(ROW(INDIRECT("'"&amp;_xlpm.ref&amp;"'!$B$14"))-1 + MATCH($A44, INDIRECT("'" &amp; _xlpm.ref &amp; "'!$B$14:$B$150"), 0)) ) &lt;&gt; ""),COLUMN($AD$14:$OD$14) - COLUMN($AD$14) + 1 )))),"")),"")</f>
        <v/>
      </c>
      <c r="V44" s="167" t="str">
        <f t="shared" ca="1" si="0"/>
        <v/>
      </c>
      <c r="W44" s="191"/>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row>
    <row r="45" spans="1:104" s="55" customFormat="1">
      <c r="A45" s="138"/>
      <c r="B45" s="135"/>
      <c r="C45" s="136"/>
      <c r="D45" s="136"/>
      <c r="E45" s="136"/>
      <c r="F45" s="135"/>
      <c r="G45" s="135"/>
      <c r="H45" s="135"/>
      <c r="I45" s="135"/>
      <c r="J45" s="135"/>
      <c r="K45" s="135"/>
      <c r="L45" s="135"/>
      <c r="M45" s="56" t="str" cm="1">
        <f t="array" aca="1" ref="M45" ca="1">IF($A45="","",_xlfn.TEXTJOIN(",",TRUE,_xlfn.MAP(_xlfn._xlws.FILTER(Team_Members,Team_Members&lt;&gt;""),_xlfn.LAMBDA(_xlpm.x,IFERROR(IF(_xlfn.XMATCH($A45,INDIRECT("'"&amp;_xlpm.x&amp;"'!$B$14:$B$150"))&gt;0,_xlpm.x),"")))))</f>
        <v/>
      </c>
      <c r="N45" s="135"/>
      <c r="O45" s="4" t="str" cm="1">
        <f t="array" aca="1" ref="O45" ca="1">IFERROR(_xlfn.LET(_xlpm.Lst,_xlfn.MAP(Team_Members,_xlfn.LAMBDA(_xlpm.x,IFERROR(_xlfn.XLOOKUP($A45,INDIRECT("'"&amp;_xlpm.x&amp;"'!$B$14:$B$150"),INDIRECT("'"&amp;_xlpm.x&amp;"'!$D$14:$D$150")),""))),_xlpm.F_Lst,_xlfn._xlws.FILTER(_xlpm.Lst,_xlpm.Lst&lt;&gt;""),IF(COUNTA(_xlfn.UNIQUE(_xlpm.F_Lst))=1,INDEX(_xlpm.F_Lst,1),"WIP")),"")</f>
        <v/>
      </c>
      <c r="P45" s="137"/>
      <c r="Q45" s="137"/>
      <c r="R45" s="58" t="str" cm="1">
        <f t="array" aca="1" ref="R45" ca="1">IF($M45="","",_xlfn.LET(_xlpm.min,MIN(_xlfn.MAP(_xlfn.TEXTSPLIT($M45,","),_xlfn.LAMBDA(_xlpm.ref,IFERROR(INDEX(INDIRECT("'"&amp;_xlpm.ref&amp;"'!$AE$5:$OE$5"),MATCH(TRUE,INDEX(INDIRECT("'" &amp; _xlpm.ref &amp; "'!$AE$" &amp; (ROW(INDIRECT("'"&amp;_xlpm.ref&amp;"'!$B$14"))-1 + MATCH($A45, INDIRECT("'" &amp; _xlpm.ref &amp; "'!$B$14:$B$150"), 0)) &amp; ":$OE$" &amp; (ROW(INDIRECT("'"&amp;_xlpm.ref&amp;"'!$B$14"))-1 + MATCH($A45, INDIRECT("'" &amp; _xlpm.ref &amp; "'!$B$14:$B$150"), 0)))&lt;&gt;"",0),0)),"")))),IF(_xlpm.min=0,"",_xlpm.min)))</f>
        <v/>
      </c>
      <c r="S45" s="4" t="str" cm="1">
        <f t="array" aca="1" ref="S45" ca="1">IF($M45="","",SUM(_xlfn.MAP(_xlfn.TEXTSPLIT($M45,","),_xlfn.LAMBDA(_xlpm.ref,_xlfn.XLOOKUP($A45,INDIRECT("'"&amp;_xlpm.ref&amp;"'!$B$14:$B$150"),INDIRECT("'"&amp;_xlpm.ref&amp;"'!$E$14:$E$150"),0)))))</f>
        <v/>
      </c>
      <c r="T45" s="4" t="str" cm="1">
        <f t="array" aca="1" ref="T45" ca="1">IF($M45="","",SUM(_xlfn.MAP(_xlfn.TEXTSPLIT($M45,","),_xlfn.LAMBDA(_xlpm.ref,_xlfn.XLOOKUP($A45,INDIRECT("'"&amp;_xlpm.ref&amp;"'!$B$14:$B$150"),INDIRECT("'"&amp;_xlpm.ref&amp;"'!$F$14:$F$150"),0)))))</f>
        <v/>
      </c>
      <c r="U45" s="61" t="str" cm="1">
        <f t="array" aca="1" ref="U45" ca="1">IF($O45="Completed",MAX(IFERROR(_xlfn.MAP(_xlfn.TEXTSPLIT($M45, ","),_xlfn.LAMBDA(_xlpm.ref,INDEX(INDIRECT("'" &amp; _xlpm.ref &amp; "'!AE5:OE5"),1,LOOKUP(2,1 / (INDIRECT("'" &amp; _xlpm.ref &amp; "'!AE"&amp;(ROW(INDIRECT("'"&amp;_xlpm.ref&amp;"'!$B$14"))-1 + MATCH($A45, INDIRECT("'" &amp; _xlpm.ref &amp; "'!$B$14:$B$150"), 0)) &amp;":OE"&amp;(ROW(INDIRECT("'"&amp;_xlpm.ref&amp;"'!$B$14"))-1 + MATCH($A45, INDIRECT("'" &amp; _xlpm.ref &amp; "'!$B$14:$B$150"), 0)) ) &lt;&gt; ""),COLUMN($AD$14:$OD$14) - COLUMN($AD$14) + 1 )))),"")),"")</f>
        <v/>
      </c>
      <c r="V45" s="167" t="str">
        <f t="shared" ca="1" si="0"/>
        <v/>
      </c>
      <c r="W45" s="191"/>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row>
    <row r="46" spans="1:104" s="55" customFormat="1">
      <c r="A46" s="138"/>
      <c r="B46" s="135"/>
      <c r="C46" s="136"/>
      <c r="D46" s="136"/>
      <c r="E46" s="135"/>
      <c r="F46" s="135"/>
      <c r="G46" s="135"/>
      <c r="H46" s="135"/>
      <c r="I46" s="135"/>
      <c r="J46" s="135"/>
      <c r="K46" s="135"/>
      <c r="L46" s="135"/>
      <c r="M46" s="56" t="str" cm="1">
        <f t="array" aca="1" ref="M46" ca="1">IF($A46="","",_xlfn.TEXTJOIN(",",TRUE,_xlfn.MAP(_xlfn._xlws.FILTER(Team_Members,Team_Members&lt;&gt;""),_xlfn.LAMBDA(_xlpm.x,IFERROR(IF(_xlfn.XMATCH($A46,INDIRECT("'"&amp;_xlpm.x&amp;"'!$B$14:$B$150"))&gt;0,_xlpm.x),"")))))</f>
        <v/>
      </c>
      <c r="N46" s="135"/>
      <c r="O46" s="4" t="str" cm="1">
        <f t="array" aca="1" ref="O46" ca="1">IFERROR(_xlfn.LET(_xlpm.Lst,_xlfn.MAP(Team_Members,_xlfn.LAMBDA(_xlpm.x,IFERROR(_xlfn.XLOOKUP($A46,INDIRECT("'"&amp;_xlpm.x&amp;"'!$B$14:$B$150"),INDIRECT("'"&amp;_xlpm.x&amp;"'!$D$14:$D$150")),""))),_xlpm.F_Lst,_xlfn._xlws.FILTER(_xlpm.Lst,_xlpm.Lst&lt;&gt;""),IF(COUNTA(_xlfn.UNIQUE(_xlpm.F_Lst))=1,INDEX(_xlpm.F_Lst,1),"WIP")),"")</f>
        <v/>
      </c>
      <c r="P46" s="137"/>
      <c r="Q46" s="137"/>
      <c r="R46" s="58" t="str" cm="1">
        <f t="array" aca="1" ref="R46" ca="1">IF($M46="","",_xlfn.LET(_xlpm.min,MIN(_xlfn.MAP(_xlfn.TEXTSPLIT($M46,","),_xlfn.LAMBDA(_xlpm.ref,IFERROR(INDEX(INDIRECT("'"&amp;_xlpm.ref&amp;"'!$AE$5:$OE$5"),MATCH(TRUE,INDEX(INDIRECT("'" &amp; _xlpm.ref &amp; "'!$AE$" &amp; (ROW(INDIRECT("'"&amp;_xlpm.ref&amp;"'!$B$14"))-1 + MATCH($A46, INDIRECT("'" &amp; _xlpm.ref &amp; "'!$B$14:$B$150"), 0)) &amp; ":$OE$" &amp; (ROW(INDIRECT("'"&amp;_xlpm.ref&amp;"'!$B$14"))-1 + MATCH($A46, INDIRECT("'" &amp; _xlpm.ref &amp; "'!$B$14:$B$150"), 0)))&lt;&gt;"",0),0)),"")))),IF(_xlpm.min=0,"",_xlpm.min)))</f>
        <v/>
      </c>
      <c r="S46" s="4" t="str" cm="1">
        <f t="array" aca="1" ref="S46" ca="1">IF($M46="","",SUM(_xlfn.MAP(_xlfn.TEXTSPLIT($M46,","),_xlfn.LAMBDA(_xlpm.ref,_xlfn.XLOOKUP($A46,INDIRECT("'"&amp;_xlpm.ref&amp;"'!$B$14:$B$150"),INDIRECT("'"&amp;_xlpm.ref&amp;"'!$E$14:$E$150"),0)))))</f>
        <v/>
      </c>
      <c r="T46" s="4" t="str" cm="1">
        <f t="array" aca="1" ref="T46" ca="1">IF($M46="","",SUM(_xlfn.MAP(_xlfn.TEXTSPLIT($M46,","),_xlfn.LAMBDA(_xlpm.ref,_xlfn.XLOOKUP($A46,INDIRECT("'"&amp;_xlpm.ref&amp;"'!$B$14:$B$150"),INDIRECT("'"&amp;_xlpm.ref&amp;"'!$F$14:$F$150"),0)))))</f>
        <v/>
      </c>
      <c r="U46" s="61" t="str" cm="1">
        <f t="array" aca="1" ref="U46" ca="1">IF($O46="Completed",MAX(IFERROR(_xlfn.MAP(_xlfn.TEXTSPLIT($M46, ","),_xlfn.LAMBDA(_xlpm.ref,INDEX(INDIRECT("'" &amp; _xlpm.ref &amp; "'!AE5:OE5"),1,LOOKUP(2,1 / (INDIRECT("'" &amp; _xlpm.ref &amp; "'!AE"&amp;(ROW(INDIRECT("'"&amp;_xlpm.ref&amp;"'!$B$14"))-1 + MATCH($A46, INDIRECT("'" &amp; _xlpm.ref &amp; "'!$B$14:$B$150"), 0)) &amp;":OE"&amp;(ROW(INDIRECT("'"&amp;_xlpm.ref&amp;"'!$B$14"))-1 + MATCH($A46, INDIRECT("'" &amp; _xlpm.ref &amp; "'!$B$14:$B$150"), 0)) ) &lt;&gt; ""),COLUMN($AD$14:$OD$14) - COLUMN($AD$14) + 1 )))),"")),"")</f>
        <v/>
      </c>
      <c r="V46" s="167" t="str">
        <f t="shared" ca="1" si="0"/>
        <v/>
      </c>
      <c r="W46" s="191"/>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row>
    <row r="47" spans="1:104">
      <c r="A47" s="138"/>
      <c r="B47" s="135"/>
      <c r="C47" s="136"/>
      <c r="D47" s="136"/>
      <c r="E47" s="135"/>
      <c r="F47" s="135"/>
      <c r="G47" s="135"/>
      <c r="H47" s="135"/>
      <c r="I47" s="135"/>
      <c r="J47" s="135"/>
      <c r="K47" s="135"/>
      <c r="L47" s="135"/>
      <c r="M47" s="56" t="str" cm="1">
        <f t="array" aca="1" ref="M47" ca="1">IF($A47="","",_xlfn.TEXTJOIN(",",TRUE,_xlfn.MAP(_xlfn._xlws.FILTER(Team_Members,Team_Members&lt;&gt;""),_xlfn.LAMBDA(_xlpm.x,IFERROR(IF(_xlfn.XMATCH($A47,INDIRECT("'"&amp;_xlpm.x&amp;"'!$B$14:$B$150"))&gt;0,_xlpm.x),"")))))</f>
        <v/>
      </c>
      <c r="N47" s="135"/>
      <c r="O47" s="4" t="str" cm="1">
        <f t="array" aca="1" ref="O47" ca="1">IFERROR(_xlfn.LET(_xlpm.Lst,_xlfn.MAP(Team_Members,_xlfn.LAMBDA(_xlpm.x,IFERROR(_xlfn.XLOOKUP($A47,INDIRECT("'"&amp;_xlpm.x&amp;"'!$B$14:$B$150"),INDIRECT("'"&amp;_xlpm.x&amp;"'!$D$14:$D$150")),""))),_xlpm.F_Lst,_xlfn._xlws.FILTER(_xlpm.Lst,_xlpm.Lst&lt;&gt;""),IF(COUNTA(_xlfn.UNIQUE(_xlpm.F_Lst))=1,INDEX(_xlpm.F_Lst,1),"WIP")),"")</f>
        <v/>
      </c>
      <c r="P47" s="137"/>
      <c r="Q47" s="137"/>
      <c r="R47" s="58" t="str" cm="1">
        <f t="array" aca="1" ref="R47" ca="1">IF($M47="","",_xlfn.LET(_xlpm.min,MIN(_xlfn.MAP(_xlfn.TEXTSPLIT($M47,","),_xlfn.LAMBDA(_xlpm.ref,IFERROR(INDEX(INDIRECT("'"&amp;_xlpm.ref&amp;"'!$AE$5:$OE$5"),MATCH(TRUE,INDEX(INDIRECT("'" &amp; _xlpm.ref &amp; "'!$AE$" &amp; (ROW(INDIRECT("'"&amp;_xlpm.ref&amp;"'!$B$14"))-1 + MATCH($A47, INDIRECT("'" &amp; _xlpm.ref &amp; "'!$B$14:$B$150"), 0)) &amp; ":$OE$" &amp; (ROW(INDIRECT("'"&amp;_xlpm.ref&amp;"'!$B$14"))-1 + MATCH($A47, INDIRECT("'" &amp; _xlpm.ref &amp; "'!$B$14:$B$150"), 0)))&lt;&gt;"",0),0)),"")))),IF(_xlpm.min=0,"",_xlpm.min)))</f>
        <v/>
      </c>
      <c r="S47" s="4" t="str" cm="1">
        <f t="array" aca="1" ref="S47" ca="1">IF($M47="","",SUM(_xlfn.MAP(_xlfn.TEXTSPLIT($M47,","),_xlfn.LAMBDA(_xlpm.ref,_xlfn.XLOOKUP($A47,INDIRECT("'"&amp;_xlpm.ref&amp;"'!$B$14:$B$150"),INDIRECT("'"&amp;_xlpm.ref&amp;"'!$E$14:$E$150"),0)))))</f>
        <v/>
      </c>
      <c r="T47" s="4" t="str" cm="1">
        <f t="array" aca="1" ref="T47" ca="1">IF($M47="","",SUM(_xlfn.MAP(_xlfn.TEXTSPLIT($M47,","),_xlfn.LAMBDA(_xlpm.ref,_xlfn.XLOOKUP($A47,INDIRECT("'"&amp;_xlpm.ref&amp;"'!$B$14:$B$150"),INDIRECT("'"&amp;_xlpm.ref&amp;"'!$F$14:$F$150"),0)))))</f>
        <v/>
      </c>
      <c r="U47" s="61" t="str" cm="1">
        <f t="array" aca="1" ref="U47" ca="1">IF($O47="Completed",MAX(IFERROR(_xlfn.MAP(_xlfn.TEXTSPLIT($M47, ","),_xlfn.LAMBDA(_xlpm.ref,INDEX(INDIRECT("'" &amp; _xlpm.ref &amp; "'!AE5:OE5"),1,LOOKUP(2,1 / (INDIRECT("'" &amp; _xlpm.ref &amp; "'!AE"&amp;(ROW(INDIRECT("'"&amp;_xlpm.ref&amp;"'!$B$14"))-1 + MATCH($A47, INDIRECT("'" &amp; _xlpm.ref &amp; "'!$B$14:$B$150"), 0)) &amp;":OE"&amp;(ROW(INDIRECT("'"&amp;_xlpm.ref&amp;"'!$B$14"))-1 + MATCH($A47, INDIRECT("'" &amp; _xlpm.ref &amp; "'!$B$14:$B$150"), 0)) ) &lt;&gt; ""),COLUMN($AD$14:$OD$14) - COLUMN($AD$14) + 1 )))),"")),"")</f>
        <v/>
      </c>
      <c r="V47" s="167" t="str">
        <f t="shared" ca="1" si="0"/>
        <v/>
      </c>
    </row>
    <row r="48" spans="1:104">
      <c r="A48" s="138"/>
      <c r="B48" s="135"/>
      <c r="C48" s="136"/>
      <c r="D48" s="136"/>
      <c r="E48" s="135"/>
      <c r="F48" s="135"/>
      <c r="G48" s="135"/>
      <c r="H48" s="135"/>
      <c r="I48" s="135"/>
      <c r="J48" s="135"/>
      <c r="K48" s="135"/>
      <c r="L48" s="135"/>
      <c r="M48" s="56" t="str" cm="1">
        <f t="array" aca="1" ref="M48" ca="1">IF($A48="","",_xlfn.TEXTJOIN(",",TRUE,_xlfn.MAP(_xlfn._xlws.FILTER(Team_Members,Team_Members&lt;&gt;""),_xlfn.LAMBDA(_xlpm.x,IFERROR(IF(_xlfn.XMATCH($A48,INDIRECT("'"&amp;_xlpm.x&amp;"'!$B$14:$B$150"))&gt;0,_xlpm.x),"")))))</f>
        <v/>
      </c>
      <c r="N48" s="135"/>
      <c r="O48" s="4" t="str" cm="1">
        <f t="array" aca="1" ref="O48" ca="1">IFERROR(_xlfn.LET(_xlpm.Lst,_xlfn.MAP(Team_Members,_xlfn.LAMBDA(_xlpm.x,IFERROR(_xlfn.XLOOKUP($A48,INDIRECT("'"&amp;_xlpm.x&amp;"'!$B$14:$B$150"),INDIRECT("'"&amp;_xlpm.x&amp;"'!$D$14:$D$150")),""))),_xlpm.F_Lst,_xlfn._xlws.FILTER(_xlpm.Lst,_xlpm.Lst&lt;&gt;""),IF(COUNTA(_xlfn.UNIQUE(_xlpm.F_Lst))=1,INDEX(_xlpm.F_Lst,1),"WIP")),"")</f>
        <v/>
      </c>
      <c r="P48" s="137"/>
      <c r="Q48" s="137"/>
      <c r="R48" s="58" t="str" cm="1">
        <f t="array" aca="1" ref="R48" ca="1">IF($M48="","",_xlfn.LET(_xlpm.min,MIN(_xlfn.MAP(_xlfn.TEXTSPLIT($M48,","),_xlfn.LAMBDA(_xlpm.ref,IFERROR(INDEX(INDIRECT("'"&amp;_xlpm.ref&amp;"'!$AE$5:$OE$5"),MATCH(TRUE,INDEX(INDIRECT("'" &amp; _xlpm.ref &amp; "'!$AE$" &amp; (ROW(INDIRECT("'"&amp;_xlpm.ref&amp;"'!$B$14"))-1 + MATCH($A48, INDIRECT("'" &amp; _xlpm.ref &amp; "'!$B$14:$B$150"), 0)) &amp; ":$OE$" &amp; (ROW(INDIRECT("'"&amp;_xlpm.ref&amp;"'!$B$14"))-1 + MATCH($A48, INDIRECT("'" &amp; _xlpm.ref &amp; "'!$B$14:$B$150"), 0)))&lt;&gt;"",0),0)),"")))),IF(_xlpm.min=0,"",_xlpm.min)))</f>
        <v/>
      </c>
      <c r="S48" s="4" t="str" cm="1">
        <f t="array" aca="1" ref="S48" ca="1">IF($M48="","",SUM(_xlfn.MAP(_xlfn.TEXTSPLIT($M48,","),_xlfn.LAMBDA(_xlpm.ref,_xlfn.XLOOKUP($A48,INDIRECT("'"&amp;_xlpm.ref&amp;"'!$B$14:$B$150"),INDIRECT("'"&amp;_xlpm.ref&amp;"'!$E$14:$E$150"),0)))))</f>
        <v/>
      </c>
      <c r="T48" s="4" t="str" cm="1">
        <f t="array" aca="1" ref="T48" ca="1">IF($M48="","",SUM(_xlfn.MAP(_xlfn.TEXTSPLIT($M48,","),_xlfn.LAMBDA(_xlpm.ref,_xlfn.XLOOKUP($A48,INDIRECT("'"&amp;_xlpm.ref&amp;"'!$B$14:$B$150"),INDIRECT("'"&amp;_xlpm.ref&amp;"'!$F$14:$F$150"),0)))))</f>
        <v/>
      </c>
      <c r="U48" s="61" t="str" cm="1">
        <f t="array" aca="1" ref="U48" ca="1">IF($O48="Completed",MAX(IFERROR(_xlfn.MAP(_xlfn.TEXTSPLIT($M48, ","),_xlfn.LAMBDA(_xlpm.ref,INDEX(INDIRECT("'" &amp; _xlpm.ref &amp; "'!AE5:OE5"),1,LOOKUP(2,1 / (INDIRECT("'" &amp; _xlpm.ref &amp; "'!AE"&amp;(ROW(INDIRECT("'"&amp;_xlpm.ref&amp;"'!$B$14"))-1 + MATCH($A48, INDIRECT("'" &amp; _xlpm.ref &amp; "'!$B$14:$B$150"), 0)) &amp;":OE"&amp;(ROW(INDIRECT("'"&amp;_xlpm.ref&amp;"'!$B$14"))-1 + MATCH($A48, INDIRECT("'" &amp; _xlpm.ref &amp; "'!$B$14:$B$150"), 0)) ) &lt;&gt; ""),COLUMN($AD$14:$OD$14) - COLUMN($AD$14) + 1 )))),"")),"")</f>
        <v/>
      </c>
      <c r="V48" s="167" t="str">
        <f t="shared" ca="1" si="0"/>
        <v/>
      </c>
    </row>
    <row r="49" spans="1:22">
      <c r="A49" s="138"/>
      <c r="B49" s="135"/>
      <c r="C49" s="136"/>
      <c r="D49" s="136"/>
      <c r="E49" s="135"/>
      <c r="F49" s="135"/>
      <c r="G49" s="135"/>
      <c r="H49" s="135"/>
      <c r="I49" s="135"/>
      <c r="J49" s="135"/>
      <c r="K49" s="135"/>
      <c r="L49" s="135"/>
      <c r="M49" s="56" t="str" cm="1">
        <f t="array" aca="1" ref="M49" ca="1">IF($A49="","",_xlfn.TEXTJOIN(",",TRUE,_xlfn.MAP(_xlfn._xlws.FILTER(Team_Members,Team_Members&lt;&gt;""),_xlfn.LAMBDA(_xlpm.x,IFERROR(IF(_xlfn.XMATCH($A49,INDIRECT("'"&amp;_xlpm.x&amp;"'!$B$14:$B$150"))&gt;0,_xlpm.x),"")))))</f>
        <v/>
      </c>
      <c r="N49" s="135"/>
      <c r="O49" s="4" t="str" cm="1">
        <f t="array" aca="1" ref="O49" ca="1">IFERROR(_xlfn.LET(_xlpm.Lst,_xlfn.MAP(Team_Members,_xlfn.LAMBDA(_xlpm.x,IFERROR(_xlfn.XLOOKUP($A49,INDIRECT("'"&amp;_xlpm.x&amp;"'!$B$14:$B$150"),INDIRECT("'"&amp;_xlpm.x&amp;"'!$D$14:$D$150")),""))),_xlpm.F_Lst,_xlfn._xlws.FILTER(_xlpm.Lst,_xlpm.Lst&lt;&gt;""),IF(COUNTA(_xlfn.UNIQUE(_xlpm.F_Lst))=1,INDEX(_xlpm.F_Lst,1),"WIP")),"")</f>
        <v/>
      </c>
      <c r="P49" s="137"/>
      <c r="Q49" s="137"/>
      <c r="R49" s="58" t="str" cm="1">
        <f t="array" aca="1" ref="R49" ca="1">IF($M49="","",_xlfn.LET(_xlpm.min,MIN(_xlfn.MAP(_xlfn.TEXTSPLIT($M49,","),_xlfn.LAMBDA(_xlpm.ref,IFERROR(INDEX(INDIRECT("'"&amp;_xlpm.ref&amp;"'!$AE$5:$OE$5"),MATCH(TRUE,INDEX(INDIRECT("'" &amp; _xlpm.ref &amp; "'!$AE$" &amp; (ROW(INDIRECT("'"&amp;_xlpm.ref&amp;"'!$B$14"))-1 + MATCH($A49, INDIRECT("'" &amp; _xlpm.ref &amp; "'!$B$14:$B$150"), 0)) &amp; ":$OE$" &amp; (ROW(INDIRECT("'"&amp;_xlpm.ref&amp;"'!$B$14"))-1 + MATCH($A49, INDIRECT("'" &amp; _xlpm.ref &amp; "'!$B$14:$B$150"), 0)))&lt;&gt;"",0),0)),"")))),IF(_xlpm.min=0,"",_xlpm.min)))</f>
        <v/>
      </c>
      <c r="S49" s="4" t="str" cm="1">
        <f t="array" aca="1" ref="S49" ca="1">IF($M49="","",SUM(_xlfn.MAP(_xlfn.TEXTSPLIT($M49,","),_xlfn.LAMBDA(_xlpm.ref,_xlfn.XLOOKUP($A49,INDIRECT("'"&amp;_xlpm.ref&amp;"'!$B$14:$B$150"),INDIRECT("'"&amp;_xlpm.ref&amp;"'!$E$14:$E$150"),0)))))</f>
        <v/>
      </c>
      <c r="T49" s="4" t="str" cm="1">
        <f t="array" aca="1" ref="T49" ca="1">IF($M49="","",SUM(_xlfn.MAP(_xlfn.TEXTSPLIT($M49,","),_xlfn.LAMBDA(_xlpm.ref,_xlfn.XLOOKUP($A49,INDIRECT("'"&amp;_xlpm.ref&amp;"'!$B$14:$B$150"),INDIRECT("'"&amp;_xlpm.ref&amp;"'!$F$14:$F$150"),0)))))</f>
        <v/>
      </c>
      <c r="U49" s="61" t="str" cm="1">
        <f t="array" aca="1" ref="U49" ca="1">IF($O49="Completed",MAX(IFERROR(_xlfn.MAP(_xlfn.TEXTSPLIT($M49, ","),_xlfn.LAMBDA(_xlpm.ref,INDEX(INDIRECT("'" &amp; _xlpm.ref &amp; "'!AE5:OE5"),1,LOOKUP(2,1 / (INDIRECT("'" &amp; _xlpm.ref &amp; "'!AE"&amp;(ROW(INDIRECT("'"&amp;_xlpm.ref&amp;"'!$B$14"))-1 + MATCH($A49, INDIRECT("'" &amp; _xlpm.ref &amp; "'!$B$14:$B$150"), 0)) &amp;":OE"&amp;(ROW(INDIRECT("'"&amp;_xlpm.ref&amp;"'!$B$14"))-1 + MATCH($A49, INDIRECT("'" &amp; _xlpm.ref &amp; "'!$B$14:$B$150"), 0)) ) &lt;&gt; ""),COLUMN($AD$14:$OD$14) - COLUMN($AD$14) + 1 )))),"")),"")</f>
        <v/>
      </c>
      <c r="V49" s="167" t="str">
        <f t="shared" ca="1" si="0"/>
        <v/>
      </c>
    </row>
    <row r="50" spans="1:22">
      <c r="A50" s="127"/>
      <c r="B50" s="127"/>
      <c r="C50" s="128"/>
      <c r="D50" s="128"/>
      <c r="E50" s="127"/>
      <c r="F50" s="127"/>
      <c r="G50" s="127"/>
      <c r="H50" s="127"/>
      <c r="I50" s="127"/>
      <c r="J50" s="127"/>
      <c r="K50" s="127"/>
      <c r="L50" s="127"/>
      <c r="M50" s="56" t="str" cm="1">
        <f t="array" aca="1" ref="M50" ca="1">IF($A50="","",_xlfn.TEXTJOIN(",",TRUE,_xlfn.MAP(_xlfn._xlws.FILTER(Team_Members,Team_Members&lt;&gt;""),_xlfn.LAMBDA(_xlpm.x,IFERROR(IF(_xlfn.XMATCH($A50,INDIRECT("'"&amp;_xlpm.x&amp;"'!$B$14:$B$150"))&gt;0,_xlpm.x),"")))))</f>
        <v/>
      </c>
      <c r="N50" s="127"/>
      <c r="O50" s="4" t="str" cm="1">
        <f t="array" aca="1" ref="O50" ca="1">IFERROR(_xlfn.LET(_xlpm.Lst,_xlfn.MAP(Team_Members,_xlfn.LAMBDA(_xlpm.x,IFERROR(_xlfn.XLOOKUP($A50,INDIRECT("'"&amp;_xlpm.x&amp;"'!$B$14:$B$150"),INDIRECT("'"&amp;_xlpm.x&amp;"'!$D$14:$D$150")),""))),_xlpm.F_Lst,_xlfn._xlws.FILTER(_xlpm.Lst,_xlpm.Lst&lt;&gt;""),IF(COUNTA(_xlfn.UNIQUE(_xlpm.F_Lst))=1,INDEX(_xlpm.F_Lst,1),"WIP")),"")</f>
        <v/>
      </c>
      <c r="P50" s="127"/>
      <c r="Q50" s="127"/>
      <c r="R50" s="58" t="str" cm="1">
        <f t="array" aca="1" ref="R50" ca="1">IF($M50="","",_xlfn.LET(_xlpm.min,MIN(_xlfn.MAP(_xlfn.TEXTSPLIT($M50,","),_xlfn.LAMBDA(_xlpm.ref,IFERROR(INDEX(INDIRECT("'"&amp;_xlpm.ref&amp;"'!$AE$5:$OE$5"),MATCH(TRUE,INDEX(INDIRECT("'" &amp; _xlpm.ref &amp; "'!$AE$" &amp; (ROW(INDIRECT("'"&amp;_xlpm.ref&amp;"'!$B$14"))-1 + MATCH($A50, INDIRECT("'" &amp; _xlpm.ref &amp; "'!$B$14:$B$150"), 0)) &amp; ":$OE$" &amp; (ROW(INDIRECT("'"&amp;_xlpm.ref&amp;"'!$B$14"))-1 + MATCH($A50, INDIRECT("'" &amp; _xlpm.ref &amp; "'!$B$14:$B$150"), 0)))&lt;&gt;"",0),0)),"")))),IF(_xlpm.min=0,"",_xlpm.min)))</f>
        <v/>
      </c>
      <c r="S50" s="4" t="str" cm="1">
        <f t="array" aca="1" ref="S50" ca="1">IF($M50="","",SUM(_xlfn.MAP(_xlfn.TEXTSPLIT($M50,","),_xlfn.LAMBDA(_xlpm.ref,_xlfn.XLOOKUP($A50,INDIRECT("'"&amp;_xlpm.ref&amp;"'!$B$14:$B$150"),INDIRECT("'"&amp;_xlpm.ref&amp;"'!$E$14:$E$150"),0)))))</f>
        <v/>
      </c>
      <c r="T50" s="4" t="str" cm="1">
        <f t="array" aca="1" ref="T50" ca="1">IF($M50="","",SUM(_xlfn.MAP(_xlfn.TEXTSPLIT($M50,","),_xlfn.LAMBDA(_xlpm.ref,_xlfn.XLOOKUP($A50,INDIRECT("'"&amp;_xlpm.ref&amp;"'!$B$14:$B$150"),INDIRECT("'"&amp;_xlpm.ref&amp;"'!$F$14:$F$150"),0)))))</f>
        <v/>
      </c>
      <c r="U50" s="61" t="str" cm="1">
        <f t="array" aca="1" ref="U50" ca="1">IF($O50="Completed",MAX(IFERROR(_xlfn.MAP(_xlfn.TEXTSPLIT($M50, ","),_xlfn.LAMBDA(_xlpm.ref,INDEX(INDIRECT("'" &amp; _xlpm.ref &amp; "'!AE5:OE5"),1,LOOKUP(2,1 / (INDIRECT("'" &amp; _xlpm.ref &amp; "'!AE"&amp;(ROW(INDIRECT("'"&amp;_xlpm.ref&amp;"'!$B$14"))-1 + MATCH($A50, INDIRECT("'" &amp; _xlpm.ref &amp; "'!$B$14:$B$150"), 0)) &amp;":OE"&amp;(ROW(INDIRECT("'"&amp;_xlpm.ref&amp;"'!$B$14"))-1 + MATCH($A50, INDIRECT("'" &amp; _xlpm.ref &amp; "'!$B$14:$B$150"), 0)) ) &lt;&gt; ""),COLUMN($AD$14:$OD$14) - COLUMN($AD$14) + 1 )))),"")),"")</f>
        <v/>
      </c>
      <c r="V50" s="167" t="str">
        <f t="shared" ca="1" si="0"/>
        <v/>
      </c>
    </row>
    <row r="51" spans="1:22">
      <c r="A51" s="127"/>
      <c r="B51" s="127"/>
      <c r="C51" s="128"/>
      <c r="D51" s="128"/>
      <c r="E51" s="127"/>
      <c r="F51" s="127"/>
      <c r="G51" s="127"/>
      <c r="H51" s="127"/>
      <c r="I51" s="127"/>
      <c r="J51" s="127"/>
      <c r="K51" s="127"/>
      <c r="L51" s="127"/>
      <c r="M51" s="56" t="str" cm="1">
        <f t="array" aca="1" ref="M51" ca="1">IF($A51="","",_xlfn.TEXTJOIN(",",TRUE,_xlfn.MAP(_xlfn._xlws.FILTER(Team_Members,Team_Members&lt;&gt;""),_xlfn.LAMBDA(_xlpm.x,IFERROR(IF(_xlfn.XMATCH($A51,INDIRECT("'"&amp;_xlpm.x&amp;"'!$B$14:$B$150"))&gt;0,_xlpm.x),"")))))</f>
        <v/>
      </c>
      <c r="N51" s="127"/>
      <c r="O51" s="4" t="str" cm="1">
        <f t="array" aca="1" ref="O51" ca="1">IFERROR(_xlfn.LET(_xlpm.Lst,_xlfn.MAP(Team_Members,_xlfn.LAMBDA(_xlpm.x,IFERROR(_xlfn.XLOOKUP($A51,INDIRECT("'"&amp;_xlpm.x&amp;"'!$B$14:$B$150"),INDIRECT("'"&amp;_xlpm.x&amp;"'!$D$14:$D$150")),""))),_xlpm.F_Lst,_xlfn._xlws.FILTER(_xlpm.Lst,_xlpm.Lst&lt;&gt;""),IF(COUNTA(_xlfn.UNIQUE(_xlpm.F_Lst))=1,INDEX(_xlpm.F_Lst,1),"WIP")),"")</f>
        <v/>
      </c>
      <c r="P51" s="139"/>
      <c r="Q51" s="127"/>
      <c r="R51" s="58" t="str" cm="1">
        <f t="array" aca="1" ref="R51" ca="1">IF($M51="","",_xlfn.LET(_xlpm.min,MIN(_xlfn.MAP(_xlfn.TEXTSPLIT($M51,","),_xlfn.LAMBDA(_xlpm.ref,IFERROR(INDEX(INDIRECT("'"&amp;_xlpm.ref&amp;"'!$AE$5:$OE$5"),MATCH(TRUE,INDEX(INDIRECT("'" &amp; _xlpm.ref &amp; "'!$AE$" &amp; (ROW(INDIRECT("'"&amp;_xlpm.ref&amp;"'!$B$14"))-1 + MATCH($A51, INDIRECT("'" &amp; _xlpm.ref &amp; "'!$B$14:$B$150"), 0)) &amp; ":$OE$" &amp; (ROW(INDIRECT("'"&amp;_xlpm.ref&amp;"'!$B$14"))-1 + MATCH($A51, INDIRECT("'" &amp; _xlpm.ref &amp; "'!$B$14:$B$150"), 0)))&lt;&gt;"",0),0)),"")))),IF(_xlpm.min=0,"",_xlpm.min)))</f>
        <v/>
      </c>
      <c r="S51" s="4" t="str" cm="1">
        <f t="array" aca="1" ref="S51" ca="1">IF($M51="","",SUM(_xlfn.MAP(_xlfn.TEXTSPLIT($M51,","),_xlfn.LAMBDA(_xlpm.ref,_xlfn.XLOOKUP($A51,INDIRECT("'"&amp;_xlpm.ref&amp;"'!$B$14:$B$150"),INDIRECT("'"&amp;_xlpm.ref&amp;"'!$E$14:$E$150"),0)))))</f>
        <v/>
      </c>
      <c r="T51" s="4" t="str" cm="1">
        <f t="array" aca="1" ref="T51" ca="1">IF($M51="","",SUM(_xlfn.MAP(_xlfn.TEXTSPLIT($M51,","),_xlfn.LAMBDA(_xlpm.ref,_xlfn.XLOOKUP($A51,INDIRECT("'"&amp;_xlpm.ref&amp;"'!$B$14:$B$150"),INDIRECT("'"&amp;_xlpm.ref&amp;"'!$F$14:$F$150"),0)))))</f>
        <v/>
      </c>
      <c r="U51" s="61" t="str" cm="1">
        <f t="array" aca="1" ref="U51" ca="1">IF($O51="Completed",MAX(IFERROR(_xlfn.MAP(_xlfn.TEXTSPLIT($M51, ","),_xlfn.LAMBDA(_xlpm.ref,INDEX(INDIRECT("'" &amp; _xlpm.ref &amp; "'!AE5:OE5"),1,LOOKUP(2,1 / (INDIRECT("'" &amp; _xlpm.ref &amp; "'!AE"&amp;(ROW(INDIRECT("'"&amp;_xlpm.ref&amp;"'!$B$14"))-1 + MATCH($A51, INDIRECT("'" &amp; _xlpm.ref &amp; "'!$B$14:$B$150"), 0)) &amp;":OE"&amp;(ROW(INDIRECT("'"&amp;_xlpm.ref&amp;"'!$B$14"))-1 + MATCH($A51, INDIRECT("'" &amp; _xlpm.ref &amp; "'!$B$14:$B$150"), 0)) ) &lt;&gt; ""),COLUMN($AD$14:$OD$14) - COLUMN($AD$14) + 1 )))),"")),"")</f>
        <v/>
      </c>
      <c r="V51" s="167" t="str">
        <f t="shared" ca="1" si="0"/>
        <v/>
      </c>
    </row>
    <row r="52" spans="1:22">
      <c r="A52" s="127"/>
      <c r="B52" s="127"/>
      <c r="C52" s="128"/>
      <c r="D52" s="128"/>
      <c r="E52" s="127"/>
      <c r="F52" s="127"/>
      <c r="G52" s="127"/>
      <c r="H52" s="127"/>
      <c r="I52" s="127"/>
      <c r="J52" s="127"/>
      <c r="K52" s="127"/>
      <c r="L52" s="127"/>
      <c r="M52" s="56" t="str" cm="1">
        <f t="array" aca="1" ref="M52" ca="1">IF($A52="","",_xlfn.TEXTJOIN(",",TRUE,_xlfn.MAP(_xlfn._xlws.FILTER(Team_Members,Team_Members&lt;&gt;""),_xlfn.LAMBDA(_xlpm.x,IFERROR(IF(_xlfn.XMATCH($A52,INDIRECT("'"&amp;_xlpm.x&amp;"'!$B$14:$B$150"))&gt;0,_xlpm.x),"")))))</f>
        <v/>
      </c>
      <c r="N52" s="127"/>
      <c r="O52" s="4" t="str" cm="1">
        <f t="array" aca="1" ref="O52" ca="1">IFERROR(_xlfn.LET(_xlpm.Lst,_xlfn.MAP(Team_Members,_xlfn.LAMBDA(_xlpm.x,IFERROR(_xlfn.XLOOKUP($A52,INDIRECT("'"&amp;_xlpm.x&amp;"'!$B$14:$B$150"),INDIRECT("'"&amp;_xlpm.x&amp;"'!$D$14:$D$150")),""))),_xlpm.F_Lst,_xlfn._xlws.FILTER(_xlpm.Lst,_xlpm.Lst&lt;&gt;""),IF(COUNTA(_xlfn.UNIQUE(_xlpm.F_Lst))=1,INDEX(_xlpm.F_Lst,1),"WIP")),"")</f>
        <v/>
      </c>
      <c r="P52" s="139"/>
      <c r="Q52" s="127"/>
      <c r="R52" s="58" t="str" cm="1">
        <f t="array" aca="1" ref="R52" ca="1">IF($M52="","",_xlfn.LET(_xlpm.min,MIN(_xlfn.MAP(_xlfn.TEXTSPLIT($M52,","),_xlfn.LAMBDA(_xlpm.ref,IFERROR(INDEX(INDIRECT("'"&amp;_xlpm.ref&amp;"'!$AE$5:$OE$5"),MATCH(TRUE,INDEX(INDIRECT("'" &amp; _xlpm.ref &amp; "'!$AE$" &amp; (ROW(INDIRECT("'"&amp;_xlpm.ref&amp;"'!$B$14"))-1 + MATCH($A52, INDIRECT("'" &amp; _xlpm.ref &amp; "'!$B$14:$B$150"), 0)) &amp; ":$OE$" &amp; (ROW(INDIRECT("'"&amp;_xlpm.ref&amp;"'!$B$14"))-1 + MATCH($A52, INDIRECT("'" &amp; _xlpm.ref &amp; "'!$B$14:$B$150"), 0)))&lt;&gt;"",0),0)),"")))),IF(_xlpm.min=0,"",_xlpm.min)))</f>
        <v/>
      </c>
      <c r="S52" s="4" t="str" cm="1">
        <f t="array" aca="1" ref="S52" ca="1">IF($M52="","",SUM(_xlfn.MAP(_xlfn.TEXTSPLIT($M52,","),_xlfn.LAMBDA(_xlpm.ref,_xlfn.XLOOKUP($A52,INDIRECT("'"&amp;_xlpm.ref&amp;"'!$B$14:$B$150"),INDIRECT("'"&amp;_xlpm.ref&amp;"'!$E$14:$E$150"),0)))))</f>
        <v/>
      </c>
      <c r="T52" s="4" t="str" cm="1">
        <f t="array" aca="1" ref="T52" ca="1">IF($M52="","",SUM(_xlfn.MAP(_xlfn.TEXTSPLIT($M52,","),_xlfn.LAMBDA(_xlpm.ref,_xlfn.XLOOKUP($A52,INDIRECT("'"&amp;_xlpm.ref&amp;"'!$B$14:$B$150"),INDIRECT("'"&amp;_xlpm.ref&amp;"'!$F$14:$F$150"),0)))))</f>
        <v/>
      </c>
      <c r="U52" s="61" t="str" cm="1">
        <f t="array" aca="1" ref="U52" ca="1">IF($O52="Completed",MAX(IFERROR(_xlfn.MAP(_xlfn.TEXTSPLIT($M52, ","),_xlfn.LAMBDA(_xlpm.ref,INDEX(INDIRECT("'" &amp; _xlpm.ref &amp; "'!AE5:OE5"),1,LOOKUP(2,1 / (INDIRECT("'" &amp; _xlpm.ref &amp; "'!AE"&amp;(ROW(INDIRECT("'"&amp;_xlpm.ref&amp;"'!$B$14"))-1 + MATCH($A52, INDIRECT("'" &amp; _xlpm.ref &amp; "'!$B$14:$B$150"), 0)) &amp;":OE"&amp;(ROW(INDIRECT("'"&amp;_xlpm.ref&amp;"'!$B$14"))-1 + MATCH($A52, INDIRECT("'" &amp; _xlpm.ref &amp; "'!$B$14:$B$150"), 0)) ) &lt;&gt; ""),COLUMN($AD$14:$OD$14) - COLUMN($AD$14) + 1 )))),"")),"")</f>
        <v/>
      </c>
      <c r="V52" s="167" t="str">
        <f t="shared" ca="1" si="0"/>
        <v/>
      </c>
    </row>
    <row r="53" spans="1:22">
      <c r="A53" s="127"/>
      <c r="B53" s="127"/>
      <c r="C53" s="128"/>
      <c r="D53" s="128"/>
      <c r="E53" s="127"/>
      <c r="F53" s="127"/>
      <c r="G53" s="127"/>
      <c r="H53" s="127"/>
      <c r="I53" s="127"/>
      <c r="J53" s="127"/>
      <c r="K53" s="127"/>
      <c r="L53" s="127"/>
      <c r="M53" s="56" t="str" cm="1">
        <f t="array" aca="1" ref="M53" ca="1">IF($A53="","",_xlfn.TEXTJOIN(",",TRUE,_xlfn.MAP(_xlfn._xlws.FILTER(Team_Members,Team_Members&lt;&gt;""),_xlfn.LAMBDA(_xlpm.x,IFERROR(IF(_xlfn.XMATCH($A53,INDIRECT("'"&amp;_xlpm.x&amp;"'!$B$14:$B$150"))&gt;0,_xlpm.x),"")))))</f>
        <v/>
      </c>
      <c r="N53" s="127"/>
      <c r="O53" s="4" t="str" cm="1">
        <f t="array" aca="1" ref="O53" ca="1">IFERROR(_xlfn.LET(_xlpm.Lst,_xlfn.MAP(Team_Members,_xlfn.LAMBDA(_xlpm.x,IFERROR(_xlfn.XLOOKUP($A53,INDIRECT("'"&amp;_xlpm.x&amp;"'!$B$14:$B$150"),INDIRECT("'"&amp;_xlpm.x&amp;"'!$D$14:$D$150")),""))),_xlpm.F_Lst,_xlfn._xlws.FILTER(_xlpm.Lst,_xlpm.Lst&lt;&gt;""),IF(COUNTA(_xlfn.UNIQUE(_xlpm.F_Lst))=1,INDEX(_xlpm.F_Lst,1),"WIP")),"")</f>
        <v/>
      </c>
      <c r="P53" s="139"/>
      <c r="Q53" s="127"/>
      <c r="R53" s="58" t="str" cm="1">
        <f t="array" aca="1" ref="R53" ca="1">IF($M53="","",_xlfn.LET(_xlpm.min,MIN(_xlfn.MAP(_xlfn.TEXTSPLIT($M53,","),_xlfn.LAMBDA(_xlpm.ref,IFERROR(INDEX(INDIRECT("'"&amp;_xlpm.ref&amp;"'!$AE$5:$OE$5"),MATCH(TRUE,INDEX(INDIRECT("'" &amp; _xlpm.ref &amp; "'!$AE$" &amp; (ROW(INDIRECT("'"&amp;_xlpm.ref&amp;"'!$B$14"))-1 + MATCH($A53, INDIRECT("'" &amp; _xlpm.ref &amp; "'!$B$14:$B$150"), 0)) &amp; ":$OE$" &amp; (ROW(INDIRECT("'"&amp;_xlpm.ref&amp;"'!$B$14"))-1 + MATCH($A53, INDIRECT("'" &amp; _xlpm.ref &amp; "'!$B$14:$B$150"), 0)))&lt;&gt;"",0),0)),"")))),IF(_xlpm.min=0,"",_xlpm.min)))</f>
        <v/>
      </c>
      <c r="S53" s="4" t="str" cm="1">
        <f t="array" aca="1" ref="S53" ca="1">IF($M53="","",SUM(_xlfn.MAP(_xlfn.TEXTSPLIT($M53,","),_xlfn.LAMBDA(_xlpm.ref,_xlfn.XLOOKUP($A53,INDIRECT("'"&amp;_xlpm.ref&amp;"'!$B$14:$B$150"),INDIRECT("'"&amp;_xlpm.ref&amp;"'!$E$14:$E$150"),0)))))</f>
        <v/>
      </c>
      <c r="T53" s="4" t="str" cm="1">
        <f t="array" aca="1" ref="T53" ca="1">IF($M53="","",SUM(_xlfn.MAP(_xlfn.TEXTSPLIT($M53,","),_xlfn.LAMBDA(_xlpm.ref,_xlfn.XLOOKUP($A53,INDIRECT("'"&amp;_xlpm.ref&amp;"'!$B$14:$B$150"),INDIRECT("'"&amp;_xlpm.ref&amp;"'!$F$14:$F$150"),0)))))</f>
        <v/>
      </c>
      <c r="U53" s="61" t="str" cm="1">
        <f t="array" aca="1" ref="U53" ca="1">IF($O53="Completed",MAX(IFERROR(_xlfn.MAP(_xlfn.TEXTSPLIT($M53, ","),_xlfn.LAMBDA(_xlpm.ref,INDEX(INDIRECT("'" &amp; _xlpm.ref &amp; "'!AE5:OE5"),1,LOOKUP(2,1 / (INDIRECT("'" &amp; _xlpm.ref &amp; "'!AE"&amp;(ROW(INDIRECT("'"&amp;_xlpm.ref&amp;"'!$B$14"))-1 + MATCH($A53, INDIRECT("'" &amp; _xlpm.ref &amp; "'!$B$14:$B$150"), 0)) &amp;":OE"&amp;(ROW(INDIRECT("'"&amp;_xlpm.ref&amp;"'!$B$14"))-1 + MATCH($A53, INDIRECT("'" &amp; _xlpm.ref &amp; "'!$B$14:$B$150"), 0)) ) &lt;&gt; ""),COLUMN($AD$14:$OD$14) - COLUMN($AD$14) + 1 )))),"")),"")</f>
        <v/>
      </c>
      <c r="V53" s="167" t="str">
        <f t="shared" ca="1" si="0"/>
        <v/>
      </c>
    </row>
    <row r="54" spans="1:22">
      <c r="A54" s="127"/>
      <c r="B54" s="127"/>
      <c r="C54" s="128"/>
      <c r="D54" s="128"/>
      <c r="E54" s="127"/>
      <c r="F54" s="127"/>
      <c r="G54" s="127"/>
      <c r="H54" s="127"/>
      <c r="I54" s="127"/>
      <c r="J54" s="127"/>
      <c r="K54" s="127"/>
      <c r="L54" s="127"/>
      <c r="M54" s="56" t="str" cm="1">
        <f t="array" aca="1" ref="M54" ca="1">IF($A54="","",_xlfn.TEXTJOIN(",",TRUE,_xlfn.MAP(_xlfn._xlws.FILTER(Team_Members,Team_Members&lt;&gt;""),_xlfn.LAMBDA(_xlpm.x,IFERROR(IF(_xlfn.XMATCH($A54,INDIRECT("'"&amp;_xlpm.x&amp;"'!$B$14:$B$150"))&gt;0,_xlpm.x),"")))))</f>
        <v/>
      </c>
      <c r="N54" s="127"/>
      <c r="O54" s="4" t="str" cm="1">
        <f t="array" aca="1" ref="O54" ca="1">IFERROR(_xlfn.LET(_xlpm.Lst,_xlfn.MAP(Team_Members,_xlfn.LAMBDA(_xlpm.x,IFERROR(_xlfn.XLOOKUP($A54,INDIRECT("'"&amp;_xlpm.x&amp;"'!$B$14:$B$150"),INDIRECT("'"&amp;_xlpm.x&amp;"'!$D$14:$D$150")),""))),_xlpm.F_Lst,_xlfn._xlws.FILTER(_xlpm.Lst,_xlpm.Lst&lt;&gt;""),IF(COUNTA(_xlfn.UNIQUE(_xlpm.F_Lst))=1,INDEX(_xlpm.F_Lst,1),"WIP")),"")</f>
        <v/>
      </c>
      <c r="P54" s="139"/>
      <c r="Q54" s="127"/>
      <c r="R54" s="58" t="str" cm="1">
        <f t="array" aca="1" ref="R54" ca="1">IF($M54="","",_xlfn.LET(_xlpm.min,MIN(_xlfn.MAP(_xlfn.TEXTSPLIT($M54,","),_xlfn.LAMBDA(_xlpm.ref,IFERROR(INDEX(INDIRECT("'"&amp;_xlpm.ref&amp;"'!$AE$5:$OE$5"),MATCH(TRUE,INDEX(INDIRECT("'" &amp; _xlpm.ref &amp; "'!$AE$" &amp; (ROW(INDIRECT("'"&amp;_xlpm.ref&amp;"'!$B$14"))-1 + MATCH($A54, INDIRECT("'" &amp; _xlpm.ref &amp; "'!$B$14:$B$150"), 0)) &amp; ":$OE$" &amp; (ROW(INDIRECT("'"&amp;_xlpm.ref&amp;"'!$B$14"))-1 + MATCH($A54, INDIRECT("'" &amp; _xlpm.ref &amp; "'!$B$14:$B$150"), 0)))&lt;&gt;"",0),0)),"")))),IF(_xlpm.min=0,"",_xlpm.min)))</f>
        <v/>
      </c>
      <c r="S54" s="4" t="str" cm="1">
        <f t="array" aca="1" ref="S54" ca="1">IF($M54="","",SUM(_xlfn.MAP(_xlfn.TEXTSPLIT($M54,","),_xlfn.LAMBDA(_xlpm.ref,_xlfn.XLOOKUP($A54,INDIRECT("'"&amp;_xlpm.ref&amp;"'!$B$14:$B$150"),INDIRECT("'"&amp;_xlpm.ref&amp;"'!$E$14:$E$150"),0)))))</f>
        <v/>
      </c>
      <c r="T54" s="4" t="str" cm="1">
        <f t="array" aca="1" ref="T54" ca="1">IF($M54="","",SUM(_xlfn.MAP(_xlfn.TEXTSPLIT($M54,","),_xlfn.LAMBDA(_xlpm.ref,_xlfn.XLOOKUP($A54,INDIRECT("'"&amp;_xlpm.ref&amp;"'!$B$14:$B$150"),INDIRECT("'"&amp;_xlpm.ref&amp;"'!$F$14:$F$150"),0)))))</f>
        <v/>
      </c>
      <c r="U54" s="61" t="str" cm="1">
        <f t="array" aca="1" ref="U54" ca="1">IF($O54="Completed",MAX(IFERROR(_xlfn.MAP(_xlfn.TEXTSPLIT($M54, ","),_xlfn.LAMBDA(_xlpm.ref,INDEX(INDIRECT("'" &amp; _xlpm.ref &amp; "'!AE5:OE5"),1,LOOKUP(2,1 / (INDIRECT("'" &amp; _xlpm.ref &amp; "'!AE"&amp;(ROW(INDIRECT("'"&amp;_xlpm.ref&amp;"'!$B$14"))-1 + MATCH($A54, INDIRECT("'" &amp; _xlpm.ref &amp; "'!$B$14:$B$150"), 0)) &amp;":OE"&amp;(ROW(INDIRECT("'"&amp;_xlpm.ref&amp;"'!$B$14"))-1 + MATCH($A54, INDIRECT("'" &amp; _xlpm.ref &amp; "'!$B$14:$B$150"), 0)) ) &lt;&gt; ""),COLUMN($AD$14:$OD$14) - COLUMN($AD$14) + 1 )))),"")),"")</f>
        <v/>
      </c>
      <c r="V54" s="167" t="str">
        <f t="shared" ca="1" si="0"/>
        <v/>
      </c>
    </row>
    <row r="55" spans="1:22">
      <c r="A55" s="127"/>
      <c r="B55" s="127"/>
      <c r="C55" s="128"/>
      <c r="D55" s="128"/>
      <c r="E55" s="127"/>
      <c r="F55" s="127"/>
      <c r="G55" s="127"/>
      <c r="H55" s="127"/>
      <c r="I55" s="127"/>
      <c r="J55" s="127"/>
      <c r="K55" s="127"/>
      <c r="L55" s="127"/>
      <c r="M55" s="56" t="str" cm="1">
        <f t="array" aca="1" ref="M55" ca="1">IF($A55="","",_xlfn.TEXTJOIN(",",TRUE,_xlfn.MAP(_xlfn._xlws.FILTER(Team_Members,Team_Members&lt;&gt;""),_xlfn.LAMBDA(_xlpm.x,IFERROR(IF(_xlfn.XMATCH($A55,INDIRECT("'"&amp;_xlpm.x&amp;"'!$B$14:$B$150"))&gt;0,_xlpm.x),"")))))</f>
        <v/>
      </c>
      <c r="N55" s="127"/>
      <c r="O55" s="4" t="str" cm="1">
        <f t="array" aca="1" ref="O55" ca="1">IFERROR(_xlfn.LET(_xlpm.Lst,_xlfn.MAP(Team_Members,_xlfn.LAMBDA(_xlpm.x,IFERROR(_xlfn.XLOOKUP($A55,INDIRECT("'"&amp;_xlpm.x&amp;"'!$B$14:$B$150"),INDIRECT("'"&amp;_xlpm.x&amp;"'!$D$14:$D$150")),""))),_xlpm.F_Lst,_xlfn._xlws.FILTER(_xlpm.Lst,_xlpm.Lst&lt;&gt;""),IF(COUNTA(_xlfn.UNIQUE(_xlpm.F_Lst))=1,INDEX(_xlpm.F_Lst,1),"WIP")),"")</f>
        <v/>
      </c>
      <c r="P55" s="139"/>
      <c r="Q55" s="127"/>
      <c r="R55" s="58" t="str" cm="1">
        <f t="array" aca="1" ref="R55" ca="1">IF($M55="","",_xlfn.LET(_xlpm.min,MIN(_xlfn.MAP(_xlfn.TEXTSPLIT($M55,","),_xlfn.LAMBDA(_xlpm.ref,IFERROR(INDEX(INDIRECT("'"&amp;_xlpm.ref&amp;"'!$AE$5:$OE$5"),MATCH(TRUE,INDEX(INDIRECT("'" &amp; _xlpm.ref &amp; "'!$AE$" &amp; (ROW(INDIRECT("'"&amp;_xlpm.ref&amp;"'!$B$14"))-1 + MATCH($A55, INDIRECT("'" &amp; _xlpm.ref &amp; "'!$B$14:$B$150"), 0)) &amp; ":$OE$" &amp; (ROW(INDIRECT("'"&amp;_xlpm.ref&amp;"'!$B$14"))-1 + MATCH($A55, INDIRECT("'" &amp; _xlpm.ref &amp; "'!$B$14:$B$150"), 0)))&lt;&gt;"",0),0)),"")))),IF(_xlpm.min=0,"",_xlpm.min)))</f>
        <v/>
      </c>
      <c r="S55" s="4" t="str" cm="1">
        <f t="array" aca="1" ref="S55" ca="1">IF($M55="","",SUM(_xlfn.MAP(_xlfn.TEXTSPLIT($M55,","),_xlfn.LAMBDA(_xlpm.ref,_xlfn.XLOOKUP($A55,INDIRECT("'"&amp;_xlpm.ref&amp;"'!$B$14:$B$150"),INDIRECT("'"&amp;_xlpm.ref&amp;"'!$E$14:$E$150"),0)))))</f>
        <v/>
      </c>
      <c r="T55" s="4" t="str" cm="1">
        <f t="array" aca="1" ref="T55" ca="1">IF($M55="","",SUM(_xlfn.MAP(_xlfn.TEXTSPLIT($M55,","),_xlfn.LAMBDA(_xlpm.ref,_xlfn.XLOOKUP($A55,INDIRECT("'"&amp;_xlpm.ref&amp;"'!$B$14:$B$150"),INDIRECT("'"&amp;_xlpm.ref&amp;"'!$F$14:$F$150"),0)))))</f>
        <v/>
      </c>
      <c r="U55" s="61" t="str" cm="1">
        <f t="array" aca="1" ref="U55" ca="1">IF($O55="Completed",MAX(IFERROR(_xlfn.MAP(_xlfn.TEXTSPLIT($M55, ","),_xlfn.LAMBDA(_xlpm.ref,INDEX(INDIRECT("'" &amp; _xlpm.ref &amp; "'!AE5:OE5"),1,LOOKUP(2,1 / (INDIRECT("'" &amp; _xlpm.ref &amp; "'!AE"&amp;(ROW(INDIRECT("'"&amp;_xlpm.ref&amp;"'!$B$14"))-1 + MATCH($A55, INDIRECT("'" &amp; _xlpm.ref &amp; "'!$B$14:$B$150"), 0)) &amp;":OE"&amp;(ROW(INDIRECT("'"&amp;_xlpm.ref&amp;"'!$B$14"))-1 + MATCH($A55, INDIRECT("'" &amp; _xlpm.ref &amp; "'!$B$14:$B$150"), 0)) ) &lt;&gt; ""),COLUMN($AD$14:$OD$14) - COLUMN($AD$14) + 1 )))),"")),"")</f>
        <v/>
      </c>
      <c r="V55" s="167" t="str">
        <f t="shared" ca="1" si="0"/>
        <v/>
      </c>
    </row>
    <row r="56" spans="1:22">
      <c r="A56" s="127"/>
      <c r="B56" s="127"/>
      <c r="C56" s="128"/>
      <c r="D56" s="128"/>
      <c r="E56" s="127"/>
      <c r="F56" s="127"/>
      <c r="G56" s="127"/>
      <c r="H56" s="127"/>
      <c r="I56" s="127"/>
      <c r="J56" s="127"/>
      <c r="K56" s="127"/>
      <c r="L56" s="127"/>
      <c r="M56" s="56" t="str" cm="1">
        <f t="array" aca="1" ref="M56" ca="1">IF($A56="","",_xlfn.TEXTJOIN(",",TRUE,_xlfn.MAP(_xlfn._xlws.FILTER(Team_Members,Team_Members&lt;&gt;""),_xlfn.LAMBDA(_xlpm.x,IFERROR(IF(_xlfn.XMATCH($A56,INDIRECT("'"&amp;_xlpm.x&amp;"'!$B$14:$B$150"))&gt;0,_xlpm.x),"")))))</f>
        <v/>
      </c>
      <c r="N56" s="127"/>
      <c r="O56" s="4" t="str" cm="1">
        <f t="array" aca="1" ref="O56" ca="1">IFERROR(_xlfn.LET(_xlpm.Lst,_xlfn.MAP(Team_Members,_xlfn.LAMBDA(_xlpm.x,IFERROR(_xlfn.XLOOKUP($A56,INDIRECT("'"&amp;_xlpm.x&amp;"'!$B$14:$B$150"),INDIRECT("'"&amp;_xlpm.x&amp;"'!$D$14:$D$150")),""))),_xlpm.F_Lst,_xlfn._xlws.FILTER(_xlpm.Lst,_xlpm.Lst&lt;&gt;""),IF(COUNTA(_xlfn.UNIQUE(_xlpm.F_Lst))=1,INDEX(_xlpm.F_Lst,1),"WIP")),"")</f>
        <v/>
      </c>
      <c r="P56" s="139"/>
      <c r="Q56" s="127"/>
      <c r="R56" s="58" t="str" cm="1">
        <f t="array" aca="1" ref="R56" ca="1">IF($M56="","",_xlfn.LET(_xlpm.min,MIN(_xlfn.MAP(_xlfn.TEXTSPLIT($M56,","),_xlfn.LAMBDA(_xlpm.ref,IFERROR(INDEX(INDIRECT("'"&amp;_xlpm.ref&amp;"'!$AE$5:$OE$5"),MATCH(TRUE,INDEX(INDIRECT("'" &amp; _xlpm.ref &amp; "'!$AE$" &amp; (ROW(INDIRECT("'"&amp;_xlpm.ref&amp;"'!$B$14"))-1 + MATCH($A56, INDIRECT("'" &amp; _xlpm.ref &amp; "'!$B$14:$B$150"), 0)) &amp; ":$OE$" &amp; (ROW(INDIRECT("'"&amp;_xlpm.ref&amp;"'!$B$14"))-1 + MATCH($A56, INDIRECT("'" &amp; _xlpm.ref &amp; "'!$B$14:$B$150"), 0)))&lt;&gt;"",0),0)),"")))),IF(_xlpm.min=0,"",_xlpm.min)))</f>
        <v/>
      </c>
      <c r="S56" s="4" t="str" cm="1">
        <f t="array" aca="1" ref="S56" ca="1">IF($M56="","",SUM(_xlfn.MAP(_xlfn.TEXTSPLIT($M56,","),_xlfn.LAMBDA(_xlpm.ref,_xlfn.XLOOKUP($A56,INDIRECT("'"&amp;_xlpm.ref&amp;"'!$B$14:$B$150"),INDIRECT("'"&amp;_xlpm.ref&amp;"'!$E$14:$E$150"),0)))))</f>
        <v/>
      </c>
      <c r="T56" s="4" t="str" cm="1">
        <f t="array" aca="1" ref="T56" ca="1">IF($M56="","",SUM(_xlfn.MAP(_xlfn.TEXTSPLIT($M56,","),_xlfn.LAMBDA(_xlpm.ref,_xlfn.XLOOKUP($A56,INDIRECT("'"&amp;_xlpm.ref&amp;"'!$B$14:$B$150"),INDIRECT("'"&amp;_xlpm.ref&amp;"'!$F$14:$F$150"),0)))))</f>
        <v/>
      </c>
      <c r="U56" s="61" t="str" cm="1">
        <f t="array" aca="1" ref="U56" ca="1">IF($O56="Completed",MAX(IFERROR(_xlfn.MAP(_xlfn.TEXTSPLIT($M56, ","),_xlfn.LAMBDA(_xlpm.ref,INDEX(INDIRECT("'" &amp; _xlpm.ref &amp; "'!AE5:OE5"),1,LOOKUP(2,1 / (INDIRECT("'" &amp; _xlpm.ref &amp; "'!AE"&amp;(ROW(INDIRECT("'"&amp;_xlpm.ref&amp;"'!$B$14"))-1 + MATCH($A56, INDIRECT("'" &amp; _xlpm.ref &amp; "'!$B$14:$B$150"), 0)) &amp;":OE"&amp;(ROW(INDIRECT("'"&amp;_xlpm.ref&amp;"'!$B$14"))-1 + MATCH($A56, INDIRECT("'" &amp; _xlpm.ref &amp; "'!$B$14:$B$150"), 0)) ) &lt;&gt; ""),COLUMN($AD$14:$OD$14) - COLUMN($AD$14) + 1 )))),"")),"")</f>
        <v/>
      </c>
      <c r="V56" s="167" t="str">
        <f t="shared" ca="1" si="0"/>
        <v/>
      </c>
    </row>
    <row r="57" spans="1:22">
      <c r="A57" s="127"/>
      <c r="B57" s="127"/>
      <c r="C57" s="128"/>
      <c r="D57" s="128"/>
      <c r="E57" s="127"/>
      <c r="F57" s="127"/>
      <c r="G57" s="127"/>
      <c r="H57" s="127"/>
      <c r="I57" s="127"/>
      <c r="J57" s="127"/>
      <c r="K57" s="127"/>
      <c r="L57" s="127"/>
      <c r="M57" s="56" t="str" cm="1">
        <f t="array" aca="1" ref="M57" ca="1">IF($A57="","",_xlfn.TEXTJOIN(",",TRUE,_xlfn.MAP(_xlfn._xlws.FILTER(Team_Members,Team_Members&lt;&gt;""),_xlfn.LAMBDA(_xlpm.x,IFERROR(IF(_xlfn.XMATCH($A57,INDIRECT("'"&amp;_xlpm.x&amp;"'!$B$14:$B$150"))&gt;0,_xlpm.x),"")))))</f>
        <v/>
      </c>
      <c r="N57" s="127"/>
      <c r="O57" s="4" t="str" cm="1">
        <f t="array" aca="1" ref="O57" ca="1">IFERROR(_xlfn.LET(_xlpm.Lst,_xlfn.MAP(Team_Members,_xlfn.LAMBDA(_xlpm.x,IFERROR(_xlfn.XLOOKUP($A57,INDIRECT("'"&amp;_xlpm.x&amp;"'!$B$14:$B$150"),INDIRECT("'"&amp;_xlpm.x&amp;"'!$D$14:$D$150")),""))),_xlpm.F_Lst,_xlfn._xlws.FILTER(_xlpm.Lst,_xlpm.Lst&lt;&gt;""),IF(COUNTA(_xlfn.UNIQUE(_xlpm.F_Lst))=1,INDEX(_xlpm.F_Lst,1),"WIP")),"")</f>
        <v/>
      </c>
      <c r="P57" s="127"/>
      <c r="Q57" s="127"/>
      <c r="R57" s="58" t="str" cm="1">
        <f t="array" aca="1" ref="R57" ca="1">IF($M57="","",_xlfn.LET(_xlpm.min,MIN(_xlfn.MAP(_xlfn.TEXTSPLIT($M57,","),_xlfn.LAMBDA(_xlpm.ref,IFERROR(INDEX(INDIRECT("'"&amp;_xlpm.ref&amp;"'!$AE$5:$OE$5"),MATCH(TRUE,INDEX(INDIRECT("'" &amp; _xlpm.ref &amp; "'!$AE$" &amp; (ROW(INDIRECT("'"&amp;_xlpm.ref&amp;"'!$B$14"))-1 + MATCH($A57, INDIRECT("'" &amp; _xlpm.ref &amp; "'!$B$14:$B$150"), 0)) &amp; ":$OE$" &amp; (ROW(INDIRECT("'"&amp;_xlpm.ref&amp;"'!$B$14"))-1 + MATCH($A57, INDIRECT("'" &amp; _xlpm.ref &amp; "'!$B$14:$B$150"), 0)))&lt;&gt;"",0),0)),"")))),IF(_xlpm.min=0,"",_xlpm.min)))</f>
        <v/>
      </c>
      <c r="S57" s="4" t="str" cm="1">
        <f t="array" aca="1" ref="S57" ca="1">IF($M57="","",SUM(_xlfn.MAP(_xlfn.TEXTSPLIT($M57,","),_xlfn.LAMBDA(_xlpm.ref,_xlfn.XLOOKUP($A57,INDIRECT("'"&amp;_xlpm.ref&amp;"'!$B$14:$B$150"),INDIRECT("'"&amp;_xlpm.ref&amp;"'!$E$14:$E$150"),0)))))</f>
        <v/>
      </c>
      <c r="T57" s="4" t="str" cm="1">
        <f t="array" aca="1" ref="T57" ca="1">IF($M57="","",SUM(_xlfn.MAP(_xlfn.TEXTSPLIT($M57,","),_xlfn.LAMBDA(_xlpm.ref,_xlfn.XLOOKUP($A57,INDIRECT("'"&amp;_xlpm.ref&amp;"'!$B$14:$B$150"),INDIRECT("'"&amp;_xlpm.ref&amp;"'!$F$14:$F$150"),0)))))</f>
        <v/>
      </c>
      <c r="U57" s="61" t="str" cm="1">
        <f t="array" aca="1" ref="U57" ca="1">IF($O57="Completed",MAX(IFERROR(_xlfn.MAP(_xlfn.TEXTSPLIT($M57, ","),_xlfn.LAMBDA(_xlpm.ref,INDEX(INDIRECT("'" &amp; _xlpm.ref &amp; "'!AE5:OE5"),1,LOOKUP(2,1 / (INDIRECT("'" &amp; _xlpm.ref &amp; "'!AE"&amp;(ROW(INDIRECT("'"&amp;_xlpm.ref&amp;"'!$B$14"))-1 + MATCH($A57, INDIRECT("'" &amp; _xlpm.ref &amp; "'!$B$14:$B$150"), 0)) &amp;":OE"&amp;(ROW(INDIRECT("'"&amp;_xlpm.ref&amp;"'!$B$14"))-1 + MATCH($A57, INDIRECT("'" &amp; _xlpm.ref &amp; "'!$B$14:$B$150"), 0)) ) &lt;&gt; ""),COLUMN($AD$14:$OD$14) - COLUMN($AD$14) + 1 )))),"")),"")</f>
        <v/>
      </c>
      <c r="V57" s="167" t="str">
        <f t="shared" ca="1" si="0"/>
        <v/>
      </c>
    </row>
    <row r="58" spans="1:22">
      <c r="A58" s="127"/>
      <c r="B58" s="127"/>
      <c r="D58" s="128"/>
      <c r="E58" s="127"/>
      <c r="F58" s="127"/>
      <c r="G58" s="127"/>
      <c r="H58" s="127"/>
      <c r="I58" s="127"/>
      <c r="J58" s="127"/>
      <c r="K58" s="127"/>
      <c r="L58" s="127"/>
      <c r="M58" s="56" t="str" cm="1">
        <f t="array" aca="1" ref="M58" ca="1">IF($A58="","",_xlfn.TEXTJOIN(",",TRUE,_xlfn.MAP(_xlfn._xlws.FILTER(Team_Members,Team_Members&lt;&gt;""),_xlfn.LAMBDA(_xlpm.x,IFERROR(IF(_xlfn.XMATCH($A58,INDIRECT("'"&amp;_xlpm.x&amp;"'!$B$14:$B$150"))&gt;0,_xlpm.x),"")))))</f>
        <v/>
      </c>
      <c r="N58" s="127"/>
      <c r="O58" s="4" t="str" cm="1">
        <f t="array" aca="1" ref="O58" ca="1">IFERROR(_xlfn.LET(_xlpm.Lst,_xlfn.MAP(Team_Members,_xlfn.LAMBDA(_xlpm.x,IFERROR(_xlfn.XLOOKUP($A58,INDIRECT("'"&amp;_xlpm.x&amp;"'!$B$14:$B$150"),INDIRECT("'"&amp;_xlpm.x&amp;"'!$D$14:$D$150")),""))),_xlpm.F_Lst,_xlfn._xlws.FILTER(_xlpm.Lst,_xlpm.Lst&lt;&gt;""),IF(COUNTA(_xlfn.UNIQUE(_xlpm.F_Lst))=1,INDEX(_xlpm.F_Lst,1),"WIP")),"")</f>
        <v/>
      </c>
      <c r="P58" s="127"/>
      <c r="Q58" s="127"/>
      <c r="R58" s="58" t="str" cm="1">
        <f t="array" aca="1" ref="R58" ca="1">IF($M58="","",_xlfn.LET(_xlpm.min,MIN(_xlfn.MAP(_xlfn.TEXTSPLIT($M58,","),_xlfn.LAMBDA(_xlpm.ref,IFERROR(INDEX(INDIRECT("'"&amp;_xlpm.ref&amp;"'!$AE$5:$OE$5"),MATCH(TRUE,INDEX(INDIRECT("'" &amp; _xlpm.ref &amp; "'!$AE$" &amp; (ROW(INDIRECT("'"&amp;_xlpm.ref&amp;"'!$B$14"))-1 + MATCH($A58, INDIRECT("'" &amp; _xlpm.ref &amp; "'!$B$14:$B$150"), 0)) &amp; ":$OE$" &amp; (ROW(INDIRECT("'"&amp;_xlpm.ref&amp;"'!$B$14"))-1 + MATCH($A58, INDIRECT("'" &amp; _xlpm.ref &amp; "'!$B$14:$B$150"), 0)))&lt;&gt;"",0),0)),"")))),IF(_xlpm.min=0,"",_xlpm.min)))</f>
        <v/>
      </c>
      <c r="S58" s="4" t="str" cm="1">
        <f t="array" aca="1" ref="S58" ca="1">IF($M58="","",SUM(_xlfn.MAP(_xlfn.TEXTSPLIT($M58,","),_xlfn.LAMBDA(_xlpm.ref,_xlfn.XLOOKUP($A58,INDIRECT("'"&amp;_xlpm.ref&amp;"'!$B$14:$B$150"),INDIRECT("'"&amp;_xlpm.ref&amp;"'!$E$14:$E$150"),0)))))</f>
        <v/>
      </c>
      <c r="T58" s="4" t="str" cm="1">
        <f t="array" aca="1" ref="T58" ca="1">IF($M58="","",SUM(_xlfn.MAP(_xlfn.TEXTSPLIT($M58,","),_xlfn.LAMBDA(_xlpm.ref,_xlfn.XLOOKUP($A58,INDIRECT("'"&amp;_xlpm.ref&amp;"'!$B$14:$B$150"),INDIRECT("'"&amp;_xlpm.ref&amp;"'!$F$14:$F$150"),0)))))</f>
        <v/>
      </c>
      <c r="U58" s="61" t="str" cm="1">
        <f t="array" aca="1" ref="U58" ca="1">IF($O58="Completed",MAX(IFERROR(_xlfn.MAP(_xlfn.TEXTSPLIT($M58, ","),_xlfn.LAMBDA(_xlpm.ref,INDEX(INDIRECT("'" &amp; _xlpm.ref &amp; "'!AE5:OE5"),1,LOOKUP(2,1 / (INDIRECT("'" &amp; _xlpm.ref &amp; "'!AE"&amp;(ROW(INDIRECT("'"&amp;_xlpm.ref&amp;"'!$B$14"))-1 + MATCH($A58, INDIRECT("'" &amp; _xlpm.ref &amp; "'!$B$14:$B$150"), 0)) &amp;":OE"&amp;(ROW(INDIRECT("'"&amp;_xlpm.ref&amp;"'!$B$14"))-1 + MATCH($A58, INDIRECT("'" &amp; _xlpm.ref &amp; "'!$B$14:$B$150"), 0)) ) &lt;&gt; ""),COLUMN($AD$14:$OD$14) - COLUMN($AD$14) + 1 )))),"")),"")</f>
        <v/>
      </c>
      <c r="V58" s="167" t="str">
        <f t="shared" ca="1" si="0"/>
        <v/>
      </c>
    </row>
    <row r="59" spans="1:22">
      <c r="A59" s="127"/>
      <c r="B59" s="127"/>
      <c r="C59" s="128"/>
      <c r="D59" s="128"/>
      <c r="E59" s="127"/>
      <c r="F59" s="127"/>
      <c r="G59" s="127"/>
      <c r="H59" s="127"/>
      <c r="I59" s="127"/>
      <c r="J59" s="127"/>
      <c r="K59" s="127"/>
      <c r="L59" s="127"/>
      <c r="M59" s="56" t="str" cm="1">
        <f t="array" aca="1" ref="M59" ca="1">IF($A59="","",_xlfn.TEXTJOIN(",",TRUE,_xlfn.MAP(_xlfn._xlws.FILTER(Team_Members,Team_Members&lt;&gt;""),_xlfn.LAMBDA(_xlpm.x,IFERROR(IF(_xlfn.XMATCH($A59,INDIRECT("'"&amp;_xlpm.x&amp;"'!$B$14:$B$150"))&gt;0,_xlpm.x),"")))))</f>
        <v/>
      </c>
      <c r="N59" s="127"/>
      <c r="O59" s="4" t="str" cm="1">
        <f t="array" aca="1" ref="O59" ca="1">IFERROR(_xlfn.LET(_xlpm.Lst,_xlfn.MAP(Team_Members,_xlfn.LAMBDA(_xlpm.x,IFERROR(_xlfn.XLOOKUP($A59,INDIRECT("'"&amp;_xlpm.x&amp;"'!$B$14:$B$150"),INDIRECT("'"&amp;_xlpm.x&amp;"'!$D$14:$D$150")),""))),_xlpm.F_Lst,_xlfn._xlws.FILTER(_xlpm.Lst,_xlpm.Lst&lt;&gt;""),IF(COUNTA(_xlfn.UNIQUE(_xlpm.F_Lst))=1,INDEX(_xlpm.F_Lst,1),"WIP")),"")</f>
        <v/>
      </c>
      <c r="P59" s="127"/>
      <c r="Q59" s="127"/>
      <c r="R59" s="58" t="str" cm="1">
        <f t="array" aca="1" ref="R59" ca="1">IF($M59="","",_xlfn.LET(_xlpm.min,MIN(_xlfn.MAP(_xlfn.TEXTSPLIT($M59,","),_xlfn.LAMBDA(_xlpm.ref,IFERROR(INDEX(INDIRECT("'"&amp;_xlpm.ref&amp;"'!$AE$5:$OE$5"),MATCH(TRUE,INDEX(INDIRECT("'" &amp; _xlpm.ref &amp; "'!$AE$" &amp; (ROW(INDIRECT("'"&amp;_xlpm.ref&amp;"'!$B$14"))-1 + MATCH($A59, INDIRECT("'" &amp; _xlpm.ref &amp; "'!$B$14:$B$150"), 0)) &amp; ":$OE$" &amp; (ROW(INDIRECT("'"&amp;_xlpm.ref&amp;"'!$B$14"))-1 + MATCH($A59, INDIRECT("'" &amp; _xlpm.ref &amp; "'!$B$14:$B$150"), 0)))&lt;&gt;"",0),0)),"")))),IF(_xlpm.min=0,"",_xlpm.min)))</f>
        <v/>
      </c>
      <c r="S59" s="4" t="str" cm="1">
        <f t="array" aca="1" ref="S59" ca="1">IF($M59="","",SUM(_xlfn.MAP(_xlfn.TEXTSPLIT($M59,","),_xlfn.LAMBDA(_xlpm.ref,_xlfn.XLOOKUP($A59,INDIRECT("'"&amp;_xlpm.ref&amp;"'!$B$14:$B$150"),INDIRECT("'"&amp;_xlpm.ref&amp;"'!$E$14:$E$150"),0)))))</f>
        <v/>
      </c>
      <c r="T59" s="4" t="str" cm="1">
        <f t="array" aca="1" ref="T59" ca="1">IF($M59="","",SUM(_xlfn.MAP(_xlfn.TEXTSPLIT($M59,","),_xlfn.LAMBDA(_xlpm.ref,_xlfn.XLOOKUP($A59,INDIRECT("'"&amp;_xlpm.ref&amp;"'!$B$14:$B$150"),INDIRECT("'"&amp;_xlpm.ref&amp;"'!$F$14:$F$150"),0)))))</f>
        <v/>
      </c>
      <c r="U59" s="61" t="str" cm="1">
        <f t="array" aca="1" ref="U59" ca="1">IF($O59="Completed",MAX(IFERROR(_xlfn.MAP(_xlfn.TEXTSPLIT($M59, ","),_xlfn.LAMBDA(_xlpm.ref,INDEX(INDIRECT("'" &amp; _xlpm.ref &amp; "'!AE5:OE5"),1,LOOKUP(2,1 / (INDIRECT("'" &amp; _xlpm.ref &amp; "'!AE"&amp;(ROW(INDIRECT("'"&amp;_xlpm.ref&amp;"'!$B$14"))-1 + MATCH($A59, INDIRECT("'" &amp; _xlpm.ref &amp; "'!$B$14:$B$150"), 0)) &amp;":OE"&amp;(ROW(INDIRECT("'"&amp;_xlpm.ref&amp;"'!$B$14"))-1 + MATCH($A59, INDIRECT("'" &amp; _xlpm.ref &amp; "'!$B$14:$B$150"), 0)) ) &lt;&gt; ""),COLUMN($AD$14:$OD$14) - COLUMN($AD$14) + 1 )))),"")),"")</f>
        <v/>
      </c>
      <c r="V59" s="167" t="str">
        <f t="shared" ca="1" si="0"/>
        <v/>
      </c>
    </row>
    <row r="60" spans="1:22">
      <c r="A60" s="127"/>
      <c r="B60" s="127"/>
      <c r="C60" s="128"/>
      <c r="E60" s="127"/>
      <c r="F60" s="127"/>
      <c r="G60" s="127"/>
      <c r="H60" s="127"/>
      <c r="I60" s="127"/>
      <c r="J60" s="127"/>
      <c r="K60" s="127"/>
      <c r="L60" s="127"/>
      <c r="M60" s="56" t="str" cm="1">
        <f t="array" aca="1" ref="M60" ca="1">IF($A60="","",_xlfn.TEXTJOIN(",",TRUE,_xlfn.MAP(_xlfn._xlws.FILTER(Team_Members,Team_Members&lt;&gt;""),_xlfn.LAMBDA(_xlpm.x,IFERROR(IF(_xlfn.XMATCH($A60,INDIRECT("'"&amp;_xlpm.x&amp;"'!$B$14:$B$150"))&gt;0,_xlpm.x),"")))))</f>
        <v/>
      </c>
      <c r="N60" s="127"/>
      <c r="O60" s="4" t="str" cm="1">
        <f t="array" aca="1" ref="O60" ca="1">IFERROR(_xlfn.LET(_xlpm.Lst,_xlfn.MAP(Team_Members,_xlfn.LAMBDA(_xlpm.x,IFERROR(_xlfn.XLOOKUP($A60,INDIRECT("'"&amp;_xlpm.x&amp;"'!$B$14:$B$150"),INDIRECT("'"&amp;_xlpm.x&amp;"'!$D$14:$D$150")),""))),_xlpm.F_Lst,_xlfn._xlws.FILTER(_xlpm.Lst,_xlpm.Lst&lt;&gt;""),IF(COUNTA(_xlfn.UNIQUE(_xlpm.F_Lst))=1,INDEX(_xlpm.F_Lst,1),"WIP")),"")</f>
        <v/>
      </c>
      <c r="P60" s="127"/>
      <c r="Q60" s="127"/>
      <c r="R60" s="58" t="str" cm="1">
        <f t="array" aca="1" ref="R60" ca="1">IF($M60="","",_xlfn.LET(_xlpm.min,MIN(_xlfn.MAP(_xlfn.TEXTSPLIT($M60,","),_xlfn.LAMBDA(_xlpm.ref,IFERROR(INDEX(INDIRECT("'"&amp;_xlpm.ref&amp;"'!$AE$5:$OE$5"),MATCH(TRUE,INDEX(INDIRECT("'" &amp; _xlpm.ref &amp; "'!$AE$" &amp; (ROW(INDIRECT("'"&amp;_xlpm.ref&amp;"'!$B$14"))-1 + MATCH($A60, INDIRECT("'" &amp; _xlpm.ref &amp; "'!$B$14:$B$150"), 0)) &amp; ":$OE$" &amp; (ROW(INDIRECT("'"&amp;_xlpm.ref&amp;"'!$B$14"))-1 + MATCH($A60, INDIRECT("'" &amp; _xlpm.ref &amp; "'!$B$14:$B$150"), 0)))&lt;&gt;"",0),0)),"")))),IF(_xlpm.min=0,"",_xlpm.min)))</f>
        <v/>
      </c>
      <c r="S60" s="4" t="str" cm="1">
        <f t="array" aca="1" ref="S60" ca="1">IF($M60="","",SUM(_xlfn.MAP(_xlfn.TEXTSPLIT($M60,","),_xlfn.LAMBDA(_xlpm.ref,_xlfn.XLOOKUP($A60,INDIRECT("'"&amp;_xlpm.ref&amp;"'!$B$14:$B$150"),INDIRECT("'"&amp;_xlpm.ref&amp;"'!$E$14:$E$150"),0)))))</f>
        <v/>
      </c>
      <c r="T60" s="4" t="str" cm="1">
        <f t="array" aca="1" ref="T60" ca="1">IF($M60="","",SUM(_xlfn.MAP(_xlfn.TEXTSPLIT($M60,","),_xlfn.LAMBDA(_xlpm.ref,_xlfn.XLOOKUP($A60,INDIRECT("'"&amp;_xlpm.ref&amp;"'!$B$14:$B$150"),INDIRECT("'"&amp;_xlpm.ref&amp;"'!$F$14:$F$150"),0)))))</f>
        <v/>
      </c>
      <c r="U60" s="61" t="str" cm="1">
        <f t="array" aca="1" ref="U60" ca="1">IF($O60="Completed",MAX(IFERROR(_xlfn.MAP(_xlfn.TEXTSPLIT($M60, ","),_xlfn.LAMBDA(_xlpm.ref,INDEX(INDIRECT("'" &amp; _xlpm.ref &amp; "'!AE5:OE5"),1,LOOKUP(2,1 / (INDIRECT("'" &amp; _xlpm.ref &amp; "'!AE"&amp;(ROW(INDIRECT("'"&amp;_xlpm.ref&amp;"'!$B$14"))-1 + MATCH($A60, INDIRECT("'" &amp; _xlpm.ref &amp; "'!$B$14:$B$150"), 0)) &amp;":OE"&amp;(ROW(INDIRECT("'"&amp;_xlpm.ref&amp;"'!$B$14"))-1 + MATCH($A60, INDIRECT("'" &amp; _xlpm.ref &amp; "'!$B$14:$B$150"), 0)) ) &lt;&gt; ""),COLUMN($AD$14:$OD$14) - COLUMN($AD$14) + 1 )))),"")),"")</f>
        <v/>
      </c>
      <c r="V60" s="167" t="str">
        <f t="shared" ca="1" si="0"/>
        <v/>
      </c>
    </row>
    <row r="61" spans="1:22">
      <c r="A61" s="127"/>
      <c r="B61" s="127"/>
      <c r="C61" s="128"/>
      <c r="D61" s="128"/>
      <c r="E61" s="127"/>
      <c r="F61" s="127"/>
      <c r="G61" s="127"/>
      <c r="H61" s="127"/>
      <c r="I61" s="127"/>
      <c r="J61" s="127"/>
      <c r="K61" s="127"/>
      <c r="L61" s="127"/>
      <c r="M61" s="56" t="str" cm="1">
        <f t="array" aca="1" ref="M61" ca="1">IF($A61="","",_xlfn.TEXTJOIN(",",TRUE,_xlfn.MAP(_xlfn._xlws.FILTER(Team_Members,Team_Members&lt;&gt;""),_xlfn.LAMBDA(_xlpm.x,IFERROR(IF(_xlfn.XMATCH($A61,INDIRECT("'"&amp;_xlpm.x&amp;"'!$B$14:$B$150"))&gt;0,_xlpm.x),"")))))</f>
        <v/>
      </c>
      <c r="N61" s="127"/>
      <c r="O61" s="4" t="str" cm="1">
        <f t="array" aca="1" ref="O61" ca="1">IFERROR(_xlfn.LET(_xlpm.Lst,_xlfn.MAP(Team_Members,_xlfn.LAMBDA(_xlpm.x,IFERROR(_xlfn.XLOOKUP($A61,INDIRECT("'"&amp;_xlpm.x&amp;"'!$B$14:$B$150"),INDIRECT("'"&amp;_xlpm.x&amp;"'!$D$14:$D$150")),""))),_xlpm.F_Lst,_xlfn._xlws.FILTER(_xlpm.Lst,_xlpm.Lst&lt;&gt;""),IF(COUNTA(_xlfn.UNIQUE(_xlpm.F_Lst))=1,INDEX(_xlpm.F_Lst,1),"WIP")),"")</f>
        <v/>
      </c>
      <c r="P61" s="127"/>
      <c r="Q61" s="127"/>
      <c r="R61" s="58" t="str" cm="1">
        <f t="array" aca="1" ref="R61" ca="1">IF($M61="","",_xlfn.LET(_xlpm.min,MIN(_xlfn.MAP(_xlfn.TEXTSPLIT($M61,","),_xlfn.LAMBDA(_xlpm.ref,IFERROR(INDEX(INDIRECT("'"&amp;_xlpm.ref&amp;"'!$AE$5:$OE$5"),MATCH(TRUE,INDEX(INDIRECT("'" &amp; _xlpm.ref &amp; "'!$AE$" &amp; (ROW(INDIRECT("'"&amp;_xlpm.ref&amp;"'!$B$14"))-1 + MATCH($A61, INDIRECT("'" &amp; _xlpm.ref &amp; "'!$B$14:$B$150"), 0)) &amp; ":$OE$" &amp; (ROW(INDIRECT("'"&amp;_xlpm.ref&amp;"'!$B$14"))-1 + MATCH($A61, INDIRECT("'" &amp; _xlpm.ref &amp; "'!$B$14:$B$150"), 0)))&lt;&gt;"",0),0)),"")))),IF(_xlpm.min=0,"",_xlpm.min)))</f>
        <v/>
      </c>
      <c r="S61" s="4" t="str" cm="1">
        <f t="array" aca="1" ref="S61" ca="1">IF($M61="","",SUM(_xlfn.MAP(_xlfn.TEXTSPLIT($M61,","),_xlfn.LAMBDA(_xlpm.ref,_xlfn.XLOOKUP($A61,INDIRECT("'"&amp;_xlpm.ref&amp;"'!$B$14:$B$150"),INDIRECT("'"&amp;_xlpm.ref&amp;"'!$E$14:$E$150"),0)))))</f>
        <v/>
      </c>
      <c r="T61" s="4" t="str" cm="1">
        <f t="array" aca="1" ref="T61" ca="1">IF($M61="","",SUM(_xlfn.MAP(_xlfn.TEXTSPLIT($M61,","),_xlfn.LAMBDA(_xlpm.ref,_xlfn.XLOOKUP($A61,INDIRECT("'"&amp;_xlpm.ref&amp;"'!$B$14:$B$150"),INDIRECT("'"&amp;_xlpm.ref&amp;"'!$F$14:$F$150"),0)))))</f>
        <v/>
      </c>
      <c r="U61" s="61" t="str" cm="1">
        <f t="array" aca="1" ref="U61" ca="1">IF($O61="Completed",MAX(IFERROR(_xlfn.MAP(_xlfn.TEXTSPLIT($M61, ","),_xlfn.LAMBDA(_xlpm.ref,INDEX(INDIRECT("'" &amp; _xlpm.ref &amp; "'!AE5:OE5"),1,LOOKUP(2,1 / (INDIRECT("'" &amp; _xlpm.ref &amp; "'!AE"&amp;(ROW(INDIRECT("'"&amp;_xlpm.ref&amp;"'!$B$14"))-1 + MATCH($A61, INDIRECT("'" &amp; _xlpm.ref &amp; "'!$B$14:$B$150"), 0)) &amp;":OE"&amp;(ROW(INDIRECT("'"&amp;_xlpm.ref&amp;"'!$B$14"))-1 + MATCH($A61, INDIRECT("'" &amp; _xlpm.ref &amp; "'!$B$14:$B$150"), 0)) ) &lt;&gt; ""),COLUMN($AD$14:$OD$14) - COLUMN($AD$14) + 1 )))),"")),"")</f>
        <v/>
      </c>
      <c r="V61" s="167" t="str">
        <f t="shared" ca="1" si="0"/>
        <v/>
      </c>
    </row>
    <row r="62" spans="1:22">
      <c r="A62" s="127"/>
      <c r="B62" s="127"/>
      <c r="C62" s="128"/>
      <c r="D62" s="128"/>
      <c r="E62" s="127"/>
      <c r="F62" s="127"/>
      <c r="G62" s="127"/>
      <c r="H62" s="127"/>
      <c r="I62" s="127"/>
      <c r="J62" s="127"/>
      <c r="K62" s="127"/>
      <c r="L62" s="127"/>
      <c r="M62" s="56" t="str" cm="1">
        <f t="array" aca="1" ref="M62" ca="1">IF($A62="","",_xlfn.TEXTJOIN(",",TRUE,_xlfn.MAP(_xlfn._xlws.FILTER(Team_Members,Team_Members&lt;&gt;""),_xlfn.LAMBDA(_xlpm.x,IFERROR(IF(_xlfn.XMATCH($A62,INDIRECT("'"&amp;_xlpm.x&amp;"'!$B$14:$B$150"))&gt;0,_xlpm.x),"")))))</f>
        <v/>
      </c>
      <c r="N62" s="127"/>
      <c r="O62" s="4" t="str" cm="1">
        <f t="array" aca="1" ref="O62" ca="1">IFERROR(_xlfn.LET(_xlpm.Lst,_xlfn.MAP(Team_Members,_xlfn.LAMBDA(_xlpm.x,IFERROR(_xlfn.XLOOKUP($A62,INDIRECT("'"&amp;_xlpm.x&amp;"'!$B$14:$B$150"),INDIRECT("'"&amp;_xlpm.x&amp;"'!$D$14:$D$150")),""))),_xlpm.F_Lst,_xlfn._xlws.FILTER(_xlpm.Lst,_xlpm.Lst&lt;&gt;""),IF(COUNTA(_xlfn.UNIQUE(_xlpm.F_Lst))=1,INDEX(_xlpm.F_Lst,1),"WIP")),"")</f>
        <v/>
      </c>
      <c r="P62" s="127"/>
      <c r="Q62" s="127"/>
      <c r="R62" s="58" t="str" cm="1">
        <f t="array" aca="1" ref="R62" ca="1">IF($M62="","",_xlfn.LET(_xlpm.min,MIN(_xlfn.MAP(_xlfn.TEXTSPLIT($M62,","),_xlfn.LAMBDA(_xlpm.ref,IFERROR(INDEX(INDIRECT("'"&amp;_xlpm.ref&amp;"'!$AE$5:$OE$5"),MATCH(TRUE,INDEX(INDIRECT("'" &amp; _xlpm.ref &amp; "'!$AE$" &amp; (ROW(INDIRECT("'"&amp;_xlpm.ref&amp;"'!$B$14"))-1 + MATCH($A62, INDIRECT("'" &amp; _xlpm.ref &amp; "'!$B$14:$B$150"), 0)) &amp; ":$OE$" &amp; (ROW(INDIRECT("'"&amp;_xlpm.ref&amp;"'!$B$14"))-1 + MATCH($A62, INDIRECT("'" &amp; _xlpm.ref &amp; "'!$B$14:$B$150"), 0)))&lt;&gt;"",0),0)),"")))),IF(_xlpm.min=0,"",_xlpm.min)))</f>
        <v/>
      </c>
      <c r="S62" s="4" t="str" cm="1">
        <f t="array" aca="1" ref="S62" ca="1">IF($M62="","",SUM(_xlfn.MAP(_xlfn.TEXTSPLIT($M62,","),_xlfn.LAMBDA(_xlpm.ref,_xlfn.XLOOKUP($A62,INDIRECT("'"&amp;_xlpm.ref&amp;"'!$B$14:$B$150"),INDIRECT("'"&amp;_xlpm.ref&amp;"'!$E$14:$E$150"),0)))))</f>
        <v/>
      </c>
      <c r="T62" s="4" t="str" cm="1">
        <f t="array" aca="1" ref="T62" ca="1">IF($M62="","",SUM(_xlfn.MAP(_xlfn.TEXTSPLIT($M62,","),_xlfn.LAMBDA(_xlpm.ref,_xlfn.XLOOKUP($A62,INDIRECT("'"&amp;_xlpm.ref&amp;"'!$B$14:$B$150"),INDIRECT("'"&amp;_xlpm.ref&amp;"'!$F$14:$F$150"),0)))))</f>
        <v/>
      </c>
      <c r="U62" s="61" t="str" cm="1">
        <f t="array" aca="1" ref="U62" ca="1">IF($O62="Completed",MAX(IFERROR(_xlfn.MAP(_xlfn.TEXTSPLIT($M62, ","),_xlfn.LAMBDA(_xlpm.ref,INDEX(INDIRECT("'" &amp; _xlpm.ref &amp; "'!AE5:OE5"),1,LOOKUP(2,1 / (INDIRECT("'" &amp; _xlpm.ref &amp; "'!AE"&amp;(ROW(INDIRECT("'"&amp;_xlpm.ref&amp;"'!$B$14"))-1 + MATCH($A62, INDIRECT("'" &amp; _xlpm.ref &amp; "'!$B$14:$B$150"), 0)) &amp;":OE"&amp;(ROW(INDIRECT("'"&amp;_xlpm.ref&amp;"'!$B$14"))-1 + MATCH($A62, INDIRECT("'" &amp; _xlpm.ref &amp; "'!$B$14:$B$150"), 0)) ) &lt;&gt; ""),COLUMN($AD$14:$OD$14) - COLUMN($AD$14) + 1 )))),"")),"")</f>
        <v/>
      </c>
      <c r="V62" s="167" t="str">
        <f t="shared" ca="1" si="0"/>
        <v/>
      </c>
    </row>
    <row r="63" spans="1:22">
      <c r="A63" s="127"/>
      <c r="B63" s="127"/>
      <c r="C63" s="128"/>
      <c r="D63" s="128"/>
      <c r="E63" s="127"/>
      <c r="F63" s="127"/>
      <c r="G63" s="127"/>
      <c r="H63" s="127"/>
      <c r="I63" s="127"/>
      <c r="J63" s="127"/>
      <c r="K63" s="127"/>
      <c r="L63" s="127"/>
      <c r="M63" s="56" t="str" cm="1">
        <f t="array" aca="1" ref="M63" ca="1">IF($A63="","",_xlfn.TEXTJOIN(",",TRUE,_xlfn.MAP(_xlfn._xlws.FILTER(Team_Members,Team_Members&lt;&gt;""),_xlfn.LAMBDA(_xlpm.x,IFERROR(IF(_xlfn.XMATCH($A63,INDIRECT("'"&amp;_xlpm.x&amp;"'!$B$14:$B$150"))&gt;0,_xlpm.x),"")))))</f>
        <v/>
      </c>
      <c r="N63" s="127"/>
      <c r="O63" s="4" t="str" cm="1">
        <f t="array" aca="1" ref="O63" ca="1">IFERROR(_xlfn.LET(_xlpm.Lst,_xlfn.MAP(Team_Members,_xlfn.LAMBDA(_xlpm.x,IFERROR(_xlfn.XLOOKUP($A63,INDIRECT("'"&amp;_xlpm.x&amp;"'!$B$14:$B$150"),INDIRECT("'"&amp;_xlpm.x&amp;"'!$D$14:$D$150")),""))),_xlpm.F_Lst,_xlfn._xlws.FILTER(_xlpm.Lst,_xlpm.Lst&lt;&gt;""),IF(COUNTA(_xlfn.UNIQUE(_xlpm.F_Lst))=1,INDEX(_xlpm.F_Lst,1),"WIP")),"")</f>
        <v/>
      </c>
      <c r="P63" s="127"/>
      <c r="Q63" s="127"/>
      <c r="R63" s="58" t="str" cm="1">
        <f t="array" aca="1" ref="R63" ca="1">IF($M63="","",_xlfn.LET(_xlpm.min,MIN(_xlfn.MAP(_xlfn.TEXTSPLIT($M63,","),_xlfn.LAMBDA(_xlpm.ref,IFERROR(INDEX(INDIRECT("'"&amp;_xlpm.ref&amp;"'!$AE$5:$OE$5"),MATCH(TRUE,INDEX(INDIRECT("'" &amp; _xlpm.ref &amp; "'!$AE$" &amp; (ROW(INDIRECT("'"&amp;_xlpm.ref&amp;"'!$B$14"))-1 + MATCH($A63, INDIRECT("'" &amp; _xlpm.ref &amp; "'!$B$14:$B$150"), 0)) &amp; ":$OE$" &amp; (ROW(INDIRECT("'"&amp;_xlpm.ref&amp;"'!$B$14"))-1 + MATCH($A63, INDIRECT("'" &amp; _xlpm.ref &amp; "'!$B$14:$B$150"), 0)))&lt;&gt;"",0),0)),"")))),IF(_xlpm.min=0,"",_xlpm.min)))</f>
        <v/>
      </c>
      <c r="S63" s="4" t="str" cm="1">
        <f t="array" aca="1" ref="S63" ca="1">IF($M63="","",SUM(_xlfn.MAP(_xlfn.TEXTSPLIT($M63,","),_xlfn.LAMBDA(_xlpm.ref,_xlfn.XLOOKUP($A63,INDIRECT("'"&amp;_xlpm.ref&amp;"'!$B$14:$B$150"),INDIRECT("'"&amp;_xlpm.ref&amp;"'!$E$14:$E$150"),0)))))</f>
        <v/>
      </c>
      <c r="T63" s="4" t="str" cm="1">
        <f t="array" aca="1" ref="T63" ca="1">IF($M63="","",SUM(_xlfn.MAP(_xlfn.TEXTSPLIT($M63,","),_xlfn.LAMBDA(_xlpm.ref,_xlfn.XLOOKUP($A63,INDIRECT("'"&amp;_xlpm.ref&amp;"'!$B$14:$B$150"),INDIRECT("'"&amp;_xlpm.ref&amp;"'!$F$14:$F$150"),0)))))</f>
        <v/>
      </c>
      <c r="U63" s="61" t="str" cm="1">
        <f t="array" aca="1" ref="U63" ca="1">IF($O63="Completed",MAX(IFERROR(_xlfn.MAP(_xlfn.TEXTSPLIT($M63, ","),_xlfn.LAMBDA(_xlpm.ref,INDEX(INDIRECT("'" &amp; _xlpm.ref &amp; "'!AE5:OE5"),1,LOOKUP(2,1 / (INDIRECT("'" &amp; _xlpm.ref &amp; "'!AE"&amp;(ROW(INDIRECT("'"&amp;_xlpm.ref&amp;"'!$B$14"))-1 + MATCH($A63, INDIRECT("'" &amp; _xlpm.ref &amp; "'!$B$14:$B$150"), 0)) &amp;":OE"&amp;(ROW(INDIRECT("'"&amp;_xlpm.ref&amp;"'!$B$14"))-1 + MATCH($A63, INDIRECT("'" &amp; _xlpm.ref &amp; "'!$B$14:$B$150"), 0)) ) &lt;&gt; ""),COLUMN($AD$14:$OD$14) - COLUMN($AD$14) + 1 )))),"")),"")</f>
        <v/>
      </c>
      <c r="V63" s="167" t="str">
        <f t="shared" ca="1" si="0"/>
        <v/>
      </c>
    </row>
    <row r="64" spans="1:22">
      <c r="A64" s="127"/>
      <c r="B64" s="127"/>
      <c r="C64" s="128"/>
      <c r="D64" s="128"/>
      <c r="E64" s="127"/>
      <c r="F64" s="127"/>
      <c r="G64" s="127"/>
      <c r="H64" s="127"/>
      <c r="I64" s="127"/>
      <c r="J64" s="127"/>
      <c r="K64" s="127"/>
      <c r="L64" s="127"/>
      <c r="M64" s="56" t="str" cm="1">
        <f t="array" aca="1" ref="M64" ca="1">IF($A64="","",_xlfn.TEXTJOIN(",",TRUE,_xlfn.MAP(_xlfn._xlws.FILTER(Team_Members,Team_Members&lt;&gt;""),_xlfn.LAMBDA(_xlpm.x,IFERROR(IF(_xlfn.XMATCH($A64,INDIRECT("'"&amp;_xlpm.x&amp;"'!$B$14:$B$150"))&gt;0,_xlpm.x),"")))))</f>
        <v/>
      </c>
      <c r="N64" s="127"/>
      <c r="O64" s="4" t="str" cm="1">
        <f t="array" aca="1" ref="O64" ca="1">IFERROR(_xlfn.LET(_xlpm.Lst,_xlfn.MAP(Team_Members,_xlfn.LAMBDA(_xlpm.x,IFERROR(_xlfn.XLOOKUP($A64,INDIRECT("'"&amp;_xlpm.x&amp;"'!$B$14:$B$150"),INDIRECT("'"&amp;_xlpm.x&amp;"'!$D$14:$D$150")),""))),_xlpm.F_Lst,_xlfn._xlws.FILTER(_xlpm.Lst,_xlpm.Lst&lt;&gt;""),IF(COUNTA(_xlfn.UNIQUE(_xlpm.F_Lst))=1,INDEX(_xlpm.F_Lst,1),"WIP")),"")</f>
        <v/>
      </c>
      <c r="P64" s="127"/>
      <c r="Q64" s="127"/>
      <c r="R64" s="58" t="str" cm="1">
        <f t="array" aca="1" ref="R64" ca="1">IF($M64="","",_xlfn.LET(_xlpm.min,MIN(_xlfn.MAP(_xlfn.TEXTSPLIT($M64,","),_xlfn.LAMBDA(_xlpm.ref,IFERROR(INDEX(INDIRECT("'"&amp;_xlpm.ref&amp;"'!$AE$5:$OE$5"),MATCH(TRUE,INDEX(INDIRECT("'" &amp; _xlpm.ref &amp; "'!$AE$" &amp; (ROW(INDIRECT("'"&amp;_xlpm.ref&amp;"'!$B$14"))-1 + MATCH($A64, INDIRECT("'" &amp; _xlpm.ref &amp; "'!$B$14:$B$150"), 0)) &amp; ":$OE$" &amp; (ROW(INDIRECT("'"&amp;_xlpm.ref&amp;"'!$B$14"))-1 + MATCH($A64, INDIRECT("'" &amp; _xlpm.ref &amp; "'!$B$14:$B$150"), 0)))&lt;&gt;"",0),0)),"")))),IF(_xlpm.min=0,"",_xlpm.min)))</f>
        <v/>
      </c>
      <c r="S64" s="4" t="str" cm="1">
        <f t="array" aca="1" ref="S64" ca="1">IF($M64="","",SUM(_xlfn.MAP(_xlfn.TEXTSPLIT($M64,","),_xlfn.LAMBDA(_xlpm.ref,_xlfn.XLOOKUP($A64,INDIRECT("'"&amp;_xlpm.ref&amp;"'!$B$14:$B$150"),INDIRECT("'"&amp;_xlpm.ref&amp;"'!$E$14:$E$150"),0)))))</f>
        <v/>
      </c>
      <c r="T64" s="4" t="str" cm="1">
        <f t="array" aca="1" ref="T64" ca="1">IF($M64="","",SUM(_xlfn.MAP(_xlfn.TEXTSPLIT($M64,","),_xlfn.LAMBDA(_xlpm.ref,_xlfn.XLOOKUP($A64,INDIRECT("'"&amp;_xlpm.ref&amp;"'!$B$14:$B$150"),INDIRECT("'"&amp;_xlpm.ref&amp;"'!$F$14:$F$150"),0)))))</f>
        <v/>
      </c>
      <c r="U64" s="61" t="str" cm="1">
        <f t="array" aca="1" ref="U64" ca="1">IF($O64="Completed",MAX(IFERROR(_xlfn.MAP(_xlfn.TEXTSPLIT($M64, ","),_xlfn.LAMBDA(_xlpm.ref,INDEX(INDIRECT("'" &amp; _xlpm.ref &amp; "'!AE5:OE5"),1,LOOKUP(2,1 / (INDIRECT("'" &amp; _xlpm.ref &amp; "'!AE"&amp;(ROW(INDIRECT("'"&amp;_xlpm.ref&amp;"'!$B$14"))-1 + MATCH($A64, INDIRECT("'" &amp; _xlpm.ref &amp; "'!$B$14:$B$150"), 0)) &amp;":OE"&amp;(ROW(INDIRECT("'"&amp;_xlpm.ref&amp;"'!$B$14"))-1 + MATCH($A64, INDIRECT("'" &amp; _xlpm.ref &amp; "'!$B$14:$B$150"), 0)) ) &lt;&gt; ""),COLUMN($AD$14:$OD$14) - COLUMN($AD$14) + 1 )))),"")),"")</f>
        <v/>
      </c>
      <c r="V64" s="167" t="str">
        <f t="shared" ca="1" si="0"/>
        <v/>
      </c>
    </row>
    <row r="65" spans="1:22">
      <c r="A65" s="127"/>
      <c r="B65" s="127"/>
      <c r="C65" s="128"/>
      <c r="D65" s="128"/>
      <c r="E65" s="127"/>
      <c r="F65" s="127"/>
      <c r="G65" s="127"/>
      <c r="H65" s="127"/>
      <c r="I65" s="127"/>
      <c r="J65" s="127"/>
      <c r="K65" s="127"/>
      <c r="L65" s="127"/>
      <c r="M65" s="56" t="str" cm="1">
        <f t="array" aca="1" ref="M65" ca="1">IF($A65="","",_xlfn.TEXTJOIN(",",TRUE,_xlfn.MAP(_xlfn._xlws.FILTER(Team_Members,Team_Members&lt;&gt;""),_xlfn.LAMBDA(_xlpm.x,IFERROR(IF(_xlfn.XMATCH($A65,INDIRECT("'"&amp;_xlpm.x&amp;"'!$B$14:$B$150"))&gt;0,_xlpm.x),"")))))</f>
        <v/>
      </c>
      <c r="N65" s="127"/>
      <c r="O65" s="4" t="str" cm="1">
        <f t="array" aca="1" ref="O65" ca="1">IFERROR(_xlfn.LET(_xlpm.Lst,_xlfn.MAP(Team_Members,_xlfn.LAMBDA(_xlpm.x,IFERROR(_xlfn.XLOOKUP($A65,INDIRECT("'"&amp;_xlpm.x&amp;"'!$B$14:$B$150"),INDIRECT("'"&amp;_xlpm.x&amp;"'!$D$14:$D$150")),""))),_xlpm.F_Lst,_xlfn._xlws.FILTER(_xlpm.Lst,_xlpm.Lst&lt;&gt;""),IF(COUNTA(_xlfn.UNIQUE(_xlpm.F_Lst))=1,INDEX(_xlpm.F_Lst,1),"WIP")),"")</f>
        <v/>
      </c>
      <c r="P65" s="127"/>
      <c r="Q65" s="127"/>
      <c r="R65" s="58" t="str" cm="1">
        <f t="array" aca="1" ref="R65" ca="1">IF($M65="","",_xlfn.LET(_xlpm.min,MIN(_xlfn.MAP(_xlfn.TEXTSPLIT($M65,","),_xlfn.LAMBDA(_xlpm.ref,IFERROR(INDEX(INDIRECT("'"&amp;_xlpm.ref&amp;"'!$AE$5:$OE$5"),MATCH(TRUE,INDEX(INDIRECT("'" &amp; _xlpm.ref &amp; "'!$AE$" &amp; (ROW(INDIRECT("'"&amp;_xlpm.ref&amp;"'!$B$14"))-1 + MATCH($A65, INDIRECT("'" &amp; _xlpm.ref &amp; "'!$B$14:$B$150"), 0)) &amp; ":$OE$" &amp; (ROW(INDIRECT("'"&amp;_xlpm.ref&amp;"'!$B$14"))-1 + MATCH($A65, INDIRECT("'" &amp; _xlpm.ref &amp; "'!$B$14:$B$150"), 0)))&lt;&gt;"",0),0)),"")))),IF(_xlpm.min=0,"",_xlpm.min)))</f>
        <v/>
      </c>
      <c r="S65" s="4" t="str" cm="1">
        <f t="array" aca="1" ref="S65" ca="1">IF($M65="","",SUM(_xlfn.MAP(_xlfn.TEXTSPLIT($M65,","),_xlfn.LAMBDA(_xlpm.ref,_xlfn.XLOOKUP($A65,INDIRECT("'"&amp;_xlpm.ref&amp;"'!$B$14:$B$150"),INDIRECT("'"&amp;_xlpm.ref&amp;"'!$E$14:$E$150"),0)))))</f>
        <v/>
      </c>
      <c r="T65" s="4" t="str" cm="1">
        <f t="array" aca="1" ref="T65" ca="1">IF($M65="","",SUM(_xlfn.MAP(_xlfn.TEXTSPLIT($M65,","),_xlfn.LAMBDA(_xlpm.ref,_xlfn.XLOOKUP($A65,INDIRECT("'"&amp;_xlpm.ref&amp;"'!$B$14:$B$150"),INDIRECT("'"&amp;_xlpm.ref&amp;"'!$F$14:$F$150"),0)))))</f>
        <v/>
      </c>
      <c r="U65" s="61" t="str" cm="1">
        <f t="array" aca="1" ref="U65" ca="1">IF($O65="Completed",MAX(IFERROR(_xlfn.MAP(_xlfn.TEXTSPLIT($M65, ","),_xlfn.LAMBDA(_xlpm.ref,INDEX(INDIRECT("'" &amp; _xlpm.ref &amp; "'!AE5:OE5"),1,LOOKUP(2,1 / (INDIRECT("'" &amp; _xlpm.ref &amp; "'!AE"&amp;(ROW(INDIRECT("'"&amp;_xlpm.ref&amp;"'!$B$14"))-1 + MATCH($A65, INDIRECT("'" &amp; _xlpm.ref &amp; "'!$B$14:$B$150"), 0)) &amp;":OE"&amp;(ROW(INDIRECT("'"&amp;_xlpm.ref&amp;"'!$B$14"))-1 + MATCH($A65, INDIRECT("'" &amp; _xlpm.ref &amp; "'!$B$14:$B$150"), 0)) ) &lt;&gt; ""),COLUMN($AD$14:$OD$14) - COLUMN($AD$14) + 1 )))),"")),"")</f>
        <v/>
      </c>
      <c r="V65" s="167" t="str">
        <f t="shared" ca="1" si="0"/>
        <v/>
      </c>
    </row>
    <row r="66" spans="1:22">
      <c r="A66" s="127"/>
      <c r="B66" s="127"/>
      <c r="C66" s="128"/>
      <c r="D66" s="128"/>
      <c r="E66" s="127"/>
      <c r="F66" s="127"/>
      <c r="G66" s="127"/>
      <c r="H66" s="127"/>
      <c r="I66" s="127"/>
      <c r="J66" s="127"/>
      <c r="K66" s="127"/>
      <c r="L66" s="127"/>
      <c r="M66" s="56" t="str" cm="1">
        <f t="array" aca="1" ref="M66" ca="1">IF($A66="","",_xlfn.TEXTJOIN(",",TRUE,_xlfn.MAP(_xlfn._xlws.FILTER(Team_Members,Team_Members&lt;&gt;""),_xlfn.LAMBDA(_xlpm.x,IFERROR(IF(_xlfn.XMATCH($A66,INDIRECT("'"&amp;_xlpm.x&amp;"'!$B$14:$B$150"))&gt;0,_xlpm.x),"")))))</f>
        <v/>
      </c>
      <c r="N66" s="127"/>
      <c r="O66" s="4" t="str" cm="1">
        <f t="array" aca="1" ref="O66" ca="1">IFERROR(_xlfn.LET(_xlpm.Lst,_xlfn.MAP(Team_Members,_xlfn.LAMBDA(_xlpm.x,IFERROR(_xlfn.XLOOKUP($A66,INDIRECT("'"&amp;_xlpm.x&amp;"'!$B$14:$B$150"),INDIRECT("'"&amp;_xlpm.x&amp;"'!$D$14:$D$150")),""))),_xlpm.F_Lst,_xlfn._xlws.FILTER(_xlpm.Lst,_xlpm.Lst&lt;&gt;""),IF(COUNTA(_xlfn.UNIQUE(_xlpm.F_Lst))=1,INDEX(_xlpm.F_Lst,1),"WIP")),"")</f>
        <v/>
      </c>
      <c r="P66" s="127"/>
      <c r="Q66" s="127"/>
      <c r="R66" s="58" t="str" cm="1">
        <f t="array" aca="1" ref="R66" ca="1">IF($M66="","",_xlfn.LET(_xlpm.min,MIN(_xlfn.MAP(_xlfn.TEXTSPLIT($M66,","),_xlfn.LAMBDA(_xlpm.ref,IFERROR(INDEX(INDIRECT("'"&amp;_xlpm.ref&amp;"'!$AE$5:$OE$5"),MATCH(TRUE,INDEX(INDIRECT("'" &amp; _xlpm.ref &amp; "'!$AE$" &amp; (ROW(INDIRECT("'"&amp;_xlpm.ref&amp;"'!$B$14"))-1 + MATCH($A66, INDIRECT("'" &amp; _xlpm.ref &amp; "'!$B$14:$B$150"), 0)) &amp; ":$OE$" &amp; (ROW(INDIRECT("'"&amp;_xlpm.ref&amp;"'!$B$14"))-1 + MATCH($A66, INDIRECT("'" &amp; _xlpm.ref &amp; "'!$B$14:$B$150"), 0)))&lt;&gt;"",0),0)),"")))),IF(_xlpm.min=0,"",_xlpm.min)))</f>
        <v/>
      </c>
      <c r="S66" s="4" t="str" cm="1">
        <f t="array" aca="1" ref="S66" ca="1">IF($M66="","",SUM(_xlfn.MAP(_xlfn.TEXTSPLIT($M66,","),_xlfn.LAMBDA(_xlpm.ref,_xlfn.XLOOKUP($A66,INDIRECT("'"&amp;_xlpm.ref&amp;"'!$B$14:$B$150"),INDIRECT("'"&amp;_xlpm.ref&amp;"'!$E$14:$E$150"),0)))))</f>
        <v/>
      </c>
      <c r="T66" s="4" t="str" cm="1">
        <f t="array" aca="1" ref="T66" ca="1">IF($M66="","",SUM(_xlfn.MAP(_xlfn.TEXTSPLIT($M66,","),_xlfn.LAMBDA(_xlpm.ref,_xlfn.XLOOKUP($A66,INDIRECT("'"&amp;_xlpm.ref&amp;"'!$B$14:$B$150"),INDIRECT("'"&amp;_xlpm.ref&amp;"'!$F$14:$F$150"),0)))))</f>
        <v/>
      </c>
      <c r="U66" s="61" t="str" cm="1">
        <f t="array" aca="1" ref="U66" ca="1">IF($O66="Completed",MAX(IFERROR(_xlfn.MAP(_xlfn.TEXTSPLIT($M66, ","),_xlfn.LAMBDA(_xlpm.ref,INDEX(INDIRECT("'" &amp; _xlpm.ref &amp; "'!AE5:OE5"),1,LOOKUP(2,1 / (INDIRECT("'" &amp; _xlpm.ref &amp; "'!AE"&amp;(ROW(INDIRECT("'"&amp;_xlpm.ref&amp;"'!$B$14"))-1 + MATCH($A66, INDIRECT("'" &amp; _xlpm.ref &amp; "'!$B$14:$B$150"), 0)) &amp;":OE"&amp;(ROW(INDIRECT("'"&amp;_xlpm.ref&amp;"'!$B$14"))-1 + MATCH($A66, INDIRECT("'" &amp; _xlpm.ref &amp; "'!$B$14:$B$150"), 0)) ) &lt;&gt; ""),COLUMN($AD$14:$OD$14) - COLUMN($AD$14) + 1 )))),"")),"")</f>
        <v/>
      </c>
      <c r="V66" s="167" t="str">
        <f t="shared" ca="1" si="0"/>
        <v/>
      </c>
    </row>
    <row r="67" spans="1:22">
      <c r="A67" s="127"/>
      <c r="B67" s="127"/>
      <c r="C67" s="128"/>
      <c r="D67" s="128"/>
      <c r="E67" s="127"/>
      <c r="F67" s="127"/>
      <c r="G67" s="127"/>
      <c r="H67" s="127"/>
      <c r="I67" s="127"/>
      <c r="J67" s="127"/>
      <c r="K67" s="127"/>
      <c r="L67" s="127"/>
      <c r="M67" s="56" t="str" cm="1">
        <f t="array" aca="1" ref="M67" ca="1">IF($A67="","",_xlfn.TEXTJOIN(",",TRUE,_xlfn.MAP(_xlfn._xlws.FILTER(Team_Members,Team_Members&lt;&gt;""),_xlfn.LAMBDA(_xlpm.x,IFERROR(IF(_xlfn.XMATCH($A67,INDIRECT("'"&amp;_xlpm.x&amp;"'!$B$14:$B$150"))&gt;0,_xlpm.x),"")))))</f>
        <v/>
      </c>
      <c r="N67" s="127"/>
      <c r="O67" s="4" t="str" cm="1">
        <f t="array" aca="1" ref="O67" ca="1">IFERROR(_xlfn.LET(_xlpm.Lst,_xlfn.MAP(Team_Members,_xlfn.LAMBDA(_xlpm.x,IFERROR(_xlfn.XLOOKUP($A67,INDIRECT("'"&amp;_xlpm.x&amp;"'!$B$14:$B$150"),INDIRECT("'"&amp;_xlpm.x&amp;"'!$D$14:$D$150")),""))),_xlpm.F_Lst,_xlfn._xlws.FILTER(_xlpm.Lst,_xlpm.Lst&lt;&gt;""),IF(COUNTA(_xlfn.UNIQUE(_xlpm.F_Lst))=1,INDEX(_xlpm.F_Lst,1),"WIP")),"")</f>
        <v/>
      </c>
      <c r="P67" s="127"/>
      <c r="Q67" s="127"/>
      <c r="R67" s="58" t="str" cm="1">
        <f t="array" aca="1" ref="R67" ca="1">IF($M67="","",_xlfn.LET(_xlpm.min,MIN(_xlfn.MAP(_xlfn.TEXTSPLIT($M67,","),_xlfn.LAMBDA(_xlpm.ref,IFERROR(INDEX(INDIRECT("'"&amp;_xlpm.ref&amp;"'!$AE$5:$OE$5"),MATCH(TRUE,INDEX(INDIRECT("'" &amp; _xlpm.ref &amp; "'!$AE$" &amp; (ROW(INDIRECT("'"&amp;_xlpm.ref&amp;"'!$B$14"))-1 + MATCH($A67, INDIRECT("'" &amp; _xlpm.ref &amp; "'!$B$14:$B$150"), 0)) &amp; ":$OE$" &amp; (ROW(INDIRECT("'"&amp;_xlpm.ref&amp;"'!$B$14"))-1 + MATCH($A67, INDIRECT("'" &amp; _xlpm.ref &amp; "'!$B$14:$B$150"), 0)))&lt;&gt;"",0),0)),"")))),IF(_xlpm.min=0,"",_xlpm.min)))</f>
        <v/>
      </c>
      <c r="S67" s="4" t="str" cm="1">
        <f t="array" aca="1" ref="S67" ca="1">IF($M67="","",SUM(_xlfn.MAP(_xlfn.TEXTSPLIT($M67,","),_xlfn.LAMBDA(_xlpm.ref,_xlfn.XLOOKUP($A67,INDIRECT("'"&amp;_xlpm.ref&amp;"'!$B$14:$B$150"),INDIRECT("'"&amp;_xlpm.ref&amp;"'!$E$14:$E$150"),0)))))</f>
        <v/>
      </c>
      <c r="T67" s="4" t="str" cm="1">
        <f t="array" aca="1" ref="T67" ca="1">IF($M67="","",SUM(_xlfn.MAP(_xlfn.TEXTSPLIT($M67,","),_xlfn.LAMBDA(_xlpm.ref,_xlfn.XLOOKUP($A67,INDIRECT("'"&amp;_xlpm.ref&amp;"'!$B$14:$B$150"),INDIRECT("'"&amp;_xlpm.ref&amp;"'!$F$14:$F$150"),0)))))</f>
        <v/>
      </c>
      <c r="U67" s="61" t="str" cm="1">
        <f t="array" aca="1" ref="U67" ca="1">IF($O67="Completed",MAX(IFERROR(_xlfn.MAP(_xlfn.TEXTSPLIT($M67, ","),_xlfn.LAMBDA(_xlpm.ref,INDEX(INDIRECT("'" &amp; _xlpm.ref &amp; "'!AE5:OE5"),1,LOOKUP(2,1 / (INDIRECT("'" &amp; _xlpm.ref &amp; "'!AE"&amp;(ROW(INDIRECT("'"&amp;_xlpm.ref&amp;"'!$B$14"))-1 + MATCH($A67, INDIRECT("'" &amp; _xlpm.ref &amp; "'!$B$14:$B$150"), 0)) &amp;":OE"&amp;(ROW(INDIRECT("'"&amp;_xlpm.ref&amp;"'!$B$14"))-1 + MATCH($A67, INDIRECT("'" &amp; _xlpm.ref &amp; "'!$B$14:$B$150"), 0)) ) &lt;&gt; ""),COLUMN($AD$14:$OD$14) - COLUMN($AD$14) + 1 )))),"")),"")</f>
        <v/>
      </c>
      <c r="V67" s="167" t="str">
        <f t="shared" ca="1" si="0"/>
        <v/>
      </c>
    </row>
    <row r="68" spans="1:22">
      <c r="A68" s="127"/>
      <c r="B68" s="127"/>
      <c r="C68" s="128"/>
      <c r="D68" s="128"/>
      <c r="E68" s="127"/>
      <c r="F68" s="127"/>
      <c r="G68" s="127"/>
      <c r="H68" s="127"/>
      <c r="I68" s="127"/>
      <c r="J68" s="127"/>
      <c r="K68" s="127"/>
      <c r="L68" s="127"/>
      <c r="M68" s="56" t="str" cm="1">
        <f t="array" aca="1" ref="M68" ca="1">IF($A68="","",_xlfn.TEXTJOIN(",",TRUE,_xlfn.MAP(_xlfn._xlws.FILTER(Team_Members,Team_Members&lt;&gt;""),_xlfn.LAMBDA(_xlpm.x,IFERROR(IF(_xlfn.XMATCH($A68,INDIRECT("'"&amp;_xlpm.x&amp;"'!$B$14:$B$150"))&gt;0,_xlpm.x),"")))))</f>
        <v/>
      </c>
      <c r="N68" s="127"/>
      <c r="O68" s="4" t="str" cm="1">
        <f t="array" aca="1" ref="O68" ca="1">IFERROR(_xlfn.LET(_xlpm.Lst,_xlfn.MAP(Team_Members,_xlfn.LAMBDA(_xlpm.x,IFERROR(_xlfn.XLOOKUP($A68,INDIRECT("'"&amp;_xlpm.x&amp;"'!$B$14:$B$150"),INDIRECT("'"&amp;_xlpm.x&amp;"'!$D$14:$D$150")),""))),_xlpm.F_Lst,_xlfn._xlws.FILTER(_xlpm.Lst,_xlpm.Lst&lt;&gt;""),IF(COUNTA(_xlfn.UNIQUE(_xlpm.F_Lst))=1,INDEX(_xlpm.F_Lst,1),"WIP")),"")</f>
        <v/>
      </c>
      <c r="P68" s="127"/>
      <c r="Q68" s="127"/>
      <c r="R68" s="58" t="str" cm="1">
        <f t="array" aca="1" ref="R68" ca="1">IF($M68="","",_xlfn.LET(_xlpm.min,MIN(_xlfn.MAP(_xlfn.TEXTSPLIT($M68,","),_xlfn.LAMBDA(_xlpm.ref,IFERROR(INDEX(INDIRECT("'"&amp;_xlpm.ref&amp;"'!$AE$5:$OE$5"),MATCH(TRUE,INDEX(INDIRECT("'" &amp; _xlpm.ref &amp; "'!$AE$" &amp; (ROW(INDIRECT("'"&amp;_xlpm.ref&amp;"'!$B$14"))-1 + MATCH($A68, INDIRECT("'" &amp; _xlpm.ref &amp; "'!$B$14:$B$150"), 0)) &amp; ":$OE$" &amp; (ROW(INDIRECT("'"&amp;_xlpm.ref&amp;"'!$B$14"))-1 + MATCH($A68, INDIRECT("'" &amp; _xlpm.ref &amp; "'!$B$14:$B$150"), 0)))&lt;&gt;"",0),0)),"")))),IF(_xlpm.min=0,"",_xlpm.min)))</f>
        <v/>
      </c>
      <c r="S68" s="4" t="str" cm="1">
        <f t="array" aca="1" ref="S68" ca="1">IF($M68="","",SUM(_xlfn.MAP(_xlfn.TEXTSPLIT($M68,","),_xlfn.LAMBDA(_xlpm.ref,_xlfn.XLOOKUP($A68,INDIRECT("'"&amp;_xlpm.ref&amp;"'!$B$14:$B$150"),INDIRECT("'"&amp;_xlpm.ref&amp;"'!$E$14:$E$150"),0)))))</f>
        <v/>
      </c>
      <c r="T68" s="4" t="str" cm="1">
        <f t="array" aca="1" ref="T68" ca="1">IF($M68="","",SUM(_xlfn.MAP(_xlfn.TEXTSPLIT($M68,","),_xlfn.LAMBDA(_xlpm.ref,_xlfn.XLOOKUP($A68,INDIRECT("'"&amp;_xlpm.ref&amp;"'!$B$14:$B$150"),INDIRECT("'"&amp;_xlpm.ref&amp;"'!$F$14:$F$150"),0)))))</f>
        <v/>
      </c>
      <c r="U68" s="61" t="str" cm="1">
        <f t="array" aca="1" ref="U68" ca="1">IF($O68="Completed",MAX(IFERROR(_xlfn.MAP(_xlfn.TEXTSPLIT($M68, ","),_xlfn.LAMBDA(_xlpm.ref,INDEX(INDIRECT("'" &amp; _xlpm.ref &amp; "'!AE5:OE5"),1,LOOKUP(2,1 / (INDIRECT("'" &amp; _xlpm.ref &amp; "'!AE"&amp;(ROW(INDIRECT("'"&amp;_xlpm.ref&amp;"'!$B$14"))-1 + MATCH($A68, INDIRECT("'" &amp; _xlpm.ref &amp; "'!$B$14:$B$150"), 0)) &amp;":OE"&amp;(ROW(INDIRECT("'"&amp;_xlpm.ref&amp;"'!$B$14"))-1 + MATCH($A68, INDIRECT("'" &amp; _xlpm.ref &amp; "'!$B$14:$B$150"), 0)) ) &lt;&gt; ""),COLUMN($AD$14:$OD$14) - COLUMN($AD$14) + 1 )))),"")),"")</f>
        <v/>
      </c>
      <c r="V68" s="167" t="str">
        <f t="shared" ca="1" si="0"/>
        <v/>
      </c>
    </row>
    <row r="69" spans="1:22">
      <c r="A69" s="127"/>
      <c r="B69" s="127"/>
      <c r="C69" s="128"/>
      <c r="D69" s="128"/>
      <c r="E69" s="127"/>
      <c r="F69" s="127"/>
      <c r="G69" s="127"/>
      <c r="H69" s="127"/>
      <c r="I69" s="127"/>
      <c r="J69" s="127"/>
      <c r="K69" s="127"/>
      <c r="L69" s="127"/>
      <c r="M69" s="56" t="str" cm="1">
        <f t="array" aca="1" ref="M69" ca="1">IF($A69="","",_xlfn.TEXTJOIN(",",TRUE,_xlfn.MAP(_xlfn._xlws.FILTER(Team_Members,Team_Members&lt;&gt;""),_xlfn.LAMBDA(_xlpm.x,IFERROR(IF(_xlfn.XMATCH($A69,INDIRECT("'"&amp;_xlpm.x&amp;"'!$B$14:$B$150"))&gt;0,_xlpm.x),"")))))</f>
        <v/>
      </c>
      <c r="N69" s="127"/>
      <c r="O69" s="4" t="str" cm="1">
        <f t="array" aca="1" ref="O69" ca="1">IFERROR(_xlfn.LET(_xlpm.Lst,_xlfn.MAP(Team_Members,_xlfn.LAMBDA(_xlpm.x,IFERROR(_xlfn.XLOOKUP($A69,INDIRECT("'"&amp;_xlpm.x&amp;"'!$B$14:$B$150"),INDIRECT("'"&amp;_xlpm.x&amp;"'!$D$14:$D$150")),""))),_xlpm.F_Lst,_xlfn._xlws.FILTER(_xlpm.Lst,_xlpm.Lst&lt;&gt;""),IF(COUNTA(_xlfn.UNIQUE(_xlpm.F_Lst))=1,INDEX(_xlpm.F_Lst,1),"WIP")),"")</f>
        <v/>
      </c>
      <c r="P69" s="127"/>
      <c r="Q69" s="127"/>
      <c r="R69" s="58" t="str" cm="1">
        <f t="array" aca="1" ref="R69" ca="1">IF($M69="","",_xlfn.LET(_xlpm.min,MIN(_xlfn.MAP(_xlfn.TEXTSPLIT($M69,","),_xlfn.LAMBDA(_xlpm.ref,IFERROR(INDEX(INDIRECT("'"&amp;_xlpm.ref&amp;"'!$AE$5:$OE$5"),MATCH(TRUE,INDEX(INDIRECT("'" &amp; _xlpm.ref &amp; "'!$AE$" &amp; (ROW(INDIRECT("'"&amp;_xlpm.ref&amp;"'!$B$14"))-1 + MATCH($A69, INDIRECT("'" &amp; _xlpm.ref &amp; "'!$B$14:$B$150"), 0)) &amp; ":$OE$" &amp; (ROW(INDIRECT("'"&amp;_xlpm.ref&amp;"'!$B$14"))-1 + MATCH($A69, INDIRECT("'" &amp; _xlpm.ref &amp; "'!$B$14:$B$150"), 0)))&lt;&gt;"",0),0)),"")))),IF(_xlpm.min=0,"",_xlpm.min)))</f>
        <v/>
      </c>
      <c r="S69" s="4" t="str" cm="1">
        <f t="array" aca="1" ref="S69" ca="1">IF($M69="","",SUM(_xlfn.MAP(_xlfn.TEXTSPLIT($M69,","),_xlfn.LAMBDA(_xlpm.ref,_xlfn.XLOOKUP($A69,INDIRECT("'"&amp;_xlpm.ref&amp;"'!$B$14:$B$150"),INDIRECT("'"&amp;_xlpm.ref&amp;"'!$E$14:$E$150"),0)))))</f>
        <v/>
      </c>
      <c r="T69" s="4" t="str" cm="1">
        <f t="array" aca="1" ref="T69" ca="1">IF($M69="","",SUM(_xlfn.MAP(_xlfn.TEXTSPLIT($M69,","),_xlfn.LAMBDA(_xlpm.ref,_xlfn.XLOOKUP($A69,INDIRECT("'"&amp;_xlpm.ref&amp;"'!$B$14:$B$150"),INDIRECT("'"&amp;_xlpm.ref&amp;"'!$F$14:$F$150"),0)))))</f>
        <v/>
      </c>
      <c r="U69" s="61" t="str" cm="1">
        <f t="array" aca="1" ref="U69" ca="1">IF($O69="Completed",MAX(IFERROR(_xlfn.MAP(_xlfn.TEXTSPLIT($M69, ","),_xlfn.LAMBDA(_xlpm.ref,INDEX(INDIRECT("'" &amp; _xlpm.ref &amp; "'!AE5:OE5"),1,LOOKUP(2,1 / (INDIRECT("'" &amp; _xlpm.ref &amp; "'!AE"&amp;(ROW(INDIRECT("'"&amp;_xlpm.ref&amp;"'!$B$14"))-1 + MATCH($A69, INDIRECT("'" &amp; _xlpm.ref &amp; "'!$B$14:$B$150"), 0)) &amp;":OE"&amp;(ROW(INDIRECT("'"&amp;_xlpm.ref&amp;"'!$B$14"))-1 + MATCH($A69, INDIRECT("'" &amp; _xlpm.ref &amp; "'!$B$14:$B$150"), 0)) ) &lt;&gt; ""),COLUMN($AD$14:$OD$14) - COLUMN($AD$14) + 1 )))),"")),"")</f>
        <v/>
      </c>
      <c r="V69" s="167" t="str">
        <f t="shared" ca="1" si="0"/>
        <v/>
      </c>
    </row>
    <row r="70" spans="1:22">
      <c r="A70" s="127"/>
      <c r="B70" s="127"/>
      <c r="C70" s="128"/>
      <c r="D70" s="128"/>
      <c r="E70" s="127"/>
      <c r="F70" s="127"/>
      <c r="G70" s="127"/>
      <c r="H70" s="127"/>
      <c r="I70" s="127"/>
      <c r="J70" s="127"/>
      <c r="K70" s="127"/>
      <c r="L70" s="127"/>
      <c r="M70" s="56" t="str" cm="1">
        <f t="array" aca="1" ref="M70" ca="1">IF($A70="","",_xlfn.TEXTJOIN(",",TRUE,_xlfn.MAP(_xlfn._xlws.FILTER(Team_Members,Team_Members&lt;&gt;""),_xlfn.LAMBDA(_xlpm.x,IFERROR(IF(_xlfn.XMATCH($A70,INDIRECT("'"&amp;_xlpm.x&amp;"'!$B$14:$B$150"))&gt;0,_xlpm.x),"")))))</f>
        <v/>
      </c>
      <c r="N70" s="127"/>
      <c r="O70" s="4" t="str" cm="1">
        <f t="array" aca="1" ref="O70" ca="1">IFERROR(_xlfn.LET(_xlpm.Lst,_xlfn.MAP(Team_Members,_xlfn.LAMBDA(_xlpm.x,IFERROR(_xlfn.XLOOKUP($A70,INDIRECT("'"&amp;_xlpm.x&amp;"'!$B$14:$B$150"),INDIRECT("'"&amp;_xlpm.x&amp;"'!$D$14:$D$150")),""))),_xlpm.F_Lst,_xlfn._xlws.FILTER(_xlpm.Lst,_xlpm.Lst&lt;&gt;""),IF(COUNTA(_xlfn.UNIQUE(_xlpm.F_Lst))=1,INDEX(_xlpm.F_Lst,1),"WIP")),"")</f>
        <v/>
      </c>
      <c r="P70" s="127"/>
      <c r="Q70" s="127"/>
      <c r="R70" s="58" t="str" cm="1">
        <f t="array" aca="1" ref="R70" ca="1">IF($M70="","",_xlfn.LET(_xlpm.min,MIN(_xlfn.MAP(_xlfn.TEXTSPLIT($M70,","),_xlfn.LAMBDA(_xlpm.ref,IFERROR(INDEX(INDIRECT("'"&amp;_xlpm.ref&amp;"'!$AE$5:$OE$5"),MATCH(TRUE,INDEX(INDIRECT("'" &amp; _xlpm.ref &amp; "'!$AE$" &amp; (ROW(INDIRECT("'"&amp;_xlpm.ref&amp;"'!$B$14"))-1 + MATCH($A70, INDIRECT("'" &amp; _xlpm.ref &amp; "'!$B$14:$B$150"), 0)) &amp; ":$OE$" &amp; (ROW(INDIRECT("'"&amp;_xlpm.ref&amp;"'!$B$14"))-1 + MATCH($A70, INDIRECT("'" &amp; _xlpm.ref &amp; "'!$B$14:$B$150"), 0)))&lt;&gt;"",0),0)),"")))),IF(_xlpm.min=0,"",_xlpm.min)))</f>
        <v/>
      </c>
      <c r="S70" s="4" t="str" cm="1">
        <f t="array" aca="1" ref="S70" ca="1">IF($M70="","",SUM(_xlfn.MAP(_xlfn.TEXTSPLIT($M70,","),_xlfn.LAMBDA(_xlpm.ref,_xlfn.XLOOKUP($A70,INDIRECT("'"&amp;_xlpm.ref&amp;"'!$B$14:$B$150"),INDIRECT("'"&amp;_xlpm.ref&amp;"'!$E$14:$E$150"),0)))))</f>
        <v/>
      </c>
      <c r="T70" s="4" t="str" cm="1">
        <f t="array" aca="1" ref="T70" ca="1">IF($M70="","",SUM(_xlfn.MAP(_xlfn.TEXTSPLIT($M70,","),_xlfn.LAMBDA(_xlpm.ref,_xlfn.XLOOKUP($A70,INDIRECT("'"&amp;_xlpm.ref&amp;"'!$B$14:$B$150"),INDIRECT("'"&amp;_xlpm.ref&amp;"'!$F$14:$F$150"),0)))))</f>
        <v/>
      </c>
      <c r="U70" s="61" t="str" cm="1">
        <f t="array" aca="1" ref="U70" ca="1">IF($O70="Completed",MAX(IFERROR(_xlfn.MAP(_xlfn.TEXTSPLIT($M70, ","),_xlfn.LAMBDA(_xlpm.ref,INDEX(INDIRECT("'" &amp; _xlpm.ref &amp; "'!AE5:OE5"),1,LOOKUP(2,1 / (INDIRECT("'" &amp; _xlpm.ref &amp; "'!AE"&amp;(ROW(INDIRECT("'"&amp;_xlpm.ref&amp;"'!$B$14"))-1 + MATCH($A70, INDIRECT("'" &amp; _xlpm.ref &amp; "'!$B$14:$B$150"), 0)) &amp;":OE"&amp;(ROW(INDIRECT("'"&amp;_xlpm.ref&amp;"'!$B$14"))-1 + MATCH($A70, INDIRECT("'" &amp; _xlpm.ref &amp; "'!$B$14:$B$150"), 0)) ) &lt;&gt; ""),COLUMN($AD$14:$OD$14) - COLUMN($AD$14) + 1 )))),"")),"")</f>
        <v/>
      </c>
      <c r="V70" s="167" t="str">
        <f t="shared" ca="1" si="0"/>
        <v/>
      </c>
    </row>
    <row r="71" spans="1:22">
      <c r="A71" s="127"/>
      <c r="B71" s="127"/>
      <c r="C71" s="128"/>
      <c r="D71" s="128"/>
      <c r="E71" s="127"/>
      <c r="F71" s="127"/>
      <c r="G71" s="127"/>
      <c r="H71" s="127"/>
      <c r="I71" s="127"/>
      <c r="J71" s="127"/>
      <c r="K71" s="127"/>
      <c r="L71" s="127"/>
      <c r="M71" s="56" t="str" cm="1">
        <f t="array" aca="1" ref="M71" ca="1">IF($A71="","",_xlfn.TEXTJOIN(",",TRUE,_xlfn.MAP(_xlfn._xlws.FILTER(Team_Members,Team_Members&lt;&gt;""),_xlfn.LAMBDA(_xlpm.x,IFERROR(IF(_xlfn.XMATCH($A71,INDIRECT("'"&amp;_xlpm.x&amp;"'!$B$14:$B$150"))&gt;0,_xlpm.x),"")))))</f>
        <v/>
      </c>
      <c r="N71" s="127"/>
      <c r="O71" s="4" t="str" cm="1">
        <f t="array" aca="1" ref="O71" ca="1">IFERROR(_xlfn.LET(_xlpm.Lst,_xlfn.MAP(Team_Members,_xlfn.LAMBDA(_xlpm.x,IFERROR(_xlfn.XLOOKUP($A71,INDIRECT("'"&amp;_xlpm.x&amp;"'!$B$14:$B$150"),INDIRECT("'"&amp;_xlpm.x&amp;"'!$D$14:$D$150")),""))),_xlpm.F_Lst,_xlfn._xlws.FILTER(_xlpm.Lst,_xlpm.Lst&lt;&gt;""),IF(COUNTA(_xlfn.UNIQUE(_xlpm.F_Lst))=1,INDEX(_xlpm.F_Lst,1),"WIP")),"")</f>
        <v/>
      </c>
      <c r="P71" s="127"/>
      <c r="Q71" s="127"/>
      <c r="R71" s="58" t="str" cm="1">
        <f t="array" aca="1" ref="R71" ca="1">IF($M71="","",_xlfn.LET(_xlpm.min,MIN(_xlfn.MAP(_xlfn.TEXTSPLIT($M71,","),_xlfn.LAMBDA(_xlpm.ref,IFERROR(INDEX(INDIRECT("'"&amp;_xlpm.ref&amp;"'!$AE$5:$OE$5"),MATCH(TRUE,INDEX(INDIRECT("'" &amp; _xlpm.ref &amp; "'!$AE$" &amp; (ROW(INDIRECT("'"&amp;_xlpm.ref&amp;"'!$B$14"))-1 + MATCH($A71, INDIRECT("'" &amp; _xlpm.ref &amp; "'!$B$14:$B$150"), 0)) &amp; ":$OE$" &amp; (ROW(INDIRECT("'"&amp;_xlpm.ref&amp;"'!$B$14"))-1 + MATCH($A71, INDIRECT("'" &amp; _xlpm.ref &amp; "'!$B$14:$B$150"), 0)))&lt;&gt;"",0),0)),"")))),IF(_xlpm.min=0,"",_xlpm.min)))</f>
        <v/>
      </c>
      <c r="S71" s="4" t="str" cm="1">
        <f t="array" aca="1" ref="S71" ca="1">IF($M71="","",SUM(_xlfn.MAP(_xlfn.TEXTSPLIT($M71,","),_xlfn.LAMBDA(_xlpm.ref,_xlfn.XLOOKUP($A71,INDIRECT("'"&amp;_xlpm.ref&amp;"'!$B$14:$B$150"),INDIRECT("'"&amp;_xlpm.ref&amp;"'!$E$14:$E$150"),0)))))</f>
        <v/>
      </c>
      <c r="T71" s="4" t="str" cm="1">
        <f t="array" aca="1" ref="T71" ca="1">IF($M71="","",SUM(_xlfn.MAP(_xlfn.TEXTSPLIT($M71,","),_xlfn.LAMBDA(_xlpm.ref,_xlfn.XLOOKUP($A71,INDIRECT("'"&amp;_xlpm.ref&amp;"'!$B$14:$B$150"),INDIRECT("'"&amp;_xlpm.ref&amp;"'!$F$14:$F$150"),0)))))</f>
        <v/>
      </c>
      <c r="U71" s="61" t="str" cm="1">
        <f t="array" aca="1" ref="U71" ca="1">IF($O71="Completed",MAX(IFERROR(_xlfn.MAP(_xlfn.TEXTSPLIT($M71, ","),_xlfn.LAMBDA(_xlpm.ref,INDEX(INDIRECT("'" &amp; _xlpm.ref &amp; "'!AE5:OE5"),1,LOOKUP(2,1 / (INDIRECT("'" &amp; _xlpm.ref &amp; "'!AE"&amp;(ROW(INDIRECT("'"&amp;_xlpm.ref&amp;"'!$B$14"))-1 + MATCH($A71, INDIRECT("'" &amp; _xlpm.ref &amp; "'!$B$14:$B$150"), 0)) &amp;":OE"&amp;(ROW(INDIRECT("'"&amp;_xlpm.ref&amp;"'!$B$14"))-1 + MATCH($A71, INDIRECT("'" &amp; _xlpm.ref &amp; "'!$B$14:$B$150"), 0)) ) &lt;&gt; ""),COLUMN($AD$14:$OD$14) - COLUMN($AD$14) + 1 )))),"")),"")</f>
        <v/>
      </c>
      <c r="V71" s="167" t="str">
        <f t="shared" ca="1" si="0"/>
        <v/>
      </c>
    </row>
    <row r="72" spans="1:22">
      <c r="A72" s="127"/>
      <c r="B72" s="127"/>
      <c r="C72" s="128"/>
      <c r="D72" s="128"/>
      <c r="E72" s="127"/>
      <c r="F72" s="127"/>
      <c r="G72" s="127"/>
      <c r="H72" s="127"/>
      <c r="I72" s="127"/>
      <c r="J72" s="127"/>
      <c r="K72" s="127"/>
      <c r="L72" s="127"/>
      <c r="M72" s="56" t="str" cm="1">
        <f t="array" aca="1" ref="M72" ca="1">IF($A72="","",_xlfn.TEXTJOIN(",",TRUE,_xlfn.MAP(_xlfn._xlws.FILTER(Team_Members,Team_Members&lt;&gt;""),_xlfn.LAMBDA(_xlpm.x,IFERROR(IF(_xlfn.XMATCH($A72,INDIRECT("'"&amp;_xlpm.x&amp;"'!$B$14:$B$150"))&gt;0,_xlpm.x),"")))))</f>
        <v/>
      </c>
      <c r="N72" s="127"/>
      <c r="O72" s="4" t="str" cm="1">
        <f t="array" aca="1" ref="O72" ca="1">IFERROR(_xlfn.LET(_xlpm.Lst,_xlfn.MAP(Team_Members,_xlfn.LAMBDA(_xlpm.x,IFERROR(_xlfn.XLOOKUP($A72,INDIRECT("'"&amp;_xlpm.x&amp;"'!$B$14:$B$150"),INDIRECT("'"&amp;_xlpm.x&amp;"'!$D$14:$D$150")),""))),_xlpm.F_Lst,_xlfn._xlws.FILTER(_xlpm.Lst,_xlpm.Lst&lt;&gt;""),IF(COUNTA(_xlfn.UNIQUE(_xlpm.F_Lst))=1,INDEX(_xlpm.F_Lst,1),"WIP")),"")</f>
        <v/>
      </c>
      <c r="P72" s="127"/>
      <c r="Q72" s="127"/>
      <c r="R72" s="58" t="str" cm="1">
        <f t="array" aca="1" ref="R72" ca="1">IF($M72="","",_xlfn.LET(_xlpm.min,MIN(_xlfn.MAP(_xlfn.TEXTSPLIT($M72,","),_xlfn.LAMBDA(_xlpm.ref,IFERROR(INDEX(INDIRECT("'"&amp;_xlpm.ref&amp;"'!$AE$5:$OE$5"),MATCH(TRUE,INDEX(INDIRECT("'" &amp; _xlpm.ref &amp; "'!$AE$" &amp; (ROW(INDIRECT("'"&amp;_xlpm.ref&amp;"'!$B$14"))-1 + MATCH($A72, INDIRECT("'" &amp; _xlpm.ref &amp; "'!$B$14:$B$150"), 0)) &amp; ":$OE$" &amp; (ROW(INDIRECT("'"&amp;_xlpm.ref&amp;"'!$B$14"))-1 + MATCH($A72, INDIRECT("'" &amp; _xlpm.ref &amp; "'!$B$14:$B$150"), 0)))&lt;&gt;"",0),0)),"")))),IF(_xlpm.min=0,"",_xlpm.min)))</f>
        <v/>
      </c>
      <c r="S72" s="4" t="str" cm="1">
        <f t="array" aca="1" ref="S72" ca="1">IF($M72="","",SUM(_xlfn.MAP(_xlfn.TEXTSPLIT($M72,","),_xlfn.LAMBDA(_xlpm.ref,_xlfn.XLOOKUP($A72,INDIRECT("'"&amp;_xlpm.ref&amp;"'!$B$14:$B$150"),INDIRECT("'"&amp;_xlpm.ref&amp;"'!$E$14:$E$150"),0)))))</f>
        <v/>
      </c>
      <c r="T72" s="4" t="str" cm="1">
        <f t="array" aca="1" ref="T72" ca="1">IF($M72="","",SUM(_xlfn.MAP(_xlfn.TEXTSPLIT($M72,","),_xlfn.LAMBDA(_xlpm.ref,_xlfn.XLOOKUP($A72,INDIRECT("'"&amp;_xlpm.ref&amp;"'!$B$14:$B$150"),INDIRECT("'"&amp;_xlpm.ref&amp;"'!$F$14:$F$150"),0)))))</f>
        <v/>
      </c>
      <c r="U72" s="61" t="str" cm="1">
        <f t="array" aca="1" ref="U72" ca="1">IF($O72="Completed",MAX(IFERROR(_xlfn.MAP(_xlfn.TEXTSPLIT($M72, ","),_xlfn.LAMBDA(_xlpm.ref,INDEX(INDIRECT("'" &amp; _xlpm.ref &amp; "'!AE5:OE5"),1,LOOKUP(2,1 / (INDIRECT("'" &amp; _xlpm.ref &amp; "'!AE"&amp;(ROW(INDIRECT("'"&amp;_xlpm.ref&amp;"'!$B$14"))-1 + MATCH($A72, INDIRECT("'" &amp; _xlpm.ref &amp; "'!$B$14:$B$150"), 0)) &amp;":OE"&amp;(ROW(INDIRECT("'"&amp;_xlpm.ref&amp;"'!$B$14"))-1 + MATCH($A72, INDIRECT("'" &amp; _xlpm.ref &amp; "'!$B$14:$B$150"), 0)) ) &lt;&gt; ""),COLUMN($AD$14:$OD$14) - COLUMN($AD$14) + 1 )))),"")),"")</f>
        <v/>
      </c>
      <c r="V72" s="167" t="str">
        <f t="shared" ca="1" si="0"/>
        <v/>
      </c>
    </row>
    <row r="73" spans="1:22">
      <c r="A73" s="127"/>
      <c r="B73" s="127"/>
      <c r="C73" s="128"/>
      <c r="D73" s="128"/>
      <c r="E73" s="127"/>
      <c r="F73" s="127"/>
      <c r="G73" s="127"/>
      <c r="H73" s="127"/>
      <c r="I73" s="127"/>
      <c r="J73" s="127"/>
      <c r="K73" s="127"/>
      <c r="L73" s="127"/>
      <c r="M73" s="56" t="str" cm="1">
        <f t="array" aca="1" ref="M73" ca="1">IF($A73="","",_xlfn.TEXTJOIN(",",TRUE,_xlfn.MAP(_xlfn._xlws.FILTER(Team_Members,Team_Members&lt;&gt;""),_xlfn.LAMBDA(_xlpm.x,IFERROR(IF(_xlfn.XMATCH($A73,INDIRECT("'"&amp;_xlpm.x&amp;"'!$B$14:$B$150"))&gt;0,_xlpm.x),"")))))</f>
        <v/>
      </c>
      <c r="N73" s="127"/>
      <c r="O73" s="4" t="str" cm="1">
        <f t="array" aca="1" ref="O73" ca="1">IFERROR(_xlfn.LET(_xlpm.Lst,_xlfn.MAP(Team_Members,_xlfn.LAMBDA(_xlpm.x,IFERROR(_xlfn.XLOOKUP($A73,INDIRECT("'"&amp;_xlpm.x&amp;"'!$B$14:$B$150"),INDIRECT("'"&amp;_xlpm.x&amp;"'!$D$14:$D$150")),""))),_xlpm.F_Lst,_xlfn._xlws.FILTER(_xlpm.Lst,_xlpm.Lst&lt;&gt;""),IF(COUNTA(_xlfn.UNIQUE(_xlpm.F_Lst))=1,INDEX(_xlpm.F_Lst,1),"WIP")),"")</f>
        <v/>
      </c>
      <c r="P73" s="127"/>
      <c r="Q73" s="127"/>
      <c r="R73" s="58" t="str" cm="1">
        <f t="array" aca="1" ref="R73" ca="1">IF($M73="","",_xlfn.LET(_xlpm.min,MIN(_xlfn.MAP(_xlfn.TEXTSPLIT($M73,","),_xlfn.LAMBDA(_xlpm.ref,IFERROR(INDEX(INDIRECT("'"&amp;_xlpm.ref&amp;"'!$AE$5:$OE$5"),MATCH(TRUE,INDEX(INDIRECT("'" &amp; _xlpm.ref &amp; "'!$AE$" &amp; (ROW(INDIRECT("'"&amp;_xlpm.ref&amp;"'!$B$14"))-1 + MATCH($A73, INDIRECT("'" &amp; _xlpm.ref &amp; "'!$B$14:$B$150"), 0)) &amp; ":$OE$" &amp; (ROW(INDIRECT("'"&amp;_xlpm.ref&amp;"'!$B$14"))-1 + MATCH($A73, INDIRECT("'" &amp; _xlpm.ref &amp; "'!$B$14:$B$150"), 0)))&lt;&gt;"",0),0)),"")))),IF(_xlpm.min=0,"",_xlpm.min)))</f>
        <v/>
      </c>
      <c r="S73" s="4" t="str" cm="1">
        <f t="array" aca="1" ref="S73" ca="1">IF($M73="","",SUM(_xlfn.MAP(_xlfn.TEXTSPLIT($M73,","),_xlfn.LAMBDA(_xlpm.ref,_xlfn.XLOOKUP($A73,INDIRECT("'"&amp;_xlpm.ref&amp;"'!$B$14:$B$150"),INDIRECT("'"&amp;_xlpm.ref&amp;"'!$E$14:$E$150"),0)))))</f>
        <v/>
      </c>
      <c r="T73" s="4" t="str" cm="1">
        <f t="array" aca="1" ref="T73" ca="1">IF($M73="","",SUM(_xlfn.MAP(_xlfn.TEXTSPLIT($M73,","),_xlfn.LAMBDA(_xlpm.ref,_xlfn.XLOOKUP($A73,INDIRECT("'"&amp;_xlpm.ref&amp;"'!$B$14:$B$150"),INDIRECT("'"&amp;_xlpm.ref&amp;"'!$F$14:$F$150"),0)))))</f>
        <v/>
      </c>
      <c r="U73" s="61" t="str" cm="1">
        <f t="array" aca="1" ref="U73" ca="1">IF($O73="Completed",MAX(IFERROR(_xlfn.MAP(_xlfn.TEXTSPLIT($M73, ","),_xlfn.LAMBDA(_xlpm.ref,INDEX(INDIRECT("'" &amp; _xlpm.ref &amp; "'!AE5:OE5"),1,LOOKUP(2,1 / (INDIRECT("'" &amp; _xlpm.ref &amp; "'!AE"&amp;(ROW(INDIRECT("'"&amp;_xlpm.ref&amp;"'!$B$14"))-1 + MATCH($A73, INDIRECT("'" &amp; _xlpm.ref &amp; "'!$B$14:$B$150"), 0)) &amp;":OE"&amp;(ROW(INDIRECT("'"&amp;_xlpm.ref&amp;"'!$B$14"))-1 + MATCH($A73, INDIRECT("'" &amp; _xlpm.ref &amp; "'!$B$14:$B$150"), 0)) ) &lt;&gt; ""),COLUMN($AD$14:$OD$14) - COLUMN($AD$14) + 1 )))),"")),"")</f>
        <v/>
      </c>
      <c r="V73" s="167" t="str">
        <f t="shared" ca="1" si="0"/>
        <v/>
      </c>
    </row>
    <row r="74" spans="1:22">
      <c r="A74" s="127"/>
      <c r="B74" s="127"/>
      <c r="C74" s="128"/>
      <c r="D74" s="128"/>
      <c r="E74" s="127"/>
      <c r="F74" s="127"/>
      <c r="G74" s="127"/>
      <c r="H74" s="127"/>
      <c r="I74" s="127"/>
      <c r="J74" s="127"/>
      <c r="K74" s="127"/>
      <c r="L74" s="127"/>
      <c r="M74" s="56" t="str" cm="1">
        <f t="array" aca="1" ref="M74" ca="1">IF($A74="","",_xlfn.TEXTJOIN(",",TRUE,_xlfn.MAP(_xlfn._xlws.FILTER(Team_Members,Team_Members&lt;&gt;""),_xlfn.LAMBDA(_xlpm.x,IFERROR(IF(_xlfn.XMATCH($A74,INDIRECT("'"&amp;_xlpm.x&amp;"'!$B$14:$B$150"))&gt;0,_xlpm.x),"")))))</f>
        <v/>
      </c>
      <c r="N74" s="127"/>
      <c r="O74" s="4" t="str" cm="1">
        <f t="array" aca="1" ref="O74" ca="1">IFERROR(_xlfn.LET(_xlpm.Lst,_xlfn.MAP(Team_Members,_xlfn.LAMBDA(_xlpm.x,IFERROR(_xlfn.XLOOKUP($A74,INDIRECT("'"&amp;_xlpm.x&amp;"'!$B$14:$B$150"),INDIRECT("'"&amp;_xlpm.x&amp;"'!$D$14:$D$150")),""))),_xlpm.F_Lst,_xlfn._xlws.FILTER(_xlpm.Lst,_xlpm.Lst&lt;&gt;""),IF(COUNTA(_xlfn.UNIQUE(_xlpm.F_Lst))=1,INDEX(_xlpm.F_Lst,1),"WIP")),"")</f>
        <v/>
      </c>
      <c r="P74" s="127"/>
      <c r="Q74" s="127"/>
      <c r="R74" s="58" t="str" cm="1">
        <f t="array" aca="1" ref="R74" ca="1">IF($M74="","",_xlfn.LET(_xlpm.min,MIN(_xlfn.MAP(_xlfn.TEXTSPLIT($M74,","),_xlfn.LAMBDA(_xlpm.ref,IFERROR(INDEX(INDIRECT("'"&amp;_xlpm.ref&amp;"'!$AE$5:$OE$5"),MATCH(TRUE,INDEX(INDIRECT("'" &amp; _xlpm.ref &amp; "'!$AE$" &amp; (ROW(INDIRECT("'"&amp;_xlpm.ref&amp;"'!$B$14"))-1 + MATCH($A74, INDIRECT("'" &amp; _xlpm.ref &amp; "'!$B$14:$B$150"), 0)) &amp; ":$OE$" &amp; (ROW(INDIRECT("'"&amp;_xlpm.ref&amp;"'!$B$14"))-1 + MATCH($A74, INDIRECT("'" &amp; _xlpm.ref &amp; "'!$B$14:$B$150"), 0)))&lt;&gt;"",0),0)),"")))),IF(_xlpm.min=0,"",_xlpm.min)))</f>
        <v/>
      </c>
      <c r="S74" s="4" t="str" cm="1">
        <f t="array" aca="1" ref="S74" ca="1">IF($M74="","",SUM(_xlfn.MAP(_xlfn.TEXTSPLIT($M74,","),_xlfn.LAMBDA(_xlpm.ref,_xlfn.XLOOKUP($A74,INDIRECT("'"&amp;_xlpm.ref&amp;"'!$B$14:$B$150"),INDIRECT("'"&amp;_xlpm.ref&amp;"'!$E$14:$E$150"),0)))))</f>
        <v/>
      </c>
      <c r="T74" s="4" t="str" cm="1">
        <f t="array" aca="1" ref="T74" ca="1">IF($M74="","",SUM(_xlfn.MAP(_xlfn.TEXTSPLIT($M74,","),_xlfn.LAMBDA(_xlpm.ref,_xlfn.XLOOKUP($A74,INDIRECT("'"&amp;_xlpm.ref&amp;"'!$B$14:$B$150"),INDIRECT("'"&amp;_xlpm.ref&amp;"'!$F$14:$F$150"),0)))))</f>
        <v/>
      </c>
      <c r="U74" s="61" t="str" cm="1">
        <f t="array" aca="1" ref="U74" ca="1">IF($O74="Completed",MAX(IFERROR(_xlfn.MAP(_xlfn.TEXTSPLIT($M74, ","),_xlfn.LAMBDA(_xlpm.ref,INDEX(INDIRECT("'" &amp; _xlpm.ref &amp; "'!AE5:OE5"),1,LOOKUP(2,1 / (INDIRECT("'" &amp; _xlpm.ref &amp; "'!AE"&amp;(ROW(INDIRECT("'"&amp;_xlpm.ref&amp;"'!$B$14"))-1 + MATCH($A74, INDIRECT("'" &amp; _xlpm.ref &amp; "'!$B$14:$B$150"), 0)) &amp;":OE"&amp;(ROW(INDIRECT("'"&amp;_xlpm.ref&amp;"'!$B$14"))-1 + MATCH($A74, INDIRECT("'" &amp; _xlpm.ref &amp; "'!$B$14:$B$150"), 0)) ) &lt;&gt; ""),COLUMN($AD$14:$OD$14) - COLUMN($AD$14) + 1 )))),"")),"")</f>
        <v/>
      </c>
      <c r="V74" s="167" t="str">
        <f t="shared" ca="1" si="0"/>
        <v/>
      </c>
    </row>
    <row r="75" spans="1:22">
      <c r="A75" s="127"/>
      <c r="B75" s="127"/>
      <c r="C75" s="128"/>
      <c r="D75" s="128"/>
      <c r="E75" s="127"/>
      <c r="F75" s="127"/>
      <c r="G75" s="127"/>
      <c r="H75" s="127"/>
      <c r="I75" s="127"/>
      <c r="J75" s="127"/>
      <c r="K75" s="127"/>
      <c r="L75" s="127"/>
      <c r="M75" s="56" t="str" cm="1">
        <f t="array" aca="1" ref="M75" ca="1">IF($A75="","",_xlfn.TEXTJOIN(",",TRUE,_xlfn.MAP(_xlfn._xlws.FILTER(Team_Members,Team_Members&lt;&gt;""),_xlfn.LAMBDA(_xlpm.x,IFERROR(IF(_xlfn.XMATCH($A75,INDIRECT("'"&amp;_xlpm.x&amp;"'!$B$14:$B$150"))&gt;0,_xlpm.x),"")))))</f>
        <v/>
      </c>
      <c r="N75" s="127"/>
      <c r="O75" s="4" t="str" cm="1">
        <f t="array" aca="1" ref="O75" ca="1">IFERROR(_xlfn.LET(_xlpm.Lst,_xlfn.MAP(Team_Members,_xlfn.LAMBDA(_xlpm.x,IFERROR(_xlfn.XLOOKUP($A75,INDIRECT("'"&amp;_xlpm.x&amp;"'!$B$14:$B$150"),INDIRECT("'"&amp;_xlpm.x&amp;"'!$D$14:$D$150")),""))),_xlpm.F_Lst,_xlfn._xlws.FILTER(_xlpm.Lst,_xlpm.Lst&lt;&gt;""),IF(COUNTA(_xlfn.UNIQUE(_xlpm.F_Lst))=1,INDEX(_xlpm.F_Lst,1),"WIP")),"")</f>
        <v/>
      </c>
      <c r="P75" s="127"/>
      <c r="Q75" s="127"/>
      <c r="R75" s="58" t="str" cm="1">
        <f t="array" aca="1" ref="R75" ca="1">IF($M75="","",_xlfn.LET(_xlpm.min,MIN(_xlfn.MAP(_xlfn.TEXTSPLIT($M75,","),_xlfn.LAMBDA(_xlpm.ref,IFERROR(INDEX(INDIRECT("'"&amp;_xlpm.ref&amp;"'!$AE$5:$OE$5"),MATCH(TRUE,INDEX(INDIRECT("'" &amp; _xlpm.ref &amp; "'!$AE$" &amp; (ROW(INDIRECT("'"&amp;_xlpm.ref&amp;"'!$B$14"))-1 + MATCH($A75, INDIRECT("'" &amp; _xlpm.ref &amp; "'!$B$14:$B$150"), 0)) &amp; ":$OE$" &amp; (ROW(INDIRECT("'"&amp;_xlpm.ref&amp;"'!$B$14"))-1 + MATCH($A75, INDIRECT("'" &amp; _xlpm.ref &amp; "'!$B$14:$B$150"), 0)))&lt;&gt;"",0),0)),"")))),IF(_xlpm.min=0,"",_xlpm.min)))</f>
        <v/>
      </c>
      <c r="S75" s="4" t="str" cm="1">
        <f t="array" aca="1" ref="S75" ca="1">IF($M75="","",SUM(_xlfn.MAP(_xlfn.TEXTSPLIT($M75,","),_xlfn.LAMBDA(_xlpm.ref,_xlfn.XLOOKUP($A75,INDIRECT("'"&amp;_xlpm.ref&amp;"'!$B$14:$B$150"),INDIRECT("'"&amp;_xlpm.ref&amp;"'!$E$14:$E$150"),0)))))</f>
        <v/>
      </c>
      <c r="T75" s="4" t="str" cm="1">
        <f t="array" aca="1" ref="T75" ca="1">IF($M75="","",SUM(_xlfn.MAP(_xlfn.TEXTSPLIT($M75,","),_xlfn.LAMBDA(_xlpm.ref,_xlfn.XLOOKUP($A75,INDIRECT("'"&amp;_xlpm.ref&amp;"'!$B$14:$B$150"),INDIRECT("'"&amp;_xlpm.ref&amp;"'!$F$14:$F$150"),0)))))</f>
        <v/>
      </c>
      <c r="U75" s="61" t="str" cm="1">
        <f t="array" aca="1" ref="U75" ca="1">IF($O75="Completed",MAX(IFERROR(_xlfn.MAP(_xlfn.TEXTSPLIT($M75, ","),_xlfn.LAMBDA(_xlpm.ref,INDEX(INDIRECT("'" &amp; _xlpm.ref &amp; "'!AE5:OE5"),1,LOOKUP(2,1 / (INDIRECT("'" &amp; _xlpm.ref &amp; "'!AE"&amp;(ROW(INDIRECT("'"&amp;_xlpm.ref&amp;"'!$B$14"))-1 + MATCH($A75, INDIRECT("'" &amp; _xlpm.ref &amp; "'!$B$14:$B$150"), 0)) &amp;":OE"&amp;(ROW(INDIRECT("'"&amp;_xlpm.ref&amp;"'!$B$14"))-1 + MATCH($A75, INDIRECT("'" &amp; _xlpm.ref &amp; "'!$B$14:$B$150"), 0)) ) &lt;&gt; ""),COLUMN($AD$14:$OD$14) - COLUMN($AD$14) + 1 )))),"")),"")</f>
        <v/>
      </c>
      <c r="V75" s="167" t="str">
        <f t="shared" ca="1" si="0"/>
        <v/>
      </c>
    </row>
    <row r="76" spans="1:22">
      <c r="A76" s="127"/>
      <c r="B76" s="127"/>
      <c r="C76" s="128"/>
      <c r="D76" s="128"/>
      <c r="E76" s="127"/>
      <c r="F76" s="127"/>
      <c r="G76" s="127"/>
      <c r="H76" s="127"/>
      <c r="I76" s="127"/>
      <c r="J76" s="127"/>
      <c r="K76" s="127"/>
      <c r="L76" s="127"/>
      <c r="M76" s="56" t="str" cm="1">
        <f t="array" aca="1" ref="M76" ca="1">IF($A76="","",_xlfn.TEXTJOIN(",",TRUE,_xlfn.MAP(_xlfn._xlws.FILTER(Team_Members,Team_Members&lt;&gt;""),_xlfn.LAMBDA(_xlpm.x,IFERROR(IF(_xlfn.XMATCH($A76,INDIRECT("'"&amp;_xlpm.x&amp;"'!$B$14:$B$150"))&gt;0,_xlpm.x),"")))))</f>
        <v/>
      </c>
      <c r="N76" s="127"/>
      <c r="O76" s="4" t="str" cm="1">
        <f t="array" aca="1" ref="O76" ca="1">IFERROR(_xlfn.LET(_xlpm.Lst,_xlfn.MAP(Team_Members,_xlfn.LAMBDA(_xlpm.x,IFERROR(_xlfn.XLOOKUP($A76,INDIRECT("'"&amp;_xlpm.x&amp;"'!$B$14:$B$150"),INDIRECT("'"&amp;_xlpm.x&amp;"'!$D$14:$D$150")),""))),_xlpm.F_Lst,_xlfn._xlws.FILTER(_xlpm.Lst,_xlpm.Lst&lt;&gt;""),IF(COUNTA(_xlfn.UNIQUE(_xlpm.F_Lst))=1,INDEX(_xlpm.F_Lst,1),"WIP")),"")</f>
        <v/>
      </c>
      <c r="P76" s="127"/>
      <c r="Q76" s="127"/>
      <c r="R76" s="58" t="str" cm="1">
        <f t="array" aca="1" ref="R76" ca="1">IF($M76="","",_xlfn.LET(_xlpm.min,MIN(_xlfn.MAP(_xlfn.TEXTSPLIT($M76,","),_xlfn.LAMBDA(_xlpm.ref,IFERROR(INDEX(INDIRECT("'"&amp;_xlpm.ref&amp;"'!$AE$5:$OE$5"),MATCH(TRUE,INDEX(INDIRECT("'" &amp; _xlpm.ref &amp; "'!$AE$" &amp; (ROW(INDIRECT("'"&amp;_xlpm.ref&amp;"'!$B$14"))-1 + MATCH($A76, INDIRECT("'" &amp; _xlpm.ref &amp; "'!$B$14:$B$150"), 0)) &amp; ":$OE$" &amp; (ROW(INDIRECT("'"&amp;_xlpm.ref&amp;"'!$B$14"))-1 + MATCH($A76, INDIRECT("'" &amp; _xlpm.ref &amp; "'!$B$14:$B$150"), 0)))&lt;&gt;"",0),0)),"")))),IF(_xlpm.min=0,"",_xlpm.min)))</f>
        <v/>
      </c>
      <c r="S76" s="4" t="str" cm="1">
        <f t="array" aca="1" ref="S76" ca="1">IF($M76="","",SUM(_xlfn.MAP(_xlfn.TEXTSPLIT($M76,","),_xlfn.LAMBDA(_xlpm.ref,_xlfn.XLOOKUP($A76,INDIRECT("'"&amp;_xlpm.ref&amp;"'!$B$14:$B$150"),INDIRECT("'"&amp;_xlpm.ref&amp;"'!$E$14:$E$150"),0)))))</f>
        <v/>
      </c>
      <c r="T76" s="4" t="str" cm="1">
        <f t="array" aca="1" ref="T76" ca="1">IF($M76="","",SUM(_xlfn.MAP(_xlfn.TEXTSPLIT($M76,","),_xlfn.LAMBDA(_xlpm.ref,_xlfn.XLOOKUP($A76,INDIRECT("'"&amp;_xlpm.ref&amp;"'!$B$14:$B$150"),INDIRECT("'"&amp;_xlpm.ref&amp;"'!$F$14:$F$150"),0)))))</f>
        <v/>
      </c>
      <c r="U76" s="61" t="str" cm="1">
        <f t="array" aca="1" ref="U76" ca="1">IF($O76="Completed",MAX(IFERROR(_xlfn.MAP(_xlfn.TEXTSPLIT($M76, ","),_xlfn.LAMBDA(_xlpm.ref,INDEX(INDIRECT("'" &amp; _xlpm.ref &amp; "'!AE5:OE5"),1,LOOKUP(2,1 / (INDIRECT("'" &amp; _xlpm.ref &amp; "'!AE"&amp;(ROW(INDIRECT("'"&amp;_xlpm.ref&amp;"'!$B$14"))-1 + MATCH($A76, INDIRECT("'" &amp; _xlpm.ref &amp; "'!$B$14:$B$150"), 0)) &amp;":OE"&amp;(ROW(INDIRECT("'"&amp;_xlpm.ref&amp;"'!$B$14"))-1 + MATCH($A76, INDIRECT("'" &amp; _xlpm.ref &amp; "'!$B$14:$B$150"), 0)) ) &lt;&gt; ""),COLUMN($AD$14:$OD$14) - COLUMN($AD$14) + 1 )))),"")),"")</f>
        <v/>
      </c>
      <c r="V76" s="167" t="str">
        <f t="shared" ca="1" si="0"/>
        <v/>
      </c>
    </row>
    <row r="77" spans="1:22">
      <c r="A77" s="127"/>
      <c r="B77" s="127"/>
      <c r="C77" s="128"/>
      <c r="D77" s="128"/>
      <c r="E77" s="127"/>
      <c r="F77" s="127"/>
      <c r="G77" s="127"/>
      <c r="H77" s="127"/>
      <c r="I77" s="127"/>
      <c r="J77" s="127"/>
      <c r="K77" s="127"/>
      <c r="L77" s="127"/>
      <c r="M77" s="56" t="str" cm="1">
        <f t="array" aca="1" ref="M77" ca="1">IF($A77="","",_xlfn.TEXTJOIN(",",TRUE,_xlfn.MAP(_xlfn._xlws.FILTER(Team_Members,Team_Members&lt;&gt;""),_xlfn.LAMBDA(_xlpm.x,IFERROR(IF(_xlfn.XMATCH($A77,INDIRECT("'"&amp;_xlpm.x&amp;"'!$B$14:$B$150"))&gt;0,_xlpm.x),"")))))</f>
        <v/>
      </c>
      <c r="N77" s="127"/>
      <c r="O77" s="4" t="str" cm="1">
        <f t="array" aca="1" ref="O77" ca="1">IFERROR(_xlfn.LET(_xlpm.Lst,_xlfn.MAP(Team_Members,_xlfn.LAMBDA(_xlpm.x,IFERROR(_xlfn.XLOOKUP($A77,INDIRECT("'"&amp;_xlpm.x&amp;"'!$B$14:$B$150"),INDIRECT("'"&amp;_xlpm.x&amp;"'!$D$14:$D$150")),""))),_xlpm.F_Lst,_xlfn._xlws.FILTER(_xlpm.Lst,_xlpm.Lst&lt;&gt;""),IF(COUNTA(_xlfn.UNIQUE(_xlpm.F_Lst))=1,INDEX(_xlpm.F_Lst,1),"WIP")),"")</f>
        <v/>
      </c>
      <c r="P77" s="127"/>
      <c r="Q77" s="127"/>
      <c r="R77" s="58" t="str" cm="1">
        <f t="array" aca="1" ref="R77" ca="1">IF($M77="","",_xlfn.LET(_xlpm.min,MIN(_xlfn.MAP(_xlfn.TEXTSPLIT($M77,","),_xlfn.LAMBDA(_xlpm.ref,IFERROR(INDEX(INDIRECT("'"&amp;_xlpm.ref&amp;"'!$AE$5:$OE$5"),MATCH(TRUE,INDEX(INDIRECT("'" &amp; _xlpm.ref &amp; "'!$AE$" &amp; (ROW(INDIRECT("'"&amp;_xlpm.ref&amp;"'!$B$14"))-1 + MATCH($A77, INDIRECT("'" &amp; _xlpm.ref &amp; "'!$B$14:$B$150"), 0)) &amp; ":$OE$" &amp; (ROW(INDIRECT("'"&amp;_xlpm.ref&amp;"'!$B$14"))-1 + MATCH($A77, INDIRECT("'" &amp; _xlpm.ref &amp; "'!$B$14:$B$150"), 0)))&lt;&gt;"",0),0)),"")))),IF(_xlpm.min=0,"",_xlpm.min)))</f>
        <v/>
      </c>
      <c r="S77" s="4" t="str" cm="1">
        <f t="array" aca="1" ref="S77" ca="1">IF($M77="","",SUM(_xlfn.MAP(_xlfn.TEXTSPLIT($M77,","),_xlfn.LAMBDA(_xlpm.ref,_xlfn.XLOOKUP($A77,INDIRECT("'"&amp;_xlpm.ref&amp;"'!$B$14:$B$150"),INDIRECT("'"&amp;_xlpm.ref&amp;"'!$E$14:$E$150"),0)))))</f>
        <v/>
      </c>
      <c r="T77" s="4" t="str" cm="1">
        <f t="array" aca="1" ref="T77" ca="1">IF($M77="","",SUM(_xlfn.MAP(_xlfn.TEXTSPLIT($M77,","),_xlfn.LAMBDA(_xlpm.ref,_xlfn.XLOOKUP($A77,INDIRECT("'"&amp;_xlpm.ref&amp;"'!$B$14:$B$150"),INDIRECT("'"&amp;_xlpm.ref&amp;"'!$F$14:$F$150"),0)))))</f>
        <v/>
      </c>
      <c r="U77" s="61" t="str" cm="1">
        <f t="array" aca="1" ref="U77" ca="1">IF($O77="Completed",MAX(IFERROR(_xlfn.MAP(_xlfn.TEXTSPLIT($M77, ","),_xlfn.LAMBDA(_xlpm.ref,INDEX(INDIRECT("'" &amp; _xlpm.ref &amp; "'!AE5:OE5"),1,LOOKUP(2,1 / (INDIRECT("'" &amp; _xlpm.ref &amp; "'!AE"&amp;(ROW(INDIRECT("'"&amp;_xlpm.ref&amp;"'!$B$14"))-1 + MATCH($A77, INDIRECT("'" &amp; _xlpm.ref &amp; "'!$B$14:$B$150"), 0)) &amp;":OE"&amp;(ROW(INDIRECT("'"&amp;_xlpm.ref&amp;"'!$B$14"))-1 + MATCH($A77, INDIRECT("'" &amp; _xlpm.ref &amp; "'!$B$14:$B$150"), 0)) ) &lt;&gt; ""),COLUMN($AD$14:$OD$14) - COLUMN($AD$14) + 1 )))),"")),"")</f>
        <v/>
      </c>
      <c r="V77" s="167" t="str">
        <f t="shared" ca="1" si="0"/>
        <v/>
      </c>
    </row>
    <row r="78" spans="1:22">
      <c r="A78" s="127"/>
      <c r="B78" s="127"/>
      <c r="C78" s="128"/>
      <c r="D78" s="128"/>
      <c r="E78" s="127"/>
      <c r="F78" s="127"/>
      <c r="G78" s="127"/>
      <c r="H78" s="127"/>
      <c r="I78" s="127"/>
      <c r="J78" s="127"/>
      <c r="K78" s="127"/>
      <c r="L78" s="127"/>
      <c r="M78" s="56" t="str" cm="1">
        <f t="array" aca="1" ref="M78" ca="1">IF($A78="","",_xlfn.TEXTJOIN(",",TRUE,_xlfn.MAP(_xlfn._xlws.FILTER(Team_Members,Team_Members&lt;&gt;""),_xlfn.LAMBDA(_xlpm.x,IFERROR(IF(_xlfn.XMATCH($A78,INDIRECT("'"&amp;_xlpm.x&amp;"'!$B$14:$B$150"))&gt;0,_xlpm.x),"")))))</f>
        <v/>
      </c>
      <c r="N78" s="127"/>
      <c r="O78" s="4" t="str" cm="1">
        <f t="array" aca="1" ref="O78" ca="1">IFERROR(_xlfn.LET(_xlpm.Lst,_xlfn.MAP(Team_Members,_xlfn.LAMBDA(_xlpm.x,IFERROR(_xlfn.XLOOKUP($A78,INDIRECT("'"&amp;_xlpm.x&amp;"'!$B$14:$B$150"),INDIRECT("'"&amp;_xlpm.x&amp;"'!$D$14:$D$150")),""))),_xlpm.F_Lst,_xlfn._xlws.FILTER(_xlpm.Lst,_xlpm.Lst&lt;&gt;""),IF(COUNTA(_xlfn.UNIQUE(_xlpm.F_Lst))=1,INDEX(_xlpm.F_Lst,1),"WIP")),"")</f>
        <v/>
      </c>
      <c r="P78" s="127"/>
      <c r="Q78" s="127"/>
      <c r="R78" s="58" t="str" cm="1">
        <f t="array" aca="1" ref="R78" ca="1">IF($M78="","",_xlfn.LET(_xlpm.min,MIN(_xlfn.MAP(_xlfn.TEXTSPLIT($M78,","),_xlfn.LAMBDA(_xlpm.ref,IFERROR(INDEX(INDIRECT("'"&amp;_xlpm.ref&amp;"'!$AE$5:$OE$5"),MATCH(TRUE,INDEX(INDIRECT("'" &amp; _xlpm.ref &amp; "'!$AE$" &amp; (ROW(INDIRECT("'"&amp;_xlpm.ref&amp;"'!$B$14"))-1 + MATCH($A78, INDIRECT("'" &amp; _xlpm.ref &amp; "'!$B$14:$B$150"), 0)) &amp; ":$OE$" &amp; (ROW(INDIRECT("'"&amp;_xlpm.ref&amp;"'!$B$14"))-1 + MATCH($A78, INDIRECT("'" &amp; _xlpm.ref &amp; "'!$B$14:$B$150"), 0)))&lt;&gt;"",0),0)),"")))),IF(_xlpm.min=0,"",_xlpm.min)))</f>
        <v/>
      </c>
      <c r="S78" s="4" t="str" cm="1">
        <f t="array" aca="1" ref="S78" ca="1">IF($M78="","",SUM(_xlfn.MAP(_xlfn.TEXTSPLIT($M78,","),_xlfn.LAMBDA(_xlpm.ref,_xlfn.XLOOKUP($A78,INDIRECT("'"&amp;_xlpm.ref&amp;"'!$B$14:$B$150"),INDIRECT("'"&amp;_xlpm.ref&amp;"'!$E$14:$E$150"),0)))))</f>
        <v/>
      </c>
      <c r="T78" s="4" t="str" cm="1">
        <f t="array" aca="1" ref="T78" ca="1">IF($M78="","",SUM(_xlfn.MAP(_xlfn.TEXTSPLIT($M78,","),_xlfn.LAMBDA(_xlpm.ref,_xlfn.XLOOKUP($A78,INDIRECT("'"&amp;_xlpm.ref&amp;"'!$B$14:$B$150"),INDIRECT("'"&amp;_xlpm.ref&amp;"'!$F$14:$F$150"),0)))))</f>
        <v/>
      </c>
      <c r="U78" s="61" t="str" cm="1">
        <f t="array" aca="1" ref="U78" ca="1">IF($O78="Completed",MAX(IFERROR(_xlfn.MAP(_xlfn.TEXTSPLIT($M78, ","),_xlfn.LAMBDA(_xlpm.ref,INDEX(INDIRECT("'" &amp; _xlpm.ref &amp; "'!AE5:OE5"),1,LOOKUP(2,1 / (INDIRECT("'" &amp; _xlpm.ref &amp; "'!AE"&amp;(ROW(INDIRECT("'"&amp;_xlpm.ref&amp;"'!$B$14"))-1 + MATCH($A78, INDIRECT("'" &amp; _xlpm.ref &amp; "'!$B$14:$B$150"), 0)) &amp;":OE"&amp;(ROW(INDIRECT("'"&amp;_xlpm.ref&amp;"'!$B$14"))-1 + MATCH($A78, INDIRECT("'" &amp; _xlpm.ref &amp; "'!$B$14:$B$150"), 0)) ) &lt;&gt; ""),COLUMN($AD$14:$OD$14) - COLUMN($AD$14) + 1 )))),"")),"")</f>
        <v/>
      </c>
      <c r="V78" s="167" t="str">
        <f t="shared" ca="1" si="0"/>
        <v/>
      </c>
    </row>
    <row r="79" spans="1:22">
      <c r="A79" s="127"/>
      <c r="B79" s="127"/>
      <c r="C79" s="128"/>
      <c r="D79" s="128"/>
      <c r="E79" s="127"/>
      <c r="F79" s="127"/>
      <c r="G79" s="127"/>
      <c r="H79" s="127"/>
      <c r="I79" s="127"/>
      <c r="J79" s="127"/>
      <c r="K79" s="127"/>
      <c r="L79" s="127"/>
      <c r="M79" s="56" t="str" cm="1">
        <f t="array" aca="1" ref="M79" ca="1">IF($A79="","",_xlfn.TEXTJOIN(",",TRUE,_xlfn.MAP(_xlfn._xlws.FILTER(Team_Members,Team_Members&lt;&gt;""),_xlfn.LAMBDA(_xlpm.x,IFERROR(IF(_xlfn.XMATCH($A79,INDIRECT("'"&amp;_xlpm.x&amp;"'!$B$14:$B$150"))&gt;0,_xlpm.x),"")))))</f>
        <v/>
      </c>
      <c r="N79" s="127"/>
      <c r="O79" s="4" t="str" cm="1">
        <f t="array" aca="1" ref="O79" ca="1">IFERROR(_xlfn.LET(_xlpm.Lst,_xlfn.MAP(Team_Members,_xlfn.LAMBDA(_xlpm.x,IFERROR(_xlfn.XLOOKUP($A79,INDIRECT("'"&amp;_xlpm.x&amp;"'!$B$14:$B$150"),INDIRECT("'"&amp;_xlpm.x&amp;"'!$D$14:$D$150")),""))),_xlpm.F_Lst,_xlfn._xlws.FILTER(_xlpm.Lst,_xlpm.Lst&lt;&gt;""),IF(COUNTA(_xlfn.UNIQUE(_xlpm.F_Lst))=1,INDEX(_xlpm.F_Lst,1),"WIP")),"")</f>
        <v/>
      </c>
      <c r="P79" s="127"/>
      <c r="Q79" s="127"/>
      <c r="R79" s="58" t="str" cm="1">
        <f t="array" aca="1" ref="R79" ca="1">IF($M79="","",_xlfn.LET(_xlpm.min,MIN(_xlfn.MAP(_xlfn.TEXTSPLIT($M79,","),_xlfn.LAMBDA(_xlpm.ref,IFERROR(INDEX(INDIRECT("'"&amp;_xlpm.ref&amp;"'!$AE$5:$OE$5"),MATCH(TRUE,INDEX(INDIRECT("'" &amp; _xlpm.ref &amp; "'!$AE$" &amp; (ROW(INDIRECT("'"&amp;_xlpm.ref&amp;"'!$B$14"))-1 + MATCH($A79, INDIRECT("'" &amp; _xlpm.ref &amp; "'!$B$14:$B$150"), 0)) &amp; ":$OE$" &amp; (ROW(INDIRECT("'"&amp;_xlpm.ref&amp;"'!$B$14"))-1 + MATCH($A79, INDIRECT("'" &amp; _xlpm.ref &amp; "'!$B$14:$B$150"), 0)))&lt;&gt;"",0),0)),"")))),IF(_xlpm.min=0,"",_xlpm.min)))</f>
        <v/>
      </c>
      <c r="S79" s="4" t="str" cm="1">
        <f t="array" aca="1" ref="S79" ca="1">IF($M79="","",SUM(_xlfn.MAP(_xlfn.TEXTSPLIT($M79,","),_xlfn.LAMBDA(_xlpm.ref,_xlfn.XLOOKUP($A79,INDIRECT("'"&amp;_xlpm.ref&amp;"'!$B$14:$B$150"),INDIRECT("'"&amp;_xlpm.ref&amp;"'!$E$14:$E$150"),0)))))</f>
        <v/>
      </c>
      <c r="T79" s="4" t="str" cm="1">
        <f t="array" aca="1" ref="T79" ca="1">IF($M79="","",SUM(_xlfn.MAP(_xlfn.TEXTSPLIT($M79,","),_xlfn.LAMBDA(_xlpm.ref,_xlfn.XLOOKUP($A79,INDIRECT("'"&amp;_xlpm.ref&amp;"'!$B$14:$B$150"),INDIRECT("'"&amp;_xlpm.ref&amp;"'!$F$14:$F$150"),0)))))</f>
        <v/>
      </c>
      <c r="U79" s="61" t="str" cm="1">
        <f t="array" aca="1" ref="U79" ca="1">IF($O79="Completed",MAX(IFERROR(_xlfn.MAP(_xlfn.TEXTSPLIT($M79, ","),_xlfn.LAMBDA(_xlpm.ref,INDEX(INDIRECT("'" &amp; _xlpm.ref &amp; "'!AE5:OE5"),1,LOOKUP(2,1 / (INDIRECT("'" &amp; _xlpm.ref &amp; "'!AE"&amp;(ROW(INDIRECT("'"&amp;_xlpm.ref&amp;"'!$B$14"))-1 + MATCH($A79, INDIRECT("'" &amp; _xlpm.ref &amp; "'!$B$14:$B$150"), 0)) &amp;":OE"&amp;(ROW(INDIRECT("'"&amp;_xlpm.ref&amp;"'!$B$14"))-1 + MATCH($A79, INDIRECT("'" &amp; _xlpm.ref &amp; "'!$B$14:$B$150"), 0)) ) &lt;&gt; ""),COLUMN($AD$14:$OD$14) - COLUMN($AD$14) + 1 )))),"")),"")</f>
        <v/>
      </c>
      <c r="V79" s="167" t="str">
        <f t="shared" ca="1" si="0"/>
        <v/>
      </c>
    </row>
    <row r="80" spans="1:22">
      <c r="A80" s="127"/>
      <c r="B80" s="127"/>
      <c r="C80" s="128"/>
      <c r="D80" s="128"/>
      <c r="E80" s="127"/>
      <c r="F80" s="127"/>
      <c r="G80" s="127"/>
      <c r="H80" s="127"/>
      <c r="I80" s="127"/>
      <c r="J80" s="127"/>
      <c r="K80" s="127"/>
      <c r="L80" s="127"/>
      <c r="M80" s="56" t="str" cm="1">
        <f t="array" aca="1" ref="M80" ca="1">IF($A80="","",_xlfn.TEXTJOIN(",",TRUE,_xlfn.MAP(_xlfn._xlws.FILTER(Team_Members,Team_Members&lt;&gt;""),_xlfn.LAMBDA(_xlpm.x,IFERROR(IF(_xlfn.XMATCH($A80,INDIRECT("'"&amp;_xlpm.x&amp;"'!$B$14:$B$150"))&gt;0,_xlpm.x),"")))))</f>
        <v/>
      </c>
      <c r="N80" s="127"/>
      <c r="O80" s="4" t="str" cm="1">
        <f t="array" aca="1" ref="O80" ca="1">IFERROR(_xlfn.LET(_xlpm.Lst,_xlfn.MAP(Team_Members,_xlfn.LAMBDA(_xlpm.x,IFERROR(_xlfn.XLOOKUP($A80,INDIRECT("'"&amp;_xlpm.x&amp;"'!$B$14:$B$150"),INDIRECT("'"&amp;_xlpm.x&amp;"'!$D$14:$D$150")),""))),_xlpm.F_Lst,_xlfn._xlws.FILTER(_xlpm.Lst,_xlpm.Lst&lt;&gt;""),IF(COUNTA(_xlfn.UNIQUE(_xlpm.F_Lst))=1,INDEX(_xlpm.F_Lst,1),"WIP")),"")</f>
        <v/>
      </c>
      <c r="P80" s="127"/>
      <c r="Q80" s="127"/>
      <c r="R80" s="58" t="str" cm="1">
        <f t="array" aca="1" ref="R80" ca="1">IF($M80="","",_xlfn.LET(_xlpm.min,MIN(_xlfn.MAP(_xlfn.TEXTSPLIT($M80,","),_xlfn.LAMBDA(_xlpm.ref,IFERROR(INDEX(INDIRECT("'"&amp;_xlpm.ref&amp;"'!$AE$5:$OE$5"),MATCH(TRUE,INDEX(INDIRECT("'" &amp; _xlpm.ref &amp; "'!$AE$" &amp; (ROW(INDIRECT("'"&amp;_xlpm.ref&amp;"'!$B$14"))-1 + MATCH($A80, INDIRECT("'" &amp; _xlpm.ref &amp; "'!$B$14:$B$150"), 0)) &amp; ":$OE$" &amp; (ROW(INDIRECT("'"&amp;_xlpm.ref&amp;"'!$B$14"))-1 + MATCH($A80, INDIRECT("'" &amp; _xlpm.ref &amp; "'!$B$14:$B$150"), 0)))&lt;&gt;"",0),0)),"")))),IF(_xlpm.min=0,"",_xlpm.min)))</f>
        <v/>
      </c>
      <c r="S80" s="4" t="str" cm="1">
        <f t="array" aca="1" ref="S80" ca="1">IF($M80="","",SUM(_xlfn.MAP(_xlfn.TEXTSPLIT($M80,","),_xlfn.LAMBDA(_xlpm.ref,_xlfn.XLOOKUP($A80,INDIRECT("'"&amp;_xlpm.ref&amp;"'!$B$14:$B$150"),INDIRECT("'"&amp;_xlpm.ref&amp;"'!$E$14:$E$150"),0)))))</f>
        <v/>
      </c>
      <c r="T80" s="4" t="str" cm="1">
        <f t="array" aca="1" ref="T80" ca="1">IF($M80="","",SUM(_xlfn.MAP(_xlfn.TEXTSPLIT($M80,","),_xlfn.LAMBDA(_xlpm.ref,_xlfn.XLOOKUP($A80,INDIRECT("'"&amp;_xlpm.ref&amp;"'!$B$14:$B$150"),INDIRECT("'"&amp;_xlpm.ref&amp;"'!$F$14:$F$150"),0)))))</f>
        <v/>
      </c>
      <c r="U80" s="61" t="str" cm="1">
        <f t="array" aca="1" ref="U80" ca="1">IF($O80="Completed",MAX(IFERROR(_xlfn.MAP(_xlfn.TEXTSPLIT($M80, ","),_xlfn.LAMBDA(_xlpm.ref,INDEX(INDIRECT("'" &amp; _xlpm.ref &amp; "'!AE5:OE5"),1,LOOKUP(2,1 / (INDIRECT("'" &amp; _xlpm.ref &amp; "'!AE"&amp;(ROW(INDIRECT("'"&amp;_xlpm.ref&amp;"'!$B$14"))-1 + MATCH($A80, INDIRECT("'" &amp; _xlpm.ref &amp; "'!$B$14:$B$150"), 0)) &amp;":OE"&amp;(ROW(INDIRECT("'"&amp;_xlpm.ref&amp;"'!$B$14"))-1 + MATCH($A80, INDIRECT("'" &amp; _xlpm.ref &amp; "'!$B$14:$B$150"), 0)) ) &lt;&gt; ""),COLUMN($AD$14:$OD$14) - COLUMN($AD$14) + 1 )))),"")),"")</f>
        <v/>
      </c>
      <c r="V80" s="167" t="str">
        <f t="shared" ca="1" si="0"/>
        <v/>
      </c>
    </row>
    <row r="81" spans="1:22">
      <c r="A81" s="127"/>
      <c r="B81" s="127"/>
      <c r="C81" s="128"/>
      <c r="D81" s="128"/>
      <c r="E81" s="127"/>
      <c r="F81" s="127"/>
      <c r="G81" s="127"/>
      <c r="H81" s="127"/>
      <c r="I81" s="127"/>
      <c r="J81" s="127"/>
      <c r="K81" s="127"/>
      <c r="L81" s="127"/>
      <c r="M81" s="56" t="str" cm="1">
        <f t="array" aca="1" ref="M81" ca="1">IF($A81="","",_xlfn.TEXTJOIN(",",TRUE,_xlfn.MAP(_xlfn._xlws.FILTER(Team_Members,Team_Members&lt;&gt;""),_xlfn.LAMBDA(_xlpm.x,IFERROR(IF(_xlfn.XMATCH($A81,INDIRECT("'"&amp;_xlpm.x&amp;"'!$B$14:$B$150"))&gt;0,_xlpm.x),"")))))</f>
        <v/>
      </c>
      <c r="N81" s="127"/>
      <c r="O81" s="4" t="str" cm="1">
        <f t="array" aca="1" ref="O81" ca="1">IFERROR(_xlfn.LET(_xlpm.Lst,_xlfn.MAP(Team_Members,_xlfn.LAMBDA(_xlpm.x,IFERROR(_xlfn.XLOOKUP($A81,INDIRECT("'"&amp;_xlpm.x&amp;"'!$B$14:$B$150"),INDIRECT("'"&amp;_xlpm.x&amp;"'!$D$14:$D$150")),""))),_xlpm.F_Lst,_xlfn._xlws.FILTER(_xlpm.Lst,_xlpm.Lst&lt;&gt;""),IF(COUNTA(_xlfn.UNIQUE(_xlpm.F_Lst))=1,INDEX(_xlpm.F_Lst,1),"WIP")),"")</f>
        <v/>
      </c>
      <c r="P81" s="127"/>
      <c r="Q81" s="127"/>
      <c r="R81" s="58" t="str" cm="1">
        <f t="array" aca="1" ref="R81" ca="1">IF($M81="","",_xlfn.LET(_xlpm.min,MIN(_xlfn.MAP(_xlfn.TEXTSPLIT($M81,","),_xlfn.LAMBDA(_xlpm.ref,IFERROR(INDEX(INDIRECT("'"&amp;_xlpm.ref&amp;"'!$AE$5:$OE$5"),MATCH(TRUE,INDEX(INDIRECT("'" &amp; _xlpm.ref &amp; "'!$AE$" &amp; (ROW(INDIRECT("'"&amp;_xlpm.ref&amp;"'!$B$14"))-1 + MATCH($A81, INDIRECT("'" &amp; _xlpm.ref &amp; "'!$B$14:$B$150"), 0)) &amp; ":$OE$" &amp; (ROW(INDIRECT("'"&amp;_xlpm.ref&amp;"'!$B$14"))-1 + MATCH($A81, INDIRECT("'" &amp; _xlpm.ref &amp; "'!$B$14:$B$150"), 0)))&lt;&gt;"",0),0)),"")))),IF(_xlpm.min=0,"",_xlpm.min)))</f>
        <v/>
      </c>
      <c r="S81" s="4" t="str" cm="1">
        <f t="array" aca="1" ref="S81" ca="1">IF($M81="","",SUM(_xlfn.MAP(_xlfn.TEXTSPLIT($M81,","),_xlfn.LAMBDA(_xlpm.ref,_xlfn.XLOOKUP($A81,INDIRECT("'"&amp;_xlpm.ref&amp;"'!$B$14:$B$150"),INDIRECT("'"&amp;_xlpm.ref&amp;"'!$E$14:$E$150"),0)))))</f>
        <v/>
      </c>
      <c r="T81" s="4" t="str" cm="1">
        <f t="array" aca="1" ref="T81" ca="1">IF($M81="","",SUM(_xlfn.MAP(_xlfn.TEXTSPLIT($M81,","),_xlfn.LAMBDA(_xlpm.ref,_xlfn.XLOOKUP($A81,INDIRECT("'"&amp;_xlpm.ref&amp;"'!$B$14:$B$150"),INDIRECT("'"&amp;_xlpm.ref&amp;"'!$F$14:$F$150"),0)))))</f>
        <v/>
      </c>
      <c r="U81" s="61" t="str" cm="1">
        <f t="array" aca="1" ref="U81" ca="1">IF($O81="Completed",MAX(IFERROR(_xlfn.MAP(_xlfn.TEXTSPLIT($M81, ","),_xlfn.LAMBDA(_xlpm.ref,INDEX(INDIRECT("'" &amp; _xlpm.ref &amp; "'!AE5:OE5"),1,LOOKUP(2,1 / (INDIRECT("'" &amp; _xlpm.ref &amp; "'!AE"&amp;(ROW(INDIRECT("'"&amp;_xlpm.ref&amp;"'!$B$14"))-1 + MATCH($A81, INDIRECT("'" &amp; _xlpm.ref &amp; "'!$B$14:$B$150"), 0)) &amp;":OE"&amp;(ROW(INDIRECT("'"&amp;_xlpm.ref&amp;"'!$B$14"))-1 + MATCH($A81, INDIRECT("'" &amp; _xlpm.ref &amp; "'!$B$14:$B$150"), 0)) ) &lt;&gt; ""),COLUMN($AD$14:$OD$14) - COLUMN($AD$14) + 1 )))),"")),"")</f>
        <v/>
      </c>
      <c r="V81" s="167" t="str">
        <f t="shared" ca="1" si="0"/>
        <v/>
      </c>
    </row>
    <row r="82" spans="1:22">
      <c r="A82" s="127"/>
      <c r="B82" s="127"/>
      <c r="C82" s="128"/>
      <c r="D82" s="128"/>
      <c r="E82" s="127"/>
      <c r="F82" s="127"/>
      <c r="G82" s="127"/>
      <c r="H82" s="127"/>
      <c r="I82" s="127"/>
      <c r="J82" s="127"/>
      <c r="K82" s="127"/>
      <c r="L82" s="127"/>
      <c r="M82" s="56" t="str" cm="1">
        <f t="array" aca="1" ref="M82" ca="1">IF($A82="","",_xlfn.TEXTJOIN(",",TRUE,_xlfn.MAP(_xlfn._xlws.FILTER(Team_Members,Team_Members&lt;&gt;""),_xlfn.LAMBDA(_xlpm.x,IFERROR(IF(_xlfn.XMATCH($A82,INDIRECT("'"&amp;_xlpm.x&amp;"'!$B$14:$B$150"))&gt;0,_xlpm.x),"")))))</f>
        <v/>
      </c>
      <c r="N82" s="127"/>
      <c r="O82" s="4" t="str" cm="1">
        <f t="array" aca="1" ref="O82" ca="1">IFERROR(_xlfn.LET(_xlpm.Lst,_xlfn.MAP(Team_Members,_xlfn.LAMBDA(_xlpm.x,IFERROR(_xlfn.XLOOKUP($A82,INDIRECT("'"&amp;_xlpm.x&amp;"'!$B$14:$B$150"),INDIRECT("'"&amp;_xlpm.x&amp;"'!$D$14:$D$150")),""))),_xlpm.F_Lst,_xlfn._xlws.FILTER(_xlpm.Lst,_xlpm.Lst&lt;&gt;""),IF(COUNTA(_xlfn.UNIQUE(_xlpm.F_Lst))=1,INDEX(_xlpm.F_Lst,1),"WIP")),"")</f>
        <v/>
      </c>
      <c r="P82" s="127"/>
      <c r="Q82" s="127"/>
      <c r="R82" s="58" t="str" cm="1">
        <f t="array" aca="1" ref="R82" ca="1">IF($M82="","",_xlfn.LET(_xlpm.min,MIN(_xlfn.MAP(_xlfn.TEXTSPLIT($M82,","),_xlfn.LAMBDA(_xlpm.ref,IFERROR(INDEX(INDIRECT("'"&amp;_xlpm.ref&amp;"'!$AE$5:$OE$5"),MATCH(TRUE,INDEX(INDIRECT("'" &amp; _xlpm.ref &amp; "'!$AE$" &amp; (ROW(INDIRECT("'"&amp;_xlpm.ref&amp;"'!$B$14"))-1 + MATCH($A82, INDIRECT("'" &amp; _xlpm.ref &amp; "'!$B$14:$B$150"), 0)) &amp; ":$OE$" &amp; (ROW(INDIRECT("'"&amp;_xlpm.ref&amp;"'!$B$14"))-1 + MATCH($A82, INDIRECT("'" &amp; _xlpm.ref &amp; "'!$B$14:$B$150"), 0)))&lt;&gt;"",0),0)),"")))),IF(_xlpm.min=0,"",_xlpm.min)))</f>
        <v/>
      </c>
      <c r="S82" s="4" t="str" cm="1">
        <f t="array" aca="1" ref="S82" ca="1">IF($M82="","",SUM(_xlfn.MAP(_xlfn.TEXTSPLIT($M82,","),_xlfn.LAMBDA(_xlpm.ref,_xlfn.XLOOKUP($A82,INDIRECT("'"&amp;_xlpm.ref&amp;"'!$B$14:$B$150"),INDIRECT("'"&amp;_xlpm.ref&amp;"'!$E$14:$E$150"),0)))))</f>
        <v/>
      </c>
      <c r="T82" s="4" t="str" cm="1">
        <f t="array" aca="1" ref="T82" ca="1">IF($M82="","",SUM(_xlfn.MAP(_xlfn.TEXTSPLIT($M82,","),_xlfn.LAMBDA(_xlpm.ref,_xlfn.XLOOKUP($A82,INDIRECT("'"&amp;_xlpm.ref&amp;"'!$B$14:$B$150"),INDIRECT("'"&amp;_xlpm.ref&amp;"'!$F$14:$F$150"),0)))))</f>
        <v/>
      </c>
      <c r="U82" s="61" t="str" cm="1">
        <f t="array" aca="1" ref="U82" ca="1">IF($O82="Completed",MAX(IFERROR(_xlfn.MAP(_xlfn.TEXTSPLIT($M82, ","),_xlfn.LAMBDA(_xlpm.ref,INDEX(INDIRECT("'" &amp; _xlpm.ref &amp; "'!AE5:OE5"),1,LOOKUP(2,1 / (INDIRECT("'" &amp; _xlpm.ref &amp; "'!AE"&amp;(ROW(INDIRECT("'"&amp;_xlpm.ref&amp;"'!$B$14"))-1 + MATCH($A82, INDIRECT("'" &amp; _xlpm.ref &amp; "'!$B$14:$B$150"), 0)) &amp;":OE"&amp;(ROW(INDIRECT("'"&amp;_xlpm.ref&amp;"'!$B$14"))-1 + MATCH($A82, INDIRECT("'" &amp; _xlpm.ref &amp; "'!$B$14:$B$150"), 0)) ) &lt;&gt; ""),COLUMN($AD$14:$OD$14) - COLUMN($AD$14) + 1 )))),"")),"")</f>
        <v/>
      </c>
      <c r="V82" s="167" t="str">
        <f t="shared" ca="1" si="0"/>
        <v/>
      </c>
    </row>
    <row r="83" spans="1:22">
      <c r="A83" s="127"/>
      <c r="B83" s="127"/>
      <c r="C83" s="128"/>
      <c r="D83" s="128"/>
      <c r="E83" s="127"/>
      <c r="F83" s="127"/>
      <c r="G83" s="127"/>
      <c r="H83" s="127"/>
      <c r="I83" s="127"/>
      <c r="J83" s="127"/>
      <c r="K83" s="127"/>
      <c r="L83" s="127"/>
      <c r="M83" s="56" t="str" cm="1">
        <f t="array" aca="1" ref="M83" ca="1">IF($A83="","",_xlfn.TEXTJOIN(",",TRUE,_xlfn.MAP(_xlfn._xlws.FILTER(Team_Members,Team_Members&lt;&gt;""),_xlfn.LAMBDA(_xlpm.x,IFERROR(IF(_xlfn.XMATCH($A83,INDIRECT("'"&amp;_xlpm.x&amp;"'!$B$14:$B$150"))&gt;0,_xlpm.x),"")))))</f>
        <v/>
      </c>
      <c r="N83" s="127"/>
      <c r="O83" s="4" t="str" cm="1">
        <f t="array" aca="1" ref="O83" ca="1">IFERROR(_xlfn.LET(_xlpm.Lst,_xlfn.MAP(Team_Members,_xlfn.LAMBDA(_xlpm.x,IFERROR(_xlfn.XLOOKUP($A83,INDIRECT("'"&amp;_xlpm.x&amp;"'!$B$14:$B$150"),INDIRECT("'"&amp;_xlpm.x&amp;"'!$D$14:$D$150")),""))),_xlpm.F_Lst,_xlfn._xlws.FILTER(_xlpm.Lst,_xlpm.Lst&lt;&gt;""),IF(COUNTA(_xlfn.UNIQUE(_xlpm.F_Lst))=1,INDEX(_xlpm.F_Lst,1),"WIP")),"")</f>
        <v/>
      </c>
      <c r="P83" s="127"/>
      <c r="Q83" s="127"/>
      <c r="R83" s="58" t="str" cm="1">
        <f t="array" aca="1" ref="R83" ca="1">IF($M83="","",_xlfn.LET(_xlpm.min,MIN(_xlfn.MAP(_xlfn.TEXTSPLIT($M83,","),_xlfn.LAMBDA(_xlpm.ref,IFERROR(INDEX(INDIRECT("'"&amp;_xlpm.ref&amp;"'!$AE$5:$OE$5"),MATCH(TRUE,INDEX(INDIRECT("'" &amp; _xlpm.ref &amp; "'!$AE$" &amp; (ROW(INDIRECT("'"&amp;_xlpm.ref&amp;"'!$B$14"))-1 + MATCH($A83, INDIRECT("'" &amp; _xlpm.ref &amp; "'!$B$14:$B$150"), 0)) &amp; ":$OE$" &amp; (ROW(INDIRECT("'"&amp;_xlpm.ref&amp;"'!$B$14"))-1 + MATCH($A83, INDIRECT("'" &amp; _xlpm.ref &amp; "'!$B$14:$B$150"), 0)))&lt;&gt;"",0),0)),"")))),IF(_xlpm.min=0,"",_xlpm.min)))</f>
        <v/>
      </c>
      <c r="S83" s="4" t="str" cm="1">
        <f t="array" aca="1" ref="S83" ca="1">IF($M83="","",SUM(_xlfn.MAP(_xlfn.TEXTSPLIT($M83,","),_xlfn.LAMBDA(_xlpm.ref,_xlfn.XLOOKUP($A83,INDIRECT("'"&amp;_xlpm.ref&amp;"'!$B$14:$B$150"),INDIRECT("'"&amp;_xlpm.ref&amp;"'!$E$14:$E$150"),0)))))</f>
        <v/>
      </c>
      <c r="T83" s="4" t="str" cm="1">
        <f t="array" aca="1" ref="T83" ca="1">IF($M83="","",SUM(_xlfn.MAP(_xlfn.TEXTSPLIT($M83,","),_xlfn.LAMBDA(_xlpm.ref,_xlfn.XLOOKUP($A83,INDIRECT("'"&amp;_xlpm.ref&amp;"'!$B$14:$B$150"),INDIRECT("'"&amp;_xlpm.ref&amp;"'!$F$14:$F$150"),0)))))</f>
        <v/>
      </c>
      <c r="U83" s="61" t="str" cm="1">
        <f t="array" aca="1" ref="U83" ca="1">IF($O83="Completed",MAX(IFERROR(_xlfn.MAP(_xlfn.TEXTSPLIT($M83, ","),_xlfn.LAMBDA(_xlpm.ref,INDEX(INDIRECT("'" &amp; _xlpm.ref &amp; "'!AE5:OE5"),1,LOOKUP(2,1 / (INDIRECT("'" &amp; _xlpm.ref &amp; "'!AE"&amp;(ROW(INDIRECT("'"&amp;_xlpm.ref&amp;"'!$B$14"))-1 + MATCH($A83, INDIRECT("'" &amp; _xlpm.ref &amp; "'!$B$14:$B$150"), 0)) &amp;":OE"&amp;(ROW(INDIRECT("'"&amp;_xlpm.ref&amp;"'!$B$14"))-1 + MATCH($A83, INDIRECT("'" &amp; _xlpm.ref &amp; "'!$B$14:$B$150"), 0)) ) &lt;&gt; ""),COLUMN($AD$14:$OD$14) - COLUMN($AD$14) + 1 )))),"")),"")</f>
        <v/>
      </c>
      <c r="V83" s="167" t="str">
        <f t="shared" ca="1" si="0"/>
        <v/>
      </c>
    </row>
    <row r="84" spans="1:22">
      <c r="A84" s="127"/>
      <c r="B84" s="127"/>
      <c r="C84" s="128"/>
      <c r="D84" s="128"/>
      <c r="E84" s="127"/>
      <c r="F84" s="127"/>
      <c r="G84" s="127"/>
      <c r="H84" s="127"/>
      <c r="I84" s="127"/>
      <c r="J84" s="127"/>
      <c r="K84" s="127"/>
      <c r="L84" s="127"/>
      <c r="M84" s="56" t="str" cm="1">
        <f t="array" aca="1" ref="M84" ca="1">IF($A84="","",_xlfn.TEXTJOIN(",",TRUE,_xlfn.MAP(_xlfn._xlws.FILTER(Team_Members,Team_Members&lt;&gt;""),_xlfn.LAMBDA(_xlpm.x,IFERROR(IF(_xlfn.XMATCH($A84,INDIRECT("'"&amp;_xlpm.x&amp;"'!$B$14:$B$150"))&gt;0,_xlpm.x),"")))))</f>
        <v/>
      </c>
      <c r="N84" s="127"/>
      <c r="O84" s="4" t="str" cm="1">
        <f t="array" aca="1" ref="O84" ca="1">IFERROR(_xlfn.LET(_xlpm.Lst,_xlfn.MAP(Team_Members,_xlfn.LAMBDA(_xlpm.x,IFERROR(_xlfn.XLOOKUP($A84,INDIRECT("'"&amp;_xlpm.x&amp;"'!$B$14:$B$150"),INDIRECT("'"&amp;_xlpm.x&amp;"'!$D$14:$D$150")),""))),_xlpm.F_Lst,_xlfn._xlws.FILTER(_xlpm.Lst,_xlpm.Lst&lt;&gt;""),IF(COUNTA(_xlfn.UNIQUE(_xlpm.F_Lst))=1,INDEX(_xlpm.F_Lst,1),"WIP")),"")</f>
        <v/>
      </c>
      <c r="P84" s="127"/>
      <c r="Q84" s="127"/>
      <c r="R84" s="58" t="str" cm="1">
        <f t="array" aca="1" ref="R84" ca="1">IF($M84="","",_xlfn.LET(_xlpm.min,MIN(_xlfn.MAP(_xlfn.TEXTSPLIT($M84,","),_xlfn.LAMBDA(_xlpm.ref,IFERROR(INDEX(INDIRECT("'"&amp;_xlpm.ref&amp;"'!$AE$5:$OE$5"),MATCH(TRUE,INDEX(INDIRECT("'" &amp; _xlpm.ref &amp; "'!$AE$" &amp; (ROW(INDIRECT("'"&amp;_xlpm.ref&amp;"'!$B$14"))-1 + MATCH($A84, INDIRECT("'" &amp; _xlpm.ref &amp; "'!$B$14:$B$150"), 0)) &amp; ":$OE$" &amp; (ROW(INDIRECT("'"&amp;_xlpm.ref&amp;"'!$B$14"))-1 + MATCH($A84, INDIRECT("'" &amp; _xlpm.ref &amp; "'!$B$14:$B$150"), 0)))&lt;&gt;"",0),0)),"")))),IF(_xlpm.min=0,"",_xlpm.min)))</f>
        <v/>
      </c>
      <c r="S84" s="4" t="str" cm="1">
        <f t="array" aca="1" ref="S84" ca="1">IF($M84="","",SUM(_xlfn.MAP(_xlfn.TEXTSPLIT($M84,","),_xlfn.LAMBDA(_xlpm.ref,_xlfn.XLOOKUP($A84,INDIRECT("'"&amp;_xlpm.ref&amp;"'!$B$14:$B$150"),INDIRECT("'"&amp;_xlpm.ref&amp;"'!$E$14:$E$150"),0)))))</f>
        <v/>
      </c>
      <c r="T84" s="4" t="str" cm="1">
        <f t="array" aca="1" ref="T84" ca="1">IF($M84="","",SUM(_xlfn.MAP(_xlfn.TEXTSPLIT($M84,","),_xlfn.LAMBDA(_xlpm.ref,_xlfn.XLOOKUP($A84,INDIRECT("'"&amp;_xlpm.ref&amp;"'!$B$14:$B$150"),INDIRECT("'"&amp;_xlpm.ref&amp;"'!$F$14:$F$150"),0)))))</f>
        <v/>
      </c>
      <c r="U84" s="61" t="str" cm="1">
        <f t="array" aca="1" ref="U84" ca="1">IF($O84="Completed",MAX(IFERROR(_xlfn.MAP(_xlfn.TEXTSPLIT($M84, ","),_xlfn.LAMBDA(_xlpm.ref,INDEX(INDIRECT("'" &amp; _xlpm.ref &amp; "'!AE5:OE5"),1,LOOKUP(2,1 / (INDIRECT("'" &amp; _xlpm.ref &amp; "'!AE"&amp;(ROW(INDIRECT("'"&amp;_xlpm.ref&amp;"'!$B$14"))-1 + MATCH($A84, INDIRECT("'" &amp; _xlpm.ref &amp; "'!$B$14:$B$150"), 0)) &amp;":OE"&amp;(ROW(INDIRECT("'"&amp;_xlpm.ref&amp;"'!$B$14"))-1 + MATCH($A84, INDIRECT("'" &amp; _xlpm.ref &amp; "'!$B$14:$B$150"), 0)) ) &lt;&gt; ""),COLUMN($AD$14:$OD$14) - COLUMN($AD$14) + 1 )))),"")),"")</f>
        <v/>
      </c>
      <c r="V84" s="167" t="str">
        <f t="shared" ca="1" si="0"/>
        <v/>
      </c>
    </row>
    <row r="85" spans="1:22">
      <c r="A85" s="127"/>
      <c r="B85" s="127"/>
      <c r="C85" s="128"/>
      <c r="D85" s="128"/>
      <c r="E85" s="127"/>
      <c r="F85" s="127"/>
      <c r="G85" s="127"/>
      <c r="H85" s="127"/>
      <c r="I85" s="127"/>
      <c r="J85" s="127"/>
      <c r="K85" s="127"/>
      <c r="L85" s="127"/>
      <c r="M85" s="56" t="str" cm="1">
        <f t="array" aca="1" ref="M85" ca="1">IF($A85="","",_xlfn.TEXTJOIN(",",TRUE,_xlfn.MAP(_xlfn._xlws.FILTER(Team_Members,Team_Members&lt;&gt;""),_xlfn.LAMBDA(_xlpm.x,IFERROR(IF(_xlfn.XMATCH($A85,INDIRECT("'"&amp;_xlpm.x&amp;"'!$B$14:$B$150"))&gt;0,_xlpm.x),"")))))</f>
        <v/>
      </c>
      <c r="N85" s="127"/>
      <c r="O85" s="4" t="str" cm="1">
        <f t="array" aca="1" ref="O85" ca="1">IFERROR(_xlfn.LET(_xlpm.Lst,_xlfn.MAP(Team_Members,_xlfn.LAMBDA(_xlpm.x,IFERROR(_xlfn.XLOOKUP($A85,INDIRECT("'"&amp;_xlpm.x&amp;"'!$B$14:$B$150"),INDIRECT("'"&amp;_xlpm.x&amp;"'!$D$14:$D$150")),""))),_xlpm.F_Lst,_xlfn._xlws.FILTER(_xlpm.Lst,_xlpm.Lst&lt;&gt;""),IF(COUNTA(_xlfn.UNIQUE(_xlpm.F_Lst))=1,INDEX(_xlpm.F_Lst,1),"WIP")),"")</f>
        <v/>
      </c>
      <c r="P85" s="127"/>
      <c r="Q85" s="127"/>
      <c r="R85" s="58" t="str" cm="1">
        <f t="array" aca="1" ref="R85" ca="1">IF($M85="","",_xlfn.LET(_xlpm.min,MIN(_xlfn.MAP(_xlfn.TEXTSPLIT($M85,","),_xlfn.LAMBDA(_xlpm.ref,IFERROR(INDEX(INDIRECT("'"&amp;_xlpm.ref&amp;"'!$AE$5:$OE$5"),MATCH(TRUE,INDEX(INDIRECT("'" &amp; _xlpm.ref &amp; "'!$AE$" &amp; (ROW(INDIRECT("'"&amp;_xlpm.ref&amp;"'!$B$14"))-1 + MATCH($A85, INDIRECT("'" &amp; _xlpm.ref &amp; "'!$B$14:$B$150"), 0)) &amp; ":$OE$" &amp; (ROW(INDIRECT("'"&amp;_xlpm.ref&amp;"'!$B$14"))-1 + MATCH($A85, INDIRECT("'" &amp; _xlpm.ref &amp; "'!$B$14:$B$150"), 0)))&lt;&gt;"",0),0)),"")))),IF(_xlpm.min=0,"",_xlpm.min)))</f>
        <v/>
      </c>
      <c r="S85" s="4" t="str" cm="1">
        <f t="array" aca="1" ref="S85" ca="1">IF($M85="","",SUM(_xlfn.MAP(_xlfn.TEXTSPLIT($M85,","),_xlfn.LAMBDA(_xlpm.ref,_xlfn.XLOOKUP($A85,INDIRECT("'"&amp;_xlpm.ref&amp;"'!$B$14:$B$150"),INDIRECT("'"&amp;_xlpm.ref&amp;"'!$E$14:$E$150"),0)))))</f>
        <v/>
      </c>
      <c r="T85" s="4" t="str" cm="1">
        <f t="array" aca="1" ref="T85" ca="1">IF($M85="","",SUM(_xlfn.MAP(_xlfn.TEXTSPLIT($M85,","),_xlfn.LAMBDA(_xlpm.ref,_xlfn.XLOOKUP($A85,INDIRECT("'"&amp;_xlpm.ref&amp;"'!$B$14:$B$150"),INDIRECT("'"&amp;_xlpm.ref&amp;"'!$F$14:$F$150"),0)))))</f>
        <v/>
      </c>
      <c r="U85" s="61" t="str" cm="1">
        <f t="array" aca="1" ref="U85" ca="1">IF($O85="Completed",MAX(IFERROR(_xlfn.MAP(_xlfn.TEXTSPLIT($M85, ","),_xlfn.LAMBDA(_xlpm.ref,INDEX(INDIRECT("'" &amp; _xlpm.ref &amp; "'!AE5:OE5"),1,LOOKUP(2,1 / (INDIRECT("'" &amp; _xlpm.ref &amp; "'!AE"&amp;(ROW(INDIRECT("'"&amp;_xlpm.ref&amp;"'!$B$14"))-1 + MATCH($A85, INDIRECT("'" &amp; _xlpm.ref &amp; "'!$B$14:$B$150"), 0)) &amp;":OE"&amp;(ROW(INDIRECT("'"&amp;_xlpm.ref&amp;"'!$B$14"))-1 + MATCH($A85, INDIRECT("'" &amp; _xlpm.ref &amp; "'!$B$14:$B$150"), 0)) ) &lt;&gt; ""),COLUMN($AD$14:$OD$14) - COLUMN($AD$14) + 1 )))),"")),"")</f>
        <v/>
      </c>
      <c r="V85" s="167" t="str">
        <f t="shared" ca="1" si="0"/>
        <v/>
      </c>
    </row>
    <row r="86" spans="1:22">
      <c r="A86" s="127"/>
      <c r="B86" s="127"/>
      <c r="C86" s="128"/>
      <c r="D86" s="128"/>
      <c r="E86" s="127"/>
      <c r="F86" s="127"/>
      <c r="G86" s="127"/>
      <c r="H86" s="127"/>
      <c r="I86" s="127"/>
      <c r="J86" s="127"/>
      <c r="K86" s="127"/>
      <c r="L86" s="127"/>
      <c r="M86" s="56" t="str" cm="1">
        <f t="array" aca="1" ref="M86" ca="1">IF($A86="","",_xlfn.TEXTJOIN(",",TRUE,_xlfn.MAP(_xlfn._xlws.FILTER(Team_Members,Team_Members&lt;&gt;""),_xlfn.LAMBDA(_xlpm.x,IFERROR(IF(_xlfn.XMATCH($A86,INDIRECT("'"&amp;_xlpm.x&amp;"'!$B$14:$B$150"))&gt;0,_xlpm.x),"")))))</f>
        <v/>
      </c>
      <c r="N86" s="127"/>
      <c r="O86" s="4" t="str" cm="1">
        <f t="array" aca="1" ref="O86" ca="1">IFERROR(_xlfn.LET(_xlpm.Lst,_xlfn.MAP(Team_Members,_xlfn.LAMBDA(_xlpm.x,IFERROR(_xlfn.XLOOKUP($A86,INDIRECT("'"&amp;_xlpm.x&amp;"'!$B$14:$B$150"),INDIRECT("'"&amp;_xlpm.x&amp;"'!$D$14:$D$150")),""))),_xlpm.F_Lst,_xlfn._xlws.FILTER(_xlpm.Lst,_xlpm.Lst&lt;&gt;""),IF(COUNTA(_xlfn.UNIQUE(_xlpm.F_Lst))=1,INDEX(_xlpm.F_Lst,1),"WIP")),"")</f>
        <v/>
      </c>
      <c r="P86" s="127"/>
      <c r="Q86" s="127"/>
      <c r="R86" s="58" t="str" cm="1">
        <f t="array" aca="1" ref="R86" ca="1">IF($M86="","",_xlfn.LET(_xlpm.min,MIN(_xlfn.MAP(_xlfn.TEXTSPLIT($M86,","),_xlfn.LAMBDA(_xlpm.ref,IFERROR(INDEX(INDIRECT("'"&amp;_xlpm.ref&amp;"'!$AE$5:$OE$5"),MATCH(TRUE,INDEX(INDIRECT("'" &amp; _xlpm.ref &amp; "'!$AE$" &amp; (ROW(INDIRECT("'"&amp;_xlpm.ref&amp;"'!$B$14"))-1 + MATCH($A86, INDIRECT("'" &amp; _xlpm.ref &amp; "'!$B$14:$B$150"), 0)) &amp; ":$OE$" &amp; (ROW(INDIRECT("'"&amp;_xlpm.ref&amp;"'!$B$14"))-1 + MATCH($A86, INDIRECT("'" &amp; _xlpm.ref &amp; "'!$B$14:$B$150"), 0)))&lt;&gt;"",0),0)),"")))),IF(_xlpm.min=0,"",_xlpm.min)))</f>
        <v/>
      </c>
      <c r="S86" s="4" t="str" cm="1">
        <f t="array" aca="1" ref="S86" ca="1">IF($M86="","",SUM(_xlfn.MAP(_xlfn.TEXTSPLIT($M86,","),_xlfn.LAMBDA(_xlpm.ref,_xlfn.XLOOKUP($A86,INDIRECT("'"&amp;_xlpm.ref&amp;"'!$B$14:$B$150"),INDIRECT("'"&amp;_xlpm.ref&amp;"'!$E$14:$E$150"),0)))))</f>
        <v/>
      </c>
      <c r="T86" s="4" t="str" cm="1">
        <f t="array" aca="1" ref="T86" ca="1">IF($M86="","",SUM(_xlfn.MAP(_xlfn.TEXTSPLIT($M86,","),_xlfn.LAMBDA(_xlpm.ref,_xlfn.XLOOKUP($A86,INDIRECT("'"&amp;_xlpm.ref&amp;"'!$B$14:$B$150"),INDIRECT("'"&amp;_xlpm.ref&amp;"'!$F$14:$F$150"),0)))))</f>
        <v/>
      </c>
      <c r="U86" s="61" t="str" cm="1">
        <f t="array" aca="1" ref="U86" ca="1">IF($O86="Completed",MAX(IFERROR(_xlfn.MAP(_xlfn.TEXTSPLIT($M86, ","),_xlfn.LAMBDA(_xlpm.ref,INDEX(INDIRECT("'" &amp; _xlpm.ref &amp; "'!AE5:OE5"),1,LOOKUP(2,1 / (INDIRECT("'" &amp; _xlpm.ref &amp; "'!AE"&amp;(ROW(INDIRECT("'"&amp;_xlpm.ref&amp;"'!$B$14"))-1 + MATCH($A86, INDIRECT("'" &amp; _xlpm.ref &amp; "'!$B$14:$B$150"), 0)) &amp;":OE"&amp;(ROW(INDIRECT("'"&amp;_xlpm.ref&amp;"'!$B$14"))-1 + MATCH($A86, INDIRECT("'" &amp; _xlpm.ref &amp; "'!$B$14:$B$150"), 0)) ) &lt;&gt; ""),COLUMN($AD$14:$OD$14) - COLUMN($AD$14) + 1 )))),"")),"")</f>
        <v/>
      </c>
      <c r="V86" s="167" t="str">
        <f t="shared" ca="1" si="0"/>
        <v/>
      </c>
    </row>
    <row r="87" spans="1:22">
      <c r="A87" s="127"/>
      <c r="B87" s="127"/>
      <c r="C87" s="128"/>
      <c r="D87" s="128"/>
      <c r="E87" s="127"/>
      <c r="F87" s="127"/>
      <c r="G87" s="127"/>
      <c r="H87" s="127"/>
      <c r="I87" s="127"/>
      <c r="J87" s="127"/>
      <c r="K87" s="127"/>
      <c r="L87" s="127"/>
      <c r="M87" s="56" t="str" cm="1">
        <f t="array" aca="1" ref="M87" ca="1">IF($A87="","",_xlfn.TEXTJOIN(",",TRUE,_xlfn.MAP(_xlfn._xlws.FILTER(Team_Members,Team_Members&lt;&gt;""),_xlfn.LAMBDA(_xlpm.x,IFERROR(IF(_xlfn.XMATCH($A87,INDIRECT("'"&amp;_xlpm.x&amp;"'!$B$14:$B$150"))&gt;0,_xlpm.x),"")))))</f>
        <v/>
      </c>
      <c r="N87" s="127"/>
      <c r="O87" s="4" t="str" cm="1">
        <f t="array" aca="1" ref="O87" ca="1">IFERROR(_xlfn.LET(_xlpm.Lst,_xlfn.MAP(Team_Members,_xlfn.LAMBDA(_xlpm.x,IFERROR(_xlfn.XLOOKUP($A87,INDIRECT("'"&amp;_xlpm.x&amp;"'!$B$14:$B$150"),INDIRECT("'"&amp;_xlpm.x&amp;"'!$D$14:$D$150")),""))),_xlpm.F_Lst,_xlfn._xlws.FILTER(_xlpm.Lst,_xlpm.Lst&lt;&gt;""),IF(COUNTA(_xlfn.UNIQUE(_xlpm.F_Lst))=1,INDEX(_xlpm.F_Lst,1),"WIP")),"")</f>
        <v/>
      </c>
      <c r="P87" s="127"/>
      <c r="Q87" s="127"/>
      <c r="R87" s="58" t="str" cm="1">
        <f t="array" aca="1" ref="R87" ca="1">IF($M87="","",_xlfn.LET(_xlpm.min,MIN(_xlfn.MAP(_xlfn.TEXTSPLIT($M87,","),_xlfn.LAMBDA(_xlpm.ref,IFERROR(INDEX(INDIRECT("'"&amp;_xlpm.ref&amp;"'!$AE$5:$OE$5"),MATCH(TRUE,INDEX(INDIRECT("'" &amp; _xlpm.ref &amp; "'!$AE$" &amp; (ROW(INDIRECT("'"&amp;_xlpm.ref&amp;"'!$B$14"))-1 + MATCH($A87, INDIRECT("'" &amp; _xlpm.ref &amp; "'!$B$14:$B$150"), 0)) &amp; ":$OE$" &amp; (ROW(INDIRECT("'"&amp;_xlpm.ref&amp;"'!$B$14"))-1 + MATCH($A87, INDIRECT("'" &amp; _xlpm.ref &amp; "'!$B$14:$B$150"), 0)))&lt;&gt;"",0),0)),"")))),IF(_xlpm.min=0,"",_xlpm.min)))</f>
        <v/>
      </c>
      <c r="S87" s="4" t="str" cm="1">
        <f t="array" aca="1" ref="S87" ca="1">IF($M87="","",SUM(_xlfn.MAP(_xlfn.TEXTSPLIT($M87,","),_xlfn.LAMBDA(_xlpm.ref,_xlfn.XLOOKUP($A87,INDIRECT("'"&amp;_xlpm.ref&amp;"'!$B$14:$B$150"),INDIRECT("'"&amp;_xlpm.ref&amp;"'!$E$14:$E$150"),0)))))</f>
        <v/>
      </c>
      <c r="T87" s="4" t="str" cm="1">
        <f t="array" aca="1" ref="T87" ca="1">IF($M87="","",SUM(_xlfn.MAP(_xlfn.TEXTSPLIT($M87,","),_xlfn.LAMBDA(_xlpm.ref,_xlfn.XLOOKUP($A87,INDIRECT("'"&amp;_xlpm.ref&amp;"'!$B$14:$B$150"),INDIRECT("'"&amp;_xlpm.ref&amp;"'!$F$14:$F$150"),0)))))</f>
        <v/>
      </c>
      <c r="U87" s="61" t="str" cm="1">
        <f t="array" aca="1" ref="U87" ca="1">IF($O87="Completed",MAX(IFERROR(_xlfn.MAP(_xlfn.TEXTSPLIT($M87, ","),_xlfn.LAMBDA(_xlpm.ref,INDEX(INDIRECT("'" &amp; _xlpm.ref &amp; "'!AE5:OE5"),1,LOOKUP(2,1 / (INDIRECT("'" &amp; _xlpm.ref &amp; "'!AE"&amp;(ROW(INDIRECT("'"&amp;_xlpm.ref&amp;"'!$B$14"))-1 + MATCH($A87, INDIRECT("'" &amp; _xlpm.ref &amp; "'!$B$14:$B$150"), 0)) &amp;":OE"&amp;(ROW(INDIRECT("'"&amp;_xlpm.ref&amp;"'!$B$14"))-1 + MATCH($A87, INDIRECT("'" &amp; _xlpm.ref &amp; "'!$B$14:$B$150"), 0)) ) &lt;&gt; ""),COLUMN($AD$14:$OD$14) - COLUMN($AD$14) + 1 )))),"")),"")</f>
        <v/>
      </c>
      <c r="V87" s="167" t="str">
        <f t="shared" ca="1" si="0"/>
        <v/>
      </c>
    </row>
    <row r="88" spans="1:22">
      <c r="A88" s="127"/>
      <c r="B88" s="127"/>
      <c r="C88" s="128"/>
      <c r="D88" s="128"/>
      <c r="E88" s="127"/>
      <c r="F88" s="127"/>
      <c r="G88" s="127"/>
      <c r="H88" s="127"/>
      <c r="I88" s="127"/>
      <c r="J88" s="127"/>
      <c r="K88" s="127"/>
      <c r="L88" s="127"/>
      <c r="M88" s="56" t="str" cm="1">
        <f t="array" aca="1" ref="M88" ca="1">IF($A88="","",_xlfn.TEXTJOIN(",",TRUE,_xlfn.MAP(_xlfn._xlws.FILTER(Team_Members,Team_Members&lt;&gt;""),_xlfn.LAMBDA(_xlpm.x,IFERROR(IF(_xlfn.XMATCH($A88,INDIRECT("'"&amp;_xlpm.x&amp;"'!$B$14:$B$150"))&gt;0,_xlpm.x),"")))))</f>
        <v/>
      </c>
      <c r="N88" s="127"/>
      <c r="O88" s="4" t="str" cm="1">
        <f t="array" aca="1" ref="O88" ca="1">IFERROR(_xlfn.LET(_xlpm.Lst,_xlfn.MAP(Team_Members,_xlfn.LAMBDA(_xlpm.x,IFERROR(_xlfn.XLOOKUP($A88,INDIRECT("'"&amp;_xlpm.x&amp;"'!$B$14:$B$150"),INDIRECT("'"&amp;_xlpm.x&amp;"'!$D$14:$D$150")),""))),_xlpm.F_Lst,_xlfn._xlws.FILTER(_xlpm.Lst,_xlpm.Lst&lt;&gt;""),IF(COUNTA(_xlfn.UNIQUE(_xlpm.F_Lst))=1,INDEX(_xlpm.F_Lst,1),"WIP")),"")</f>
        <v/>
      </c>
      <c r="P88" s="127"/>
      <c r="Q88" s="127"/>
      <c r="R88" s="58" t="str" cm="1">
        <f t="array" aca="1" ref="R88" ca="1">IF($M88="","",_xlfn.LET(_xlpm.min,MIN(_xlfn.MAP(_xlfn.TEXTSPLIT($M88,","),_xlfn.LAMBDA(_xlpm.ref,IFERROR(INDEX(INDIRECT("'"&amp;_xlpm.ref&amp;"'!$AE$5:$OE$5"),MATCH(TRUE,INDEX(INDIRECT("'" &amp; _xlpm.ref &amp; "'!$AE$" &amp; (ROW(INDIRECT("'"&amp;_xlpm.ref&amp;"'!$B$14"))-1 + MATCH($A88, INDIRECT("'" &amp; _xlpm.ref &amp; "'!$B$14:$B$150"), 0)) &amp; ":$OE$" &amp; (ROW(INDIRECT("'"&amp;_xlpm.ref&amp;"'!$B$14"))-1 + MATCH($A88, INDIRECT("'" &amp; _xlpm.ref &amp; "'!$B$14:$B$150"), 0)))&lt;&gt;"",0),0)),"")))),IF(_xlpm.min=0,"",_xlpm.min)))</f>
        <v/>
      </c>
      <c r="S88" s="4" t="str" cm="1">
        <f t="array" aca="1" ref="S88" ca="1">IF($M88="","",SUM(_xlfn.MAP(_xlfn.TEXTSPLIT($M88,","),_xlfn.LAMBDA(_xlpm.ref,_xlfn.XLOOKUP($A88,INDIRECT("'"&amp;_xlpm.ref&amp;"'!$B$14:$B$150"),INDIRECT("'"&amp;_xlpm.ref&amp;"'!$E$14:$E$150"),0)))))</f>
        <v/>
      </c>
      <c r="T88" s="4" t="str" cm="1">
        <f t="array" aca="1" ref="T88" ca="1">IF($M88="","",SUM(_xlfn.MAP(_xlfn.TEXTSPLIT($M88,","),_xlfn.LAMBDA(_xlpm.ref,_xlfn.XLOOKUP($A88,INDIRECT("'"&amp;_xlpm.ref&amp;"'!$B$14:$B$150"),INDIRECT("'"&amp;_xlpm.ref&amp;"'!$F$14:$F$150"),0)))))</f>
        <v/>
      </c>
      <c r="U88" s="61" t="str" cm="1">
        <f t="array" aca="1" ref="U88" ca="1">IF($O88="Completed",MAX(IFERROR(_xlfn.MAP(_xlfn.TEXTSPLIT($M88, ","),_xlfn.LAMBDA(_xlpm.ref,INDEX(INDIRECT("'" &amp; _xlpm.ref &amp; "'!AE5:OE5"),1,LOOKUP(2,1 / (INDIRECT("'" &amp; _xlpm.ref &amp; "'!AE"&amp;(ROW(INDIRECT("'"&amp;_xlpm.ref&amp;"'!$B$14"))-1 + MATCH($A88, INDIRECT("'" &amp; _xlpm.ref &amp; "'!$B$14:$B$150"), 0)) &amp;":OE"&amp;(ROW(INDIRECT("'"&amp;_xlpm.ref&amp;"'!$B$14"))-1 + MATCH($A88, INDIRECT("'" &amp; _xlpm.ref &amp; "'!$B$14:$B$150"), 0)) ) &lt;&gt; ""),COLUMN($AD$14:$OD$14) - COLUMN($AD$14) + 1 )))),"")),"")</f>
        <v/>
      </c>
      <c r="V88" s="167" t="str">
        <f t="shared" ca="1" si="0"/>
        <v/>
      </c>
    </row>
    <row r="89" spans="1:22">
      <c r="A89" s="127"/>
      <c r="B89" s="127"/>
      <c r="C89" s="128"/>
      <c r="D89" s="128"/>
      <c r="E89" s="127"/>
      <c r="F89" s="127"/>
      <c r="G89" s="127"/>
      <c r="H89" s="127"/>
      <c r="I89" s="127"/>
      <c r="J89" s="127"/>
      <c r="K89" s="127"/>
      <c r="L89" s="127"/>
      <c r="M89" s="56" t="str" cm="1">
        <f t="array" aca="1" ref="M89" ca="1">IF($A89="","",_xlfn.TEXTJOIN(",",TRUE,_xlfn.MAP(_xlfn._xlws.FILTER(Team_Members,Team_Members&lt;&gt;""),_xlfn.LAMBDA(_xlpm.x,IFERROR(IF(_xlfn.XMATCH($A89,INDIRECT("'"&amp;_xlpm.x&amp;"'!$B$14:$B$150"))&gt;0,_xlpm.x),"")))))</f>
        <v/>
      </c>
      <c r="N89" s="127"/>
      <c r="O89" s="4" t="str" cm="1">
        <f t="array" aca="1" ref="O89" ca="1">IFERROR(_xlfn.LET(_xlpm.Lst,_xlfn.MAP(Team_Members,_xlfn.LAMBDA(_xlpm.x,IFERROR(_xlfn.XLOOKUP($A89,INDIRECT("'"&amp;_xlpm.x&amp;"'!$B$14:$B$150"),INDIRECT("'"&amp;_xlpm.x&amp;"'!$D$14:$D$150")),""))),_xlpm.F_Lst,_xlfn._xlws.FILTER(_xlpm.Lst,_xlpm.Lst&lt;&gt;""),IF(COUNTA(_xlfn.UNIQUE(_xlpm.F_Lst))=1,INDEX(_xlpm.F_Lst,1),"WIP")),"")</f>
        <v/>
      </c>
      <c r="P89" s="127"/>
      <c r="Q89" s="127"/>
      <c r="R89" s="58" t="str" cm="1">
        <f t="array" aca="1" ref="R89" ca="1">IF($M89="","",_xlfn.LET(_xlpm.min,MIN(_xlfn.MAP(_xlfn.TEXTSPLIT($M89,","),_xlfn.LAMBDA(_xlpm.ref,IFERROR(INDEX(INDIRECT("'"&amp;_xlpm.ref&amp;"'!$AE$5:$OE$5"),MATCH(TRUE,INDEX(INDIRECT("'" &amp; _xlpm.ref &amp; "'!$AE$" &amp; (ROW(INDIRECT("'"&amp;_xlpm.ref&amp;"'!$B$14"))-1 + MATCH($A89, INDIRECT("'" &amp; _xlpm.ref &amp; "'!$B$14:$B$150"), 0)) &amp; ":$OE$" &amp; (ROW(INDIRECT("'"&amp;_xlpm.ref&amp;"'!$B$14"))-1 + MATCH($A89, INDIRECT("'" &amp; _xlpm.ref &amp; "'!$B$14:$B$150"), 0)))&lt;&gt;"",0),0)),"")))),IF(_xlpm.min=0,"",_xlpm.min)))</f>
        <v/>
      </c>
      <c r="S89" s="4" t="str" cm="1">
        <f t="array" aca="1" ref="S89" ca="1">IF($M89="","",SUM(_xlfn.MAP(_xlfn.TEXTSPLIT($M89,","),_xlfn.LAMBDA(_xlpm.ref,_xlfn.XLOOKUP($A89,INDIRECT("'"&amp;_xlpm.ref&amp;"'!$B$14:$B$150"),INDIRECT("'"&amp;_xlpm.ref&amp;"'!$E$14:$E$150"),0)))))</f>
        <v/>
      </c>
      <c r="T89" s="4" t="str" cm="1">
        <f t="array" aca="1" ref="T89" ca="1">IF($M89="","",SUM(_xlfn.MAP(_xlfn.TEXTSPLIT($M89,","),_xlfn.LAMBDA(_xlpm.ref,_xlfn.XLOOKUP($A89,INDIRECT("'"&amp;_xlpm.ref&amp;"'!$B$14:$B$150"),INDIRECT("'"&amp;_xlpm.ref&amp;"'!$F$14:$F$150"),0)))))</f>
        <v/>
      </c>
      <c r="U89" s="61" t="str" cm="1">
        <f t="array" aca="1" ref="U89" ca="1">IF($O89="Completed",MAX(IFERROR(_xlfn.MAP(_xlfn.TEXTSPLIT($M89, ","),_xlfn.LAMBDA(_xlpm.ref,INDEX(INDIRECT("'" &amp; _xlpm.ref &amp; "'!AE5:OE5"),1,LOOKUP(2,1 / (INDIRECT("'" &amp; _xlpm.ref &amp; "'!AE"&amp;(ROW(INDIRECT("'"&amp;_xlpm.ref&amp;"'!$B$14"))-1 + MATCH($A89, INDIRECT("'" &amp; _xlpm.ref &amp; "'!$B$14:$B$150"), 0)) &amp;":OE"&amp;(ROW(INDIRECT("'"&amp;_xlpm.ref&amp;"'!$B$14"))-1 + MATCH($A89, INDIRECT("'" &amp; _xlpm.ref &amp; "'!$B$14:$B$150"), 0)) ) &lt;&gt; ""),COLUMN($AD$14:$OD$14) - COLUMN($AD$14) + 1 )))),"")),"")</f>
        <v/>
      </c>
      <c r="V89" s="167" t="str">
        <f t="shared" ca="1" si="0"/>
        <v/>
      </c>
    </row>
    <row r="90" spans="1:22">
      <c r="A90" s="127"/>
      <c r="B90" s="127"/>
      <c r="C90" s="128"/>
      <c r="D90" s="128"/>
      <c r="E90" s="127"/>
      <c r="F90" s="127"/>
      <c r="G90" s="127"/>
      <c r="H90" s="127"/>
      <c r="I90" s="127"/>
      <c r="J90" s="127"/>
      <c r="K90" s="127"/>
      <c r="L90" s="127"/>
      <c r="M90" s="56" t="str" cm="1">
        <f t="array" aca="1" ref="M90" ca="1">IF($A90="","",_xlfn.TEXTJOIN(",",TRUE,_xlfn.MAP(_xlfn._xlws.FILTER(Team_Members,Team_Members&lt;&gt;""),_xlfn.LAMBDA(_xlpm.x,IFERROR(IF(_xlfn.XMATCH($A90,INDIRECT("'"&amp;_xlpm.x&amp;"'!$B$14:$B$150"))&gt;0,_xlpm.x),"")))))</f>
        <v/>
      </c>
      <c r="N90" s="127"/>
      <c r="O90" s="4" t="str" cm="1">
        <f t="array" aca="1" ref="O90" ca="1">IFERROR(_xlfn.LET(_xlpm.Lst,_xlfn.MAP(Team_Members,_xlfn.LAMBDA(_xlpm.x,IFERROR(_xlfn.XLOOKUP($A90,INDIRECT("'"&amp;_xlpm.x&amp;"'!$B$14:$B$150"),INDIRECT("'"&amp;_xlpm.x&amp;"'!$D$14:$D$150")),""))),_xlpm.F_Lst,_xlfn._xlws.FILTER(_xlpm.Lst,_xlpm.Lst&lt;&gt;""),IF(COUNTA(_xlfn.UNIQUE(_xlpm.F_Lst))=1,INDEX(_xlpm.F_Lst,1),"WIP")),"")</f>
        <v/>
      </c>
      <c r="P90" s="127"/>
      <c r="Q90" s="127"/>
      <c r="R90" s="58" t="str" cm="1">
        <f t="array" aca="1" ref="R90" ca="1">IF($M90="","",_xlfn.LET(_xlpm.min,MIN(_xlfn.MAP(_xlfn.TEXTSPLIT($M90,","),_xlfn.LAMBDA(_xlpm.ref,IFERROR(INDEX(INDIRECT("'"&amp;_xlpm.ref&amp;"'!$AE$5:$OE$5"),MATCH(TRUE,INDEX(INDIRECT("'" &amp; _xlpm.ref &amp; "'!$AE$" &amp; (ROW(INDIRECT("'"&amp;_xlpm.ref&amp;"'!$B$14"))-1 + MATCH($A90, INDIRECT("'" &amp; _xlpm.ref &amp; "'!$B$14:$B$150"), 0)) &amp; ":$OE$" &amp; (ROW(INDIRECT("'"&amp;_xlpm.ref&amp;"'!$B$14"))-1 + MATCH($A90, INDIRECT("'" &amp; _xlpm.ref &amp; "'!$B$14:$B$150"), 0)))&lt;&gt;"",0),0)),"")))),IF(_xlpm.min=0,"",_xlpm.min)))</f>
        <v/>
      </c>
      <c r="S90" s="4" t="str" cm="1">
        <f t="array" aca="1" ref="S90" ca="1">IF($M90="","",SUM(_xlfn.MAP(_xlfn.TEXTSPLIT($M90,","),_xlfn.LAMBDA(_xlpm.ref,_xlfn.XLOOKUP($A90,INDIRECT("'"&amp;_xlpm.ref&amp;"'!$B$14:$B$150"),INDIRECT("'"&amp;_xlpm.ref&amp;"'!$E$14:$E$150"),0)))))</f>
        <v/>
      </c>
      <c r="T90" s="4" t="str" cm="1">
        <f t="array" aca="1" ref="T90" ca="1">IF($M90="","",SUM(_xlfn.MAP(_xlfn.TEXTSPLIT($M90,","),_xlfn.LAMBDA(_xlpm.ref,_xlfn.XLOOKUP($A90,INDIRECT("'"&amp;_xlpm.ref&amp;"'!$B$14:$B$150"),INDIRECT("'"&amp;_xlpm.ref&amp;"'!$F$14:$F$150"),0)))))</f>
        <v/>
      </c>
      <c r="U90" s="61" t="str" cm="1">
        <f t="array" aca="1" ref="U90" ca="1">IF($O90="Completed",MAX(IFERROR(_xlfn.MAP(_xlfn.TEXTSPLIT($M90, ","),_xlfn.LAMBDA(_xlpm.ref,INDEX(INDIRECT("'" &amp; _xlpm.ref &amp; "'!AE5:OE5"),1,LOOKUP(2,1 / (INDIRECT("'" &amp; _xlpm.ref &amp; "'!AE"&amp;(ROW(INDIRECT("'"&amp;_xlpm.ref&amp;"'!$B$14"))-1 + MATCH($A90, INDIRECT("'" &amp; _xlpm.ref &amp; "'!$B$14:$B$150"), 0)) &amp;":OE"&amp;(ROW(INDIRECT("'"&amp;_xlpm.ref&amp;"'!$B$14"))-1 + MATCH($A90, INDIRECT("'" &amp; _xlpm.ref &amp; "'!$B$14:$B$150"), 0)) ) &lt;&gt; ""),COLUMN($AD$14:$OD$14) - COLUMN($AD$14) + 1 )))),"")),"")</f>
        <v/>
      </c>
      <c r="V90" s="167" t="str">
        <f t="shared" ca="1" si="0"/>
        <v/>
      </c>
    </row>
    <row r="91" spans="1:22">
      <c r="A91" s="127"/>
      <c r="B91" s="127"/>
      <c r="C91" s="128"/>
      <c r="D91" s="128"/>
      <c r="E91" s="127"/>
      <c r="F91" s="127"/>
      <c r="G91" s="127"/>
      <c r="H91" s="127"/>
      <c r="I91" s="127"/>
      <c r="J91" s="127"/>
      <c r="K91" s="127"/>
      <c r="L91" s="127"/>
      <c r="M91" s="56" t="str" cm="1">
        <f t="array" aca="1" ref="M91" ca="1">IF($A91="","",_xlfn.TEXTJOIN(",",TRUE,_xlfn.MAP(_xlfn._xlws.FILTER(Team_Members,Team_Members&lt;&gt;""),_xlfn.LAMBDA(_xlpm.x,IFERROR(IF(_xlfn.XMATCH($A91,INDIRECT("'"&amp;_xlpm.x&amp;"'!$B$14:$B$150"))&gt;0,_xlpm.x),"")))))</f>
        <v/>
      </c>
      <c r="N91" s="127"/>
      <c r="O91" s="4" t="str" cm="1">
        <f t="array" aca="1" ref="O91" ca="1">IFERROR(_xlfn.LET(_xlpm.Lst,_xlfn.MAP(Team_Members,_xlfn.LAMBDA(_xlpm.x,IFERROR(_xlfn.XLOOKUP($A91,INDIRECT("'"&amp;_xlpm.x&amp;"'!$B$14:$B$150"),INDIRECT("'"&amp;_xlpm.x&amp;"'!$D$14:$D$150")),""))),_xlpm.F_Lst,_xlfn._xlws.FILTER(_xlpm.Lst,_xlpm.Lst&lt;&gt;""),IF(COUNTA(_xlfn.UNIQUE(_xlpm.F_Lst))=1,INDEX(_xlpm.F_Lst,1),"WIP")),"")</f>
        <v/>
      </c>
      <c r="P91" s="127"/>
      <c r="Q91" s="127"/>
      <c r="R91" s="58" t="str" cm="1">
        <f t="array" aca="1" ref="R91" ca="1">IF($M91="","",_xlfn.LET(_xlpm.min,MIN(_xlfn.MAP(_xlfn.TEXTSPLIT($M91,","),_xlfn.LAMBDA(_xlpm.ref,IFERROR(INDEX(INDIRECT("'"&amp;_xlpm.ref&amp;"'!$AE$5:$OE$5"),MATCH(TRUE,INDEX(INDIRECT("'" &amp; _xlpm.ref &amp; "'!$AE$" &amp; (ROW(INDIRECT("'"&amp;_xlpm.ref&amp;"'!$B$14"))-1 + MATCH($A91, INDIRECT("'" &amp; _xlpm.ref &amp; "'!$B$14:$B$150"), 0)) &amp; ":$OE$" &amp; (ROW(INDIRECT("'"&amp;_xlpm.ref&amp;"'!$B$14"))-1 + MATCH($A91, INDIRECT("'" &amp; _xlpm.ref &amp; "'!$B$14:$B$150"), 0)))&lt;&gt;"",0),0)),"")))),IF(_xlpm.min=0,"",_xlpm.min)))</f>
        <v/>
      </c>
      <c r="S91" s="4" t="str" cm="1">
        <f t="array" aca="1" ref="S91" ca="1">IF($M91="","",SUM(_xlfn.MAP(_xlfn.TEXTSPLIT($M91,","),_xlfn.LAMBDA(_xlpm.ref,_xlfn.XLOOKUP($A91,INDIRECT("'"&amp;_xlpm.ref&amp;"'!$B$14:$B$150"),INDIRECT("'"&amp;_xlpm.ref&amp;"'!$E$14:$E$150"),0)))))</f>
        <v/>
      </c>
      <c r="T91" s="4" t="str" cm="1">
        <f t="array" aca="1" ref="T91" ca="1">IF($M91="","",SUM(_xlfn.MAP(_xlfn.TEXTSPLIT($M91,","),_xlfn.LAMBDA(_xlpm.ref,_xlfn.XLOOKUP($A91,INDIRECT("'"&amp;_xlpm.ref&amp;"'!$B$14:$B$150"),INDIRECT("'"&amp;_xlpm.ref&amp;"'!$F$14:$F$150"),0)))))</f>
        <v/>
      </c>
      <c r="U91" s="61" t="str" cm="1">
        <f t="array" aca="1" ref="U91" ca="1">IF($O91="Completed",MAX(IFERROR(_xlfn.MAP(_xlfn.TEXTSPLIT($M91, ","),_xlfn.LAMBDA(_xlpm.ref,INDEX(INDIRECT("'" &amp; _xlpm.ref &amp; "'!AE5:OE5"),1,LOOKUP(2,1 / (INDIRECT("'" &amp; _xlpm.ref &amp; "'!AE"&amp;(ROW(INDIRECT("'"&amp;_xlpm.ref&amp;"'!$B$14"))-1 + MATCH($A91, INDIRECT("'" &amp; _xlpm.ref &amp; "'!$B$14:$B$150"), 0)) &amp;":OE"&amp;(ROW(INDIRECT("'"&amp;_xlpm.ref&amp;"'!$B$14"))-1 + MATCH($A91, INDIRECT("'" &amp; _xlpm.ref &amp; "'!$B$14:$B$150"), 0)) ) &lt;&gt; ""),COLUMN($AD$14:$OD$14) - COLUMN($AD$14) + 1 )))),"")),"")</f>
        <v/>
      </c>
      <c r="V91" s="167" t="str">
        <f t="shared" ca="1" si="0"/>
        <v/>
      </c>
    </row>
    <row r="92" spans="1:22">
      <c r="A92" s="127"/>
      <c r="B92" s="127"/>
      <c r="C92" s="128"/>
      <c r="D92" s="128"/>
      <c r="E92" s="127"/>
      <c r="F92" s="127"/>
      <c r="G92" s="127"/>
      <c r="H92" s="127"/>
      <c r="I92" s="127"/>
      <c r="J92" s="127"/>
      <c r="K92" s="127"/>
      <c r="L92" s="127"/>
      <c r="M92" s="56" t="str" cm="1">
        <f t="array" aca="1" ref="M92" ca="1">IF($A92="","",_xlfn.TEXTJOIN(",",TRUE,_xlfn.MAP(_xlfn._xlws.FILTER(Team_Members,Team_Members&lt;&gt;""),_xlfn.LAMBDA(_xlpm.x,IFERROR(IF(_xlfn.XMATCH($A92,INDIRECT("'"&amp;_xlpm.x&amp;"'!$B$14:$B$150"))&gt;0,_xlpm.x),"")))))</f>
        <v/>
      </c>
      <c r="N92" s="127"/>
      <c r="O92" s="4" t="str" cm="1">
        <f t="array" aca="1" ref="O92" ca="1">IFERROR(_xlfn.LET(_xlpm.Lst,_xlfn.MAP(Team_Members,_xlfn.LAMBDA(_xlpm.x,IFERROR(_xlfn.XLOOKUP($A92,INDIRECT("'"&amp;_xlpm.x&amp;"'!$B$14:$B$150"),INDIRECT("'"&amp;_xlpm.x&amp;"'!$D$14:$D$150")),""))),_xlpm.F_Lst,_xlfn._xlws.FILTER(_xlpm.Lst,_xlpm.Lst&lt;&gt;""),IF(COUNTA(_xlfn.UNIQUE(_xlpm.F_Lst))=1,INDEX(_xlpm.F_Lst,1),"WIP")),"")</f>
        <v/>
      </c>
      <c r="P92" s="127"/>
      <c r="Q92" s="127"/>
      <c r="R92" s="58" t="str" cm="1">
        <f t="array" aca="1" ref="R92" ca="1">IF($M92="","",_xlfn.LET(_xlpm.min,MIN(_xlfn.MAP(_xlfn.TEXTSPLIT($M92,","),_xlfn.LAMBDA(_xlpm.ref,IFERROR(INDEX(INDIRECT("'"&amp;_xlpm.ref&amp;"'!$AE$5:$OE$5"),MATCH(TRUE,INDEX(INDIRECT("'" &amp; _xlpm.ref &amp; "'!$AE$" &amp; (ROW(INDIRECT("'"&amp;_xlpm.ref&amp;"'!$B$14"))-1 + MATCH($A92, INDIRECT("'" &amp; _xlpm.ref &amp; "'!$B$14:$B$150"), 0)) &amp; ":$OE$" &amp; (ROW(INDIRECT("'"&amp;_xlpm.ref&amp;"'!$B$14"))-1 + MATCH($A92, INDIRECT("'" &amp; _xlpm.ref &amp; "'!$B$14:$B$150"), 0)))&lt;&gt;"",0),0)),"")))),IF(_xlpm.min=0,"",_xlpm.min)))</f>
        <v/>
      </c>
      <c r="S92" s="4" t="str" cm="1">
        <f t="array" aca="1" ref="S92" ca="1">IF($M92="","",SUM(_xlfn.MAP(_xlfn.TEXTSPLIT($M92,","),_xlfn.LAMBDA(_xlpm.ref,_xlfn.XLOOKUP($A92,INDIRECT("'"&amp;_xlpm.ref&amp;"'!$B$14:$B$150"),INDIRECT("'"&amp;_xlpm.ref&amp;"'!$E$14:$E$150"),0)))))</f>
        <v/>
      </c>
      <c r="T92" s="4" t="str" cm="1">
        <f t="array" aca="1" ref="T92" ca="1">IF($M92="","",SUM(_xlfn.MAP(_xlfn.TEXTSPLIT($M92,","),_xlfn.LAMBDA(_xlpm.ref,_xlfn.XLOOKUP($A92,INDIRECT("'"&amp;_xlpm.ref&amp;"'!$B$14:$B$150"),INDIRECT("'"&amp;_xlpm.ref&amp;"'!$F$14:$F$150"),0)))))</f>
        <v/>
      </c>
      <c r="U92" s="61" t="str" cm="1">
        <f t="array" aca="1" ref="U92" ca="1">IF($O92="Completed",MAX(IFERROR(_xlfn.MAP(_xlfn.TEXTSPLIT($M92, ","),_xlfn.LAMBDA(_xlpm.ref,INDEX(INDIRECT("'" &amp; _xlpm.ref &amp; "'!AE5:OE5"),1,LOOKUP(2,1 / (INDIRECT("'" &amp; _xlpm.ref &amp; "'!AE"&amp;(ROW(INDIRECT("'"&amp;_xlpm.ref&amp;"'!$B$14"))-1 + MATCH($A92, INDIRECT("'" &amp; _xlpm.ref &amp; "'!$B$14:$B$150"), 0)) &amp;":OE"&amp;(ROW(INDIRECT("'"&amp;_xlpm.ref&amp;"'!$B$14"))-1 + MATCH($A92, INDIRECT("'" &amp; _xlpm.ref &amp; "'!$B$14:$B$150"), 0)) ) &lt;&gt; ""),COLUMN($AD$14:$OD$14) - COLUMN($AD$14) + 1 )))),"")),"")</f>
        <v/>
      </c>
      <c r="V92" s="167" t="str">
        <f t="shared" ca="1" si="0"/>
        <v/>
      </c>
    </row>
    <row r="93" spans="1:22">
      <c r="A93" s="127"/>
      <c r="B93" s="127"/>
      <c r="C93" s="128"/>
      <c r="D93" s="128"/>
      <c r="E93" s="127"/>
      <c r="F93" s="127"/>
      <c r="G93" s="127"/>
      <c r="H93" s="127"/>
      <c r="I93" s="127"/>
      <c r="J93" s="127"/>
      <c r="K93" s="127"/>
      <c r="L93" s="127"/>
      <c r="M93" s="56" t="str" cm="1">
        <f t="array" aca="1" ref="M93" ca="1">IF($A93="","",_xlfn.TEXTJOIN(",",TRUE,_xlfn.MAP(_xlfn._xlws.FILTER(Team_Members,Team_Members&lt;&gt;""),_xlfn.LAMBDA(_xlpm.x,IFERROR(IF(_xlfn.XMATCH($A93,INDIRECT("'"&amp;_xlpm.x&amp;"'!$B$14:$B$150"))&gt;0,_xlpm.x),"")))))</f>
        <v/>
      </c>
      <c r="N93" s="127"/>
      <c r="O93" s="4" t="str" cm="1">
        <f t="array" aca="1" ref="O93" ca="1">IFERROR(_xlfn.LET(_xlpm.Lst,_xlfn.MAP(Team_Members,_xlfn.LAMBDA(_xlpm.x,IFERROR(_xlfn.XLOOKUP($A93,INDIRECT("'"&amp;_xlpm.x&amp;"'!$B$14:$B$150"),INDIRECT("'"&amp;_xlpm.x&amp;"'!$D$14:$D$150")),""))),_xlpm.F_Lst,_xlfn._xlws.FILTER(_xlpm.Lst,_xlpm.Lst&lt;&gt;""),IF(COUNTA(_xlfn.UNIQUE(_xlpm.F_Lst))=1,INDEX(_xlpm.F_Lst,1),"WIP")),"")</f>
        <v/>
      </c>
      <c r="P93" s="127"/>
      <c r="Q93" s="127"/>
      <c r="R93" s="58" t="str" cm="1">
        <f t="array" aca="1" ref="R93" ca="1">IF($M93="","",_xlfn.LET(_xlpm.min,MIN(_xlfn.MAP(_xlfn.TEXTSPLIT($M93,","),_xlfn.LAMBDA(_xlpm.ref,IFERROR(INDEX(INDIRECT("'"&amp;_xlpm.ref&amp;"'!$AE$5:$OE$5"),MATCH(TRUE,INDEX(INDIRECT("'" &amp; _xlpm.ref &amp; "'!$AE$" &amp; (ROW(INDIRECT("'"&amp;_xlpm.ref&amp;"'!$B$14"))-1 + MATCH($A93, INDIRECT("'" &amp; _xlpm.ref &amp; "'!$B$14:$B$150"), 0)) &amp; ":$OE$" &amp; (ROW(INDIRECT("'"&amp;_xlpm.ref&amp;"'!$B$14"))-1 + MATCH($A93, INDIRECT("'" &amp; _xlpm.ref &amp; "'!$B$14:$B$150"), 0)))&lt;&gt;"",0),0)),"")))),IF(_xlpm.min=0,"",_xlpm.min)))</f>
        <v/>
      </c>
      <c r="S93" s="4" t="str" cm="1">
        <f t="array" aca="1" ref="S93" ca="1">IF($M93="","",SUM(_xlfn.MAP(_xlfn.TEXTSPLIT($M93,","),_xlfn.LAMBDA(_xlpm.ref,_xlfn.XLOOKUP($A93,INDIRECT("'"&amp;_xlpm.ref&amp;"'!$B$14:$B$150"),INDIRECT("'"&amp;_xlpm.ref&amp;"'!$E$14:$E$150"),0)))))</f>
        <v/>
      </c>
      <c r="T93" s="4" t="str" cm="1">
        <f t="array" aca="1" ref="T93" ca="1">IF($M93="","",SUM(_xlfn.MAP(_xlfn.TEXTSPLIT($M93,","),_xlfn.LAMBDA(_xlpm.ref,_xlfn.XLOOKUP($A93,INDIRECT("'"&amp;_xlpm.ref&amp;"'!$B$14:$B$150"),INDIRECT("'"&amp;_xlpm.ref&amp;"'!$F$14:$F$150"),0)))))</f>
        <v/>
      </c>
      <c r="U93" s="61" t="str" cm="1">
        <f t="array" aca="1" ref="U93" ca="1">IF($O93="Completed",MAX(IFERROR(_xlfn.MAP(_xlfn.TEXTSPLIT($M93, ","),_xlfn.LAMBDA(_xlpm.ref,INDEX(INDIRECT("'" &amp; _xlpm.ref &amp; "'!AE5:OE5"),1,LOOKUP(2,1 / (INDIRECT("'" &amp; _xlpm.ref &amp; "'!AE"&amp;(ROW(INDIRECT("'"&amp;_xlpm.ref&amp;"'!$B$14"))-1 + MATCH($A93, INDIRECT("'" &amp; _xlpm.ref &amp; "'!$B$14:$B$150"), 0)) &amp;":OE"&amp;(ROW(INDIRECT("'"&amp;_xlpm.ref&amp;"'!$B$14"))-1 + MATCH($A93, INDIRECT("'" &amp; _xlpm.ref &amp; "'!$B$14:$B$150"), 0)) ) &lt;&gt; ""),COLUMN($AD$14:$OD$14) - COLUMN($AD$14) + 1 )))),"")),"")</f>
        <v/>
      </c>
      <c r="V93" s="167" t="str">
        <f t="shared" ca="1" si="0"/>
        <v/>
      </c>
    </row>
    <row r="94" spans="1:22">
      <c r="A94" s="127"/>
      <c r="B94" s="127"/>
      <c r="C94" s="128"/>
      <c r="D94" s="128"/>
      <c r="E94" s="127"/>
      <c r="F94" s="127"/>
      <c r="G94" s="127"/>
      <c r="H94" s="127"/>
      <c r="I94" s="127"/>
      <c r="J94" s="127"/>
      <c r="K94" s="127"/>
      <c r="L94" s="127"/>
      <c r="M94" s="56" t="str" cm="1">
        <f t="array" aca="1" ref="M94" ca="1">IF($A94="","",_xlfn.TEXTJOIN(",",TRUE,_xlfn.MAP(_xlfn._xlws.FILTER(Team_Members,Team_Members&lt;&gt;""),_xlfn.LAMBDA(_xlpm.x,IFERROR(IF(_xlfn.XMATCH($A94,INDIRECT("'"&amp;_xlpm.x&amp;"'!$B$14:$B$150"))&gt;0,_xlpm.x),"")))))</f>
        <v/>
      </c>
      <c r="N94" s="127"/>
      <c r="O94" s="4" t="str" cm="1">
        <f t="array" aca="1" ref="O94" ca="1">IFERROR(_xlfn.LET(_xlpm.Lst,_xlfn.MAP(Team_Members,_xlfn.LAMBDA(_xlpm.x,IFERROR(_xlfn.XLOOKUP($A94,INDIRECT("'"&amp;_xlpm.x&amp;"'!$B$14:$B$150"),INDIRECT("'"&amp;_xlpm.x&amp;"'!$D$14:$D$150")),""))),_xlpm.F_Lst,_xlfn._xlws.FILTER(_xlpm.Lst,_xlpm.Lst&lt;&gt;""),IF(COUNTA(_xlfn.UNIQUE(_xlpm.F_Lst))=1,INDEX(_xlpm.F_Lst,1),"WIP")),"")</f>
        <v/>
      </c>
      <c r="P94" s="127"/>
      <c r="Q94" s="127"/>
      <c r="R94" s="58" t="str" cm="1">
        <f t="array" aca="1" ref="R94" ca="1">IF($M94="","",_xlfn.LET(_xlpm.min,MIN(_xlfn.MAP(_xlfn.TEXTSPLIT($M94,","),_xlfn.LAMBDA(_xlpm.ref,IFERROR(INDEX(INDIRECT("'"&amp;_xlpm.ref&amp;"'!$AE$5:$OE$5"),MATCH(TRUE,INDEX(INDIRECT("'" &amp; _xlpm.ref &amp; "'!$AE$" &amp; (ROW(INDIRECT("'"&amp;_xlpm.ref&amp;"'!$B$14"))-1 + MATCH($A94, INDIRECT("'" &amp; _xlpm.ref &amp; "'!$B$14:$B$150"), 0)) &amp; ":$OE$" &amp; (ROW(INDIRECT("'"&amp;_xlpm.ref&amp;"'!$B$14"))-1 + MATCH($A94, INDIRECT("'" &amp; _xlpm.ref &amp; "'!$B$14:$B$150"), 0)))&lt;&gt;"",0),0)),"")))),IF(_xlpm.min=0,"",_xlpm.min)))</f>
        <v/>
      </c>
      <c r="S94" s="4" t="str" cm="1">
        <f t="array" aca="1" ref="S94" ca="1">IF($M94="","",SUM(_xlfn.MAP(_xlfn.TEXTSPLIT($M94,","),_xlfn.LAMBDA(_xlpm.ref,_xlfn.XLOOKUP($A94,INDIRECT("'"&amp;_xlpm.ref&amp;"'!$B$14:$B$150"),INDIRECT("'"&amp;_xlpm.ref&amp;"'!$E$14:$E$150"),0)))))</f>
        <v/>
      </c>
      <c r="T94" s="4" t="str" cm="1">
        <f t="array" aca="1" ref="T94" ca="1">IF($M94="","",SUM(_xlfn.MAP(_xlfn.TEXTSPLIT($M94,","),_xlfn.LAMBDA(_xlpm.ref,_xlfn.XLOOKUP($A94,INDIRECT("'"&amp;_xlpm.ref&amp;"'!$B$14:$B$150"),INDIRECT("'"&amp;_xlpm.ref&amp;"'!$F$14:$F$150"),0)))))</f>
        <v/>
      </c>
      <c r="U94" s="61" t="str" cm="1">
        <f t="array" aca="1" ref="U94" ca="1">IF($O94="Completed",MAX(IFERROR(_xlfn.MAP(_xlfn.TEXTSPLIT($M94, ","),_xlfn.LAMBDA(_xlpm.ref,INDEX(INDIRECT("'" &amp; _xlpm.ref &amp; "'!AE5:OE5"),1,LOOKUP(2,1 / (INDIRECT("'" &amp; _xlpm.ref &amp; "'!AE"&amp;(ROW(INDIRECT("'"&amp;_xlpm.ref&amp;"'!$B$14"))-1 + MATCH($A94, INDIRECT("'" &amp; _xlpm.ref &amp; "'!$B$14:$B$150"), 0)) &amp;":OE"&amp;(ROW(INDIRECT("'"&amp;_xlpm.ref&amp;"'!$B$14"))-1 + MATCH($A94, INDIRECT("'" &amp; _xlpm.ref &amp; "'!$B$14:$B$150"), 0)) ) &lt;&gt; ""),COLUMN($AD$14:$OD$14) - COLUMN($AD$14) + 1 )))),"")),"")</f>
        <v/>
      </c>
      <c r="V94" s="167" t="str">
        <f t="shared" ca="1" si="0"/>
        <v/>
      </c>
    </row>
    <row r="95" spans="1:22">
      <c r="A95" s="127"/>
      <c r="B95" s="127"/>
      <c r="C95" s="128"/>
      <c r="D95" s="128"/>
      <c r="E95" s="127"/>
      <c r="F95" s="127"/>
      <c r="G95" s="127"/>
      <c r="H95" s="127"/>
      <c r="I95" s="127"/>
      <c r="J95" s="127"/>
      <c r="K95" s="127"/>
      <c r="L95" s="127"/>
      <c r="M95" s="56" t="str" cm="1">
        <f t="array" aca="1" ref="M95" ca="1">IF($A95="","",_xlfn.TEXTJOIN(",",TRUE,_xlfn.MAP(_xlfn._xlws.FILTER(Team_Members,Team_Members&lt;&gt;""),_xlfn.LAMBDA(_xlpm.x,IFERROR(IF(_xlfn.XMATCH($A95,INDIRECT("'"&amp;_xlpm.x&amp;"'!$B$14:$B$150"))&gt;0,_xlpm.x),"")))))</f>
        <v/>
      </c>
      <c r="N95" s="127"/>
      <c r="O95" s="4" t="str" cm="1">
        <f t="array" aca="1" ref="O95" ca="1">IFERROR(_xlfn.LET(_xlpm.Lst,_xlfn.MAP(Team_Members,_xlfn.LAMBDA(_xlpm.x,IFERROR(_xlfn.XLOOKUP($A95,INDIRECT("'"&amp;_xlpm.x&amp;"'!$B$14:$B$150"),INDIRECT("'"&amp;_xlpm.x&amp;"'!$D$14:$D$150")),""))),_xlpm.F_Lst,_xlfn._xlws.FILTER(_xlpm.Lst,_xlpm.Lst&lt;&gt;""),IF(COUNTA(_xlfn.UNIQUE(_xlpm.F_Lst))=1,INDEX(_xlpm.F_Lst,1),"WIP")),"")</f>
        <v/>
      </c>
      <c r="P95" s="127"/>
      <c r="Q95" s="127"/>
      <c r="R95" s="58" t="str" cm="1">
        <f t="array" aca="1" ref="R95" ca="1">IF($M95="","",_xlfn.LET(_xlpm.min,MIN(_xlfn.MAP(_xlfn.TEXTSPLIT($M95,","),_xlfn.LAMBDA(_xlpm.ref,IFERROR(INDEX(INDIRECT("'"&amp;_xlpm.ref&amp;"'!$AE$5:$OE$5"),MATCH(TRUE,INDEX(INDIRECT("'" &amp; _xlpm.ref &amp; "'!$AE$" &amp; (ROW(INDIRECT("'"&amp;_xlpm.ref&amp;"'!$B$14"))-1 + MATCH($A95, INDIRECT("'" &amp; _xlpm.ref &amp; "'!$B$14:$B$150"), 0)) &amp; ":$OE$" &amp; (ROW(INDIRECT("'"&amp;_xlpm.ref&amp;"'!$B$14"))-1 + MATCH($A95, INDIRECT("'" &amp; _xlpm.ref &amp; "'!$B$14:$B$150"), 0)))&lt;&gt;"",0),0)),"")))),IF(_xlpm.min=0,"",_xlpm.min)))</f>
        <v/>
      </c>
      <c r="S95" s="4" t="str" cm="1">
        <f t="array" aca="1" ref="S95" ca="1">IF($M95="","",SUM(_xlfn.MAP(_xlfn.TEXTSPLIT($M95,","),_xlfn.LAMBDA(_xlpm.ref,_xlfn.XLOOKUP($A95,INDIRECT("'"&amp;_xlpm.ref&amp;"'!$B$14:$B$150"),INDIRECT("'"&amp;_xlpm.ref&amp;"'!$E$14:$E$150"),0)))))</f>
        <v/>
      </c>
      <c r="T95" s="4" t="str" cm="1">
        <f t="array" aca="1" ref="T95" ca="1">IF($M95="","",SUM(_xlfn.MAP(_xlfn.TEXTSPLIT($M95,","),_xlfn.LAMBDA(_xlpm.ref,_xlfn.XLOOKUP($A95,INDIRECT("'"&amp;_xlpm.ref&amp;"'!$B$14:$B$150"),INDIRECT("'"&amp;_xlpm.ref&amp;"'!$F$14:$F$150"),0)))))</f>
        <v/>
      </c>
      <c r="U95" s="61" t="str" cm="1">
        <f t="array" aca="1" ref="U95" ca="1">IF($O95="Completed",MAX(IFERROR(_xlfn.MAP(_xlfn.TEXTSPLIT($M95, ","),_xlfn.LAMBDA(_xlpm.ref,INDEX(INDIRECT("'" &amp; _xlpm.ref &amp; "'!AE5:OE5"),1,LOOKUP(2,1 / (INDIRECT("'" &amp; _xlpm.ref &amp; "'!AE"&amp;(ROW(INDIRECT("'"&amp;_xlpm.ref&amp;"'!$B$14"))-1 + MATCH($A95, INDIRECT("'" &amp; _xlpm.ref &amp; "'!$B$14:$B$150"), 0)) &amp;":OE"&amp;(ROW(INDIRECT("'"&amp;_xlpm.ref&amp;"'!$B$14"))-1 + MATCH($A95, INDIRECT("'" &amp; _xlpm.ref &amp; "'!$B$14:$B$150"), 0)) ) &lt;&gt; ""),COLUMN($AD$14:$OD$14) - COLUMN($AD$14) + 1 )))),"")),"")</f>
        <v/>
      </c>
      <c r="V95" s="167" t="str">
        <f t="shared" ca="1" si="0"/>
        <v/>
      </c>
    </row>
    <row r="96" spans="1:22">
      <c r="A96" s="127"/>
      <c r="B96" s="127"/>
      <c r="C96" s="128"/>
      <c r="D96" s="128"/>
      <c r="E96" s="127"/>
      <c r="F96" s="127"/>
      <c r="G96" s="127"/>
      <c r="H96" s="127"/>
      <c r="I96" s="127"/>
      <c r="J96" s="127"/>
      <c r="K96" s="127"/>
      <c r="L96" s="127"/>
      <c r="M96" s="56" t="str" cm="1">
        <f t="array" aca="1" ref="M96" ca="1">IF($A96="","",_xlfn.TEXTJOIN(",",TRUE,_xlfn.MAP(_xlfn._xlws.FILTER(Team_Members,Team_Members&lt;&gt;""),_xlfn.LAMBDA(_xlpm.x,IFERROR(IF(_xlfn.XMATCH($A96,INDIRECT("'"&amp;_xlpm.x&amp;"'!$B$14:$B$150"))&gt;0,_xlpm.x),"")))))</f>
        <v/>
      </c>
      <c r="N96" s="127"/>
      <c r="O96" s="4" t="str" cm="1">
        <f t="array" aca="1" ref="O96" ca="1">IFERROR(_xlfn.LET(_xlpm.Lst,_xlfn.MAP(Team_Members,_xlfn.LAMBDA(_xlpm.x,IFERROR(_xlfn.XLOOKUP($A96,INDIRECT("'"&amp;_xlpm.x&amp;"'!$B$14:$B$150"),INDIRECT("'"&amp;_xlpm.x&amp;"'!$D$14:$D$150")),""))),_xlpm.F_Lst,_xlfn._xlws.FILTER(_xlpm.Lst,_xlpm.Lst&lt;&gt;""),IF(COUNTA(_xlfn.UNIQUE(_xlpm.F_Lst))=1,INDEX(_xlpm.F_Lst,1),"WIP")),"")</f>
        <v/>
      </c>
      <c r="P96" s="127"/>
      <c r="Q96" s="127"/>
      <c r="R96" s="58" t="str" cm="1">
        <f t="array" aca="1" ref="R96" ca="1">IF($M96="","",_xlfn.LET(_xlpm.min,MIN(_xlfn.MAP(_xlfn.TEXTSPLIT($M96,","),_xlfn.LAMBDA(_xlpm.ref,IFERROR(INDEX(INDIRECT("'"&amp;_xlpm.ref&amp;"'!$AE$5:$OE$5"),MATCH(TRUE,INDEX(INDIRECT("'" &amp; _xlpm.ref &amp; "'!$AE$" &amp; (ROW(INDIRECT("'"&amp;_xlpm.ref&amp;"'!$B$14"))-1 + MATCH($A96, INDIRECT("'" &amp; _xlpm.ref &amp; "'!$B$14:$B$150"), 0)) &amp; ":$OE$" &amp; (ROW(INDIRECT("'"&amp;_xlpm.ref&amp;"'!$B$14"))-1 + MATCH($A96, INDIRECT("'" &amp; _xlpm.ref &amp; "'!$B$14:$B$150"), 0)))&lt;&gt;"",0),0)),"")))),IF(_xlpm.min=0,"",_xlpm.min)))</f>
        <v/>
      </c>
      <c r="S96" s="4" t="str" cm="1">
        <f t="array" aca="1" ref="S96" ca="1">IF($M96="","",SUM(_xlfn.MAP(_xlfn.TEXTSPLIT($M96,","),_xlfn.LAMBDA(_xlpm.ref,_xlfn.XLOOKUP($A96,INDIRECT("'"&amp;_xlpm.ref&amp;"'!$B$14:$B$150"),INDIRECT("'"&amp;_xlpm.ref&amp;"'!$E$14:$E$150"),0)))))</f>
        <v/>
      </c>
      <c r="T96" s="4" t="str" cm="1">
        <f t="array" aca="1" ref="T96" ca="1">IF($M96="","",SUM(_xlfn.MAP(_xlfn.TEXTSPLIT($M96,","),_xlfn.LAMBDA(_xlpm.ref,_xlfn.XLOOKUP($A96,INDIRECT("'"&amp;_xlpm.ref&amp;"'!$B$14:$B$150"),INDIRECT("'"&amp;_xlpm.ref&amp;"'!$F$14:$F$150"),0)))))</f>
        <v/>
      </c>
      <c r="U96" s="61" t="str" cm="1">
        <f t="array" aca="1" ref="U96" ca="1">IF($O96="Completed",MAX(IFERROR(_xlfn.MAP(_xlfn.TEXTSPLIT($M96, ","),_xlfn.LAMBDA(_xlpm.ref,INDEX(INDIRECT("'" &amp; _xlpm.ref &amp; "'!AE5:OE5"),1,LOOKUP(2,1 / (INDIRECT("'" &amp; _xlpm.ref &amp; "'!AE"&amp;(ROW(INDIRECT("'"&amp;_xlpm.ref&amp;"'!$B$14"))-1 + MATCH($A96, INDIRECT("'" &amp; _xlpm.ref &amp; "'!$B$14:$B$150"), 0)) &amp;":OE"&amp;(ROW(INDIRECT("'"&amp;_xlpm.ref&amp;"'!$B$14"))-1 + MATCH($A96, INDIRECT("'" &amp; _xlpm.ref &amp; "'!$B$14:$B$150"), 0)) ) &lt;&gt; ""),COLUMN($AD$14:$OD$14) - COLUMN($AD$14) + 1 )))),"")),"")</f>
        <v/>
      </c>
      <c r="V96" s="167" t="str">
        <f t="shared" ca="1" si="0"/>
        <v/>
      </c>
    </row>
    <row r="97" spans="1:22">
      <c r="A97" s="127"/>
      <c r="B97" s="127"/>
      <c r="C97" s="128"/>
      <c r="D97" s="128"/>
      <c r="E97" s="127"/>
      <c r="F97" s="127"/>
      <c r="G97" s="127"/>
      <c r="H97" s="127"/>
      <c r="I97" s="127"/>
      <c r="J97" s="127"/>
      <c r="K97" s="127"/>
      <c r="L97" s="127"/>
      <c r="M97" s="56" t="str" cm="1">
        <f t="array" aca="1" ref="M97" ca="1">IF($A97="","",_xlfn.TEXTJOIN(",",TRUE,_xlfn.MAP(_xlfn._xlws.FILTER(Team_Members,Team_Members&lt;&gt;""),_xlfn.LAMBDA(_xlpm.x,IFERROR(IF(_xlfn.XMATCH($A97,INDIRECT("'"&amp;_xlpm.x&amp;"'!$B$14:$B$150"))&gt;0,_xlpm.x),"")))))</f>
        <v/>
      </c>
      <c r="N97" s="127"/>
      <c r="O97" s="4" t="str" cm="1">
        <f t="array" aca="1" ref="O97" ca="1">IFERROR(_xlfn.LET(_xlpm.Lst,_xlfn.MAP(Team_Members,_xlfn.LAMBDA(_xlpm.x,IFERROR(_xlfn.XLOOKUP($A97,INDIRECT("'"&amp;_xlpm.x&amp;"'!$B$14:$B$150"),INDIRECT("'"&amp;_xlpm.x&amp;"'!$D$14:$D$150")),""))),_xlpm.F_Lst,_xlfn._xlws.FILTER(_xlpm.Lst,_xlpm.Lst&lt;&gt;""),IF(COUNTA(_xlfn.UNIQUE(_xlpm.F_Lst))=1,INDEX(_xlpm.F_Lst,1),"WIP")),"")</f>
        <v/>
      </c>
      <c r="P97" s="127"/>
      <c r="Q97" s="127"/>
      <c r="R97" s="58" t="str" cm="1">
        <f t="array" aca="1" ref="R97" ca="1">IF($M97="","",_xlfn.LET(_xlpm.min,MIN(_xlfn.MAP(_xlfn.TEXTSPLIT($M97,","),_xlfn.LAMBDA(_xlpm.ref,IFERROR(INDEX(INDIRECT("'"&amp;_xlpm.ref&amp;"'!$AE$5:$OE$5"),MATCH(TRUE,INDEX(INDIRECT("'" &amp; _xlpm.ref &amp; "'!$AE$" &amp; (ROW(INDIRECT("'"&amp;_xlpm.ref&amp;"'!$B$14"))-1 + MATCH($A97, INDIRECT("'" &amp; _xlpm.ref &amp; "'!$B$14:$B$150"), 0)) &amp; ":$OE$" &amp; (ROW(INDIRECT("'"&amp;_xlpm.ref&amp;"'!$B$14"))-1 + MATCH($A97, INDIRECT("'" &amp; _xlpm.ref &amp; "'!$B$14:$B$150"), 0)))&lt;&gt;"",0),0)),"")))),IF(_xlpm.min=0,"",_xlpm.min)))</f>
        <v/>
      </c>
      <c r="S97" s="4" t="str" cm="1">
        <f t="array" aca="1" ref="S97" ca="1">IF($M97="","",SUM(_xlfn.MAP(_xlfn.TEXTSPLIT($M97,","),_xlfn.LAMBDA(_xlpm.ref,_xlfn.XLOOKUP($A97,INDIRECT("'"&amp;_xlpm.ref&amp;"'!$B$14:$B$150"),INDIRECT("'"&amp;_xlpm.ref&amp;"'!$E$14:$E$150"),0)))))</f>
        <v/>
      </c>
      <c r="T97" s="4" t="str" cm="1">
        <f t="array" aca="1" ref="T97" ca="1">IF($M97="","",SUM(_xlfn.MAP(_xlfn.TEXTSPLIT($M97,","),_xlfn.LAMBDA(_xlpm.ref,_xlfn.XLOOKUP($A97,INDIRECT("'"&amp;_xlpm.ref&amp;"'!$B$14:$B$150"),INDIRECT("'"&amp;_xlpm.ref&amp;"'!$F$14:$F$150"),0)))))</f>
        <v/>
      </c>
      <c r="U97" s="61" t="str" cm="1">
        <f t="array" aca="1" ref="U97" ca="1">IF($O97="Completed",MAX(IFERROR(_xlfn.MAP(_xlfn.TEXTSPLIT($M97, ","),_xlfn.LAMBDA(_xlpm.ref,INDEX(INDIRECT("'" &amp; _xlpm.ref &amp; "'!AE5:OE5"),1,LOOKUP(2,1 / (INDIRECT("'" &amp; _xlpm.ref &amp; "'!AE"&amp;(ROW(INDIRECT("'"&amp;_xlpm.ref&amp;"'!$B$14"))-1 + MATCH($A97, INDIRECT("'" &amp; _xlpm.ref &amp; "'!$B$14:$B$150"), 0)) &amp;":OE"&amp;(ROW(INDIRECT("'"&amp;_xlpm.ref&amp;"'!$B$14"))-1 + MATCH($A97, INDIRECT("'" &amp; _xlpm.ref &amp; "'!$B$14:$B$150"), 0)) ) &lt;&gt; ""),COLUMN($AD$14:$OD$14) - COLUMN($AD$14) + 1 )))),"")),"")</f>
        <v/>
      </c>
      <c r="V97" s="167" t="str">
        <f t="shared" ca="1" si="0"/>
        <v/>
      </c>
    </row>
    <row r="98" spans="1:22">
      <c r="A98" s="127"/>
      <c r="B98" s="127"/>
      <c r="C98" s="128"/>
      <c r="D98" s="128"/>
      <c r="E98" s="127"/>
      <c r="F98" s="127"/>
      <c r="G98" s="127"/>
      <c r="H98" s="127"/>
      <c r="I98" s="127"/>
      <c r="J98" s="127"/>
      <c r="K98" s="127"/>
      <c r="L98" s="127"/>
      <c r="M98" s="56" t="str" cm="1">
        <f t="array" aca="1" ref="M98" ca="1">IF($A98="","",_xlfn.TEXTJOIN(",",TRUE,_xlfn.MAP(_xlfn._xlws.FILTER(Team_Members,Team_Members&lt;&gt;""),_xlfn.LAMBDA(_xlpm.x,IFERROR(IF(_xlfn.XMATCH($A98,INDIRECT("'"&amp;_xlpm.x&amp;"'!$B$14:$B$150"))&gt;0,_xlpm.x),"")))))</f>
        <v/>
      </c>
      <c r="N98" s="127"/>
      <c r="O98" s="4" t="str" cm="1">
        <f t="array" aca="1" ref="O98" ca="1">IFERROR(_xlfn.LET(_xlpm.Lst,_xlfn.MAP(Team_Members,_xlfn.LAMBDA(_xlpm.x,IFERROR(_xlfn.XLOOKUP($A98,INDIRECT("'"&amp;_xlpm.x&amp;"'!$B$14:$B$150"),INDIRECT("'"&amp;_xlpm.x&amp;"'!$D$14:$D$150")),""))),_xlpm.F_Lst,_xlfn._xlws.FILTER(_xlpm.Lst,_xlpm.Lst&lt;&gt;""),IF(COUNTA(_xlfn.UNIQUE(_xlpm.F_Lst))=1,INDEX(_xlpm.F_Lst,1),"WIP")),"")</f>
        <v/>
      </c>
      <c r="P98" s="127"/>
      <c r="Q98" s="127"/>
      <c r="R98" s="58" t="str" cm="1">
        <f t="array" aca="1" ref="R98" ca="1">IF($M98="","",_xlfn.LET(_xlpm.min,MIN(_xlfn.MAP(_xlfn.TEXTSPLIT($M98,","),_xlfn.LAMBDA(_xlpm.ref,IFERROR(INDEX(INDIRECT("'"&amp;_xlpm.ref&amp;"'!$AE$5:$OE$5"),MATCH(TRUE,INDEX(INDIRECT("'" &amp; _xlpm.ref &amp; "'!$AE$" &amp; (ROW(INDIRECT("'"&amp;_xlpm.ref&amp;"'!$B$14"))-1 + MATCH($A98, INDIRECT("'" &amp; _xlpm.ref &amp; "'!$B$14:$B$150"), 0)) &amp; ":$OE$" &amp; (ROW(INDIRECT("'"&amp;_xlpm.ref&amp;"'!$B$14"))-1 + MATCH($A98, INDIRECT("'" &amp; _xlpm.ref &amp; "'!$B$14:$B$150"), 0)))&lt;&gt;"",0),0)),"")))),IF(_xlpm.min=0,"",_xlpm.min)))</f>
        <v/>
      </c>
      <c r="S98" s="4" t="str" cm="1">
        <f t="array" aca="1" ref="S98" ca="1">IF($M98="","",SUM(_xlfn.MAP(_xlfn.TEXTSPLIT($M98,","),_xlfn.LAMBDA(_xlpm.ref,_xlfn.XLOOKUP($A98,INDIRECT("'"&amp;_xlpm.ref&amp;"'!$B$14:$B$150"),INDIRECT("'"&amp;_xlpm.ref&amp;"'!$E$14:$E$150"),0)))))</f>
        <v/>
      </c>
      <c r="T98" s="4" t="str" cm="1">
        <f t="array" aca="1" ref="T98" ca="1">IF($M98="","",SUM(_xlfn.MAP(_xlfn.TEXTSPLIT($M98,","),_xlfn.LAMBDA(_xlpm.ref,_xlfn.XLOOKUP($A98,INDIRECT("'"&amp;_xlpm.ref&amp;"'!$B$14:$B$150"),INDIRECT("'"&amp;_xlpm.ref&amp;"'!$F$14:$F$150"),0)))))</f>
        <v/>
      </c>
      <c r="U98" s="61" t="str" cm="1">
        <f t="array" aca="1" ref="U98" ca="1">IF($O98="Completed",MAX(IFERROR(_xlfn.MAP(_xlfn.TEXTSPLIT($M98, ","),_xlfn.LAMBDA(_xlpm.ref,INDEX(INDIRECT("'" &amp; _xlpm.ref &amp; "'!AE5:OE5"),1,LOOKUP(2,1 / (INDIRECT("'" &amp; _xlpm.ref &amp; "'!AE"&amp;(ROW(INDIRECT("'"&amp;_xlpm.ref&amp;"'!$B$14"))-1 + MATCH($A98, INDIRECT("'" &amp; _xlpm.ref &amp; "'!$B$14:$B$150"), 0)) &amp;":OE"&amp;(ROW(INDIRECT("'"&amp;_xlpm.ref&amp;"'!$B$14"))-1 + MATCH($A98, INDIRECT("'" &amp; _xlpm.ref &amp; "'!$B$14:$B$150"), 0)) ) &lt;&gt; ""),COLUMN($AD$14:$OD$14) - COLUMN($AD$14) + 1 )))),"")),"")</f>
        <v/>
      </c>
      <c r="V98" s="167" t="str">
        <f t="shared" ca="1" si="0"/>
        <v/>
      </c>
    </row>
    <row r="99" spans="1:22">
      <c r="A99" s="127"/>
      <c r="B99" s="127"/>
      <c r="C99" s="128"/>
      <c r="D99" s="128"/>
      <c r="E99" s="127"/>
      <c r="F99" s="127"/>
      <c r="G99" s="127"/>
      <c r="H99" s="127"/>
      <c r="I99" s="127"/>
      <c r="J99" s="127"/>
      <c r="K99" s="127"/>
      <c r="L99" s="127"/>
      <c r="M99" s="56" t="str" cm="1">
        <f t="array" aca="1" ref="M99" ca="1">IF($A99="","",_xlfn.TEXTJOIN(",",TRUE,_xlfn.MAP(_xlfn._xlws.FILTER(Team_Members,Team_Members&lt;&gt;""),_xlfn.LAMBDA(_xlpm.x,IFERROR(IF(_xlfn.XMATCH($A99,INDIRECT("'"&amp;_xlpm.x&amp;"'!$B$14:$B$150"))&gt;0,_xlpm.x),"")))))</f>
        <v/>
      </c>
      <c r="N99" s="127"/>
      <c r="O99" s="4" t="str" cm="1">
        <f t="array" aca="1" ref="O99" ca="1">IFERROR(_xlfn.LET(_xlpm.Lst,_xlfn.MAP(Team_Members,_xlfn.LAMBDA(_xlpm.x,IFERROR(_xlfn.XLOOKUP($A99,INDIRECT("'"&amp;_xlpm.x&amp;"'!$B$14:$B$150"),INDIRECT("'"&amp;_xlpm.x&amp;"'!$D$14:$D$150")),""))),_xlpm.F_Lst,_xlfn._xlws.FILTER(_xlpm.Lst,_xlpm.Lst&lt;&gt;""),IF(COUNTA(_xlfn.UNIQUE(_xlpm.F_Lst))=1,INDEX(_xlpm.F_Lst,1),"WIP")),"")</f>
        <v/>
      </c>
      <c r="P99" s="127"/>
      <c r="Q99" s="127"/>
      <c r="R99" s="58" t="str" cm="1">
        <f t="array" aca="1" ref="R99" ca="1">IF($M99="","",_xlfn.LET(_xlpm.min,MIN(_xlfn.MAP(_xlfn.TEXTSPLIT($M99,","),_xlfn.LAMBDA(_xlpm.ref,IFERROR(INDEX(INDIRECT("'"&amp;_xlpm.ref&amp;"'!$AE$5:$OE$5"),MATCH(TRUE,INDEX(INDIRECT("'" &amp; _xlpm.ref &amp; "'!$AE$" &amp; (ROW(INDIRECT("'"&amp;_xlpm.ref&amp;"'!$B$14"))-1 + MATCH($A99, INDIRECT("'" &amp; _xlpm.ref &amp; "'!$B$14:$B$150"), 0)) &amp; ":$OE$" &amp; (ROW(INDIRECT("'"&amp;_xlpm.ref&amp;"'!$B$14"))-1 + MATCH($A99, INDIRECT("'" &amp; _xlpm.ref &amp; "'!$B$14:$B$150"), 0)))&lt;&gt;"",0),0)),"")))),IF(_xlpm.min=0,"",_xlpm.min)))</f>
        <v/>
      </c>
      <c r="S99" s="4" t="str" cm="1">
        <f t="array" aca="1" ref="S99" ca="1">IF($M99="","",SUM(_xlfn.MAP(_xlfn.TEXTSPLIT($M99,","),_xlfn.LAMBDA(_xlpm.ref,_xlfn.XLOOKUP($A99,INDIRECT("'"&amp;_xlpm.ref&amp;"'!$B$14:$B$150"),INDIRECT("'"&amp;_xlpm.ref&amp;"'!$E$14:$E$150"),0)))))</f>
        <v/>
      </c>
      <c r="T99" s="4" t="str" cm="1">
        <f t="array" aca="1" ref="T99" ca="1">IF($M99="","",SUM(_xlfn.MAP(_xlfn.TEXTSPLIT($M99,","),_xlfn.LAMBDA(_xlpm.ref,_xlfn.XLOOKUP($A99,INDIRECT("'"&amp;_xlpm.ref&amp;"'!$B$14:$B$150"),INDIRECT("'"&amp;_xlpm.ref&amp;"'!$F$14:$F$150"),0)))))</f>
        <v/>
      </c>
      <c r="U99" s="61" t="str" cm="1">
        <f t="array" aca="1" ref="U99" ca="1">IF($O99="Completed",MAX(IFERROR(_xlfn.MAP(_xlfn.TEXTSPLIT($M99, ","),_xlfn.LAMBDA(_xlpm.ref,INDEX(INDIRECT("'" &amp; _xlpm.ref &amp; "'!AE5:OE5"),1,LOOKUP(2,1 / (INDIRECT("'" &amp; _xlpm.ref &amp; "'!AE"&amp;(ROW(INDIRECT("'"&amp;_xlpm.ref&amp;"'!$B$14"))-1 + MATCH($A99, INDIRECT("'" &amp; _xlpm.ref &amp; "'!$B$14:$B$150"), 0)) &amp;":OE"&amp;(ROW(INDIRECT("'"&amp;_xlpm.ref&amp;"'!$B$14"))-1 + MATCH($A99, INDIRECT("'" &amp; _xlpm.ref &amp; "'!$B$14:$B$150"), 0)) ) &lt;&gt; ""),COLUMN($AD$14:$OD$14) - COLUMN($AD$14) + 1 )))),"")),"")</f>
        <v/>
      </c>
      <c r="V99" s="167" t="str">
        <f t="shared" ca="1" si="0"/>
        <v/>
      </c>
    </row>
    <row r="100" spans="1:22">
      <c r="A100" s="127"/>
      <c r="B100" s="127"/>
      <c r="C100" s="128"/>
      <c r="D100" s="128"/>
      <c r="E100" s="127"/>
      <c r="F100" s="127"/>
      <c r="G100" s="127"/>
      <c r="H100" s="127"/>
      <c r="I100" s="127"/>
      <c r="J100" s="127"/>
      <c r="K100" s="127"/>
      <c r="L100" s="127"/>
      <c r="M100" s="56" t="str" cm="1">
        <f t="array" aca="1" ref="M100" ca="1">IF($A100="","",_xlfn.TEXTJOIN(",",TRUE,_xlfn.MAP(_xlfn._xlws.FILTER(Team_Members,Team_Members&lt;&gt;""),_xlfn.LAMBDA(_xlpm.x,IFERROR(IF(_xlfn.XMATCH($A100,INDIRECT("'"&amp;_xlpm.x&amp;"'!$B$14:$B$150"))&gt;0,_xlpm.x),"")))))</f>
        <v/>
      </c>
      <c r="N100" s="127"/>
      <c r="O100" s="4" t="str" cm="1">
        <f t="array" aca="1" ref="O100" ca="1">IFERROR(_xlfn.LET(_xlpm.Lst,_xlfn.MAP(Team_Members,_xlfn.LAMBDA(_xlpm.x,IFERROR(_xlfn.XLOOKUP($A100,INDIRECT("'"&amp;_xlpm.x&amp;"'!$B$14:$B$150"),INDIRECT("'"&amp;_xlpm.x&amp;"'!$D$14:$D$150")),""))),_xlpm.F_Lst,_xlfn._xlws.FILTER(_xlpm.Lst,_xlpm.Lst&lt;&gt;""),IF(COUNTA(_xlfn.UNIQUE(_xlpm.F_Lst))=1,INDEX(_xlpm.F_Lst,1),"WIP")),"")</f>
        <v/>
      </c>
      <c r="P100" s="127"/>
      <c r="Q100" s="127"/>
      <c r="R100" s="58" t="str" cm="1">
        <f t="array" aca="1" ref="R100" ca="1">IF($M100="","",_xlfn.LET(_xlpm.min,MIN(_xlfn.MAP(_xlfn.TEXTSPLIT($M100,","),_xlfn.LAMBDA(_xlpm.ref,IFERROR(INDEX(INDIRECT("'"&amp;_xlpm.ref&amp;"'!$AE$5:$OE$5"),MATCH(TRUE,INDEX(INDIRECT("'" &amp; _xlpm.ref &amp; "'!$AE$" &amp; (ROW(INDIRECT("'"&amp;_xlpm.ref&amp;"'!$B$14"))-1 + MATCH($A100, INDIRECT("'" &amp; _xlpm.ref &amp; "'!$B$14:$B$150"), 0)) &amp; ":$OE$" &amp; (ROW(INDIRECT("'"&amp;_xlpm.ref&amp;"'!$B$14"))-1 + MATCH($A100, INDIRECT("'" &amp; _xlpm.ref &amp; "'!$B$14:$B$150"), 0)))&lt;&gt;"",0),0)),"")))),IF(_xlpm.min=0,"",_xlpm.min)))</f>
        <v/>
      </c>
      <c r="S100" s="4" t="str" cm="1">
        <f t="array" aca="1" ref="S100" ca="1">IF($M100="","",SUM(_xlfn.MAP(_xlfn.TEXTSPLIT($M100,","),_xlfn.LAMBDA(_xlpm.ref,_xlfn.XLOOKUP($A100,INDIRECT("'"&amp;_xlpm.ref&amp;"'!$B$14:$B$150"),INDIRECT("'"&amp;_xlpm.ref&amp;"'!$E$14:$E$150"),0)))))</f>
        <v/>
      </c>
      <c r="T100" s="4" t="str" cm="1">
        <f t="array" aca="1" ref="T100" ca="1">IF($M100="","",SUM(_xlfn.MAP(_xlfn.TEXTSPLIT($M100,","),_xlfn.LAMBDA(_xlpm.ref,_xlfn.XLOOKUP($A100,INDIRECT("'"&amp;_xlpm.ref&amp;"'!$B$14:$B$150"),INDIRECT("'"&amp;_xlpm.ref&amp;"'!$F$14:$F$150"),0)))))</f>
        <v/>
      </c>
      <c r="U100" s="61" t="str" cm="1">
        <f t="array" aca="1" ref="U100" ca="1">IF($O100="Completed",MAX(IFERROR(_xlfn.MAP(_xlfn.TEXTSPLIT($M100, ","),_xlfn.LAMBDA(_xlpm.ref,INDEX(INDIRECT("'" &amp; _xlpm.ref &amp; "'!AE5:OE5"),1,LOOKUP(2,1 / (INDIRECT("'" &amp; _xlpm.ref &amp; "'!AE"&amp;(ROW(INDIRECT("'"&amp;_xlpm.ref&amp;"'!$B$14"))-1 + MATCH($A100, INDIRECT("'" &amp; _xlpm.ref &amp; "'!$B$14:$B$150"), 0)) &amp;":OE"&amp;(ROW(INDIRECT("'"&amp;_xlpm.ref&amp;"'!$B$14"))-1 + MATCH($A100, INDIRECT("'" &amp; _xlpm.ref &amp; "'!$B$14:$B$150"), 0)) ) &lt;&gt; ""),COLUMN($AD$14:$OD$14) - COLUMN($AD$14) + 1 )))),"")),"")</f>
        <v/>
      </c>
      <c r="V100" s="167" t="str">
        <f t="shared" ca="1" si="0"/>
        <v/>
      </c>
    </row>
  </sheetData>
  <sheetProtection sheet="1" objects="1" scenarios="1" sort="0" autoFilter="0"/>
  <autoFilter ref="A2:V102" xr:uid="{29E8B3FD-0D49-401F-94BE-2F9C541055D4}"/>
  <phoneticPr fontId="11" type="noConversion"/>
  <conditionalFormatting sqref="A3:V100">
    <cfRule type="expression" dxfId="112" priority="2">
      <formula>$O3="Review"</formula>
    </cfRule>
    <cfRule type="expression" dxfId="111" priority="3">
      <formula>$O3="Cancelled"</formula>
    </cfRule>
  </conditionalFormatting>
  <conditionalFormatting sqref="A3:W100">
    <cfRule type="expression" dxfId="110" priority="4">
      <formula>$O3="Hold"</formula>
    </cfRule>
  </conditionalFormatting>
  <conditionalFormatting sqref="A3:W100">
    <cfRule type="expression" dxfId="109" priority="1">
      <formula>$O3="COMPLETED"</formula>
    </cfRule>
    <cfRule type="expression" dxfId="108" priority="5">
      <formula>$O3="WIP"</formula>
    </cfRule>
  </conditionalFormatting>
  <dataValidations count="9">
    <dataValidation type="list" allowBlank="1" showInputMessage="1" showErrorMessage="1" sqref="K37:K1048576 K3:K35" xr:uid="{1372912E-52B8-4158-B438-799DD8985F88}">
      <formula1>Team_Members</formula1>
    </dataValidation>
    <dataValidation type="list" allowBlank="1" showInputMessage="1" showErrorMessage="1" sqref="E3:E1048576" xr:uid="{D12513E4-A47E-4156-BAD9-34C680D51369}">
      <formula1>Task_Type</formula1>
    </dataValidation>
    <dataValidation type="list" allowBlank="1" showInputMessage="1" showErrorMessage="1" sqref="H3:H1048576" xr:uid="{0F2F8217-9242-4580-96E5-17FF486B0FC5}">
      <formula1>Segments</formula1>
    </dataValidation>
    <dataValidation type="list" allowBlank="1" showInputMessage="1" showErrorMessage="1" sqref="N3:N1048576" xr:uid="{97166558-2554-4D98-9C70-6754F0F44C6A}">
      <formula1>Priority</formula1>
    </dataValidation>
    <dataValidation type="list" allowBlank="1" showInputMessage="1" showErrorMessage="1" sqref="F3:F1048576" xr:uid="{83FEEB23-FE40-4119-81AD-DF9305BDE02B}">
      <formula1>Business_unit</formula1>
    </dataValidation>
    <dataValidation type="list" allowBlank="1" showInputMessage="1" showErrorMessage="1" sqref="G3:G1048576" xr:uid="{54695D8D-CC95-4BC4-B448-C9FB9C374589}">
      <formula1>Product_Family</formula1>
    </dataValidation>
    <dataValidation type="list" allowBlank="1" showInputMessage="1" showErrorMessage="1" sqref="I3:I1048576" xr:uid="{87E7661E-B9DE-4497-B70B-90B13EAE53FD}">
      <formula1>Application</formula1>
    </dataValidation>
    <dataValidation type="list" allowBlank="1" showInputMessage="1" showErrorMessage="1" sqref="J3:J1048576" xr:uid="{F03DC54E-E1F7-423E-8CAF-E277A91229D6}">
      <formula1>Customer</formula1>
    </dataValidation>
    <dataValidation type="list" allowBlank="1" showInputMessage="1" showErrorMessage="1" sqref="L3:L1048576" xr:uid="{E75257A8-60B6-424A-8BBA-CCBA2A81C587}">
      <formula1>Orgin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2D1EB-4187-466B-A67B-BD06E2369880}">
  <sheetPr>
    <tabColor theme="1"/>
  </sheetPr>
  <dimension ref="A1:OE150"/>
  <sheetViews>
    <sheetView tabSelected="1" topLeftCell="EX4" workbookViewId="0">
      <selection activeCell="EH18" sqref="EH18"/>
    </sheetView>
  </sheetViews>
  <sheetFormatPr defaultColWidth="8.5703125" defaultRowHeight="14.45"/>
  <cols>
    <col min="1" max="1" width="4.42578125" style="5" bestFit="1" customWidth="1"/>
    <col min="2" max="2" width="29.5703125" style="27" customWidth="1"/>
    <col min="3" max="3" width="46.5703125" style="6" customWidth="1"/>
    <col min="4" max="4" width="13.42578125" style="1" customWidth="1"/>
    <col min="5" max="5" width="9" style="7" customWidth="1"/>
    <col min="6" max="6" width="8.42578125" style="7" customWidth="1"/>
    <col min="7" max="7" width="7.85546875" style="8" customWidth="1"/>
    <col min="8" max="30" width="4.5703125" style="8" customWidth="1"/>
    <col min="31" max="104" width="5.42578125" style="26" hidden="1" customWidth="1"/>
    <col min="105" max="395" width="5.42578125" style="26" customWidth="1"/>
  </cols>
  <sheetData>
    <row r="1" spans="1:395" ht="15" thickBot="1">
      <c r="A1" s="39"/>
      <c r="B1" s="40"/>
      <c r="C1" s="41"/>
      <c r="D1" s="42" t="s">
        <v>56</v>
      </c>
      <c r="E1" s="203" t="e" cm="1">
        <f t="array" aca="1" ref="E1" ca="1">VLOOKUP(_xlfn.TEXTAFTER(CELL("filename",A1),"]"), Leave!$B$2:$C$15, 2, 0)</f>
        <v>#VALUE!</v>
      </c>
      <c r="F1" s="204"/>
      <c r="G1" s="43"/>
      <c r="H1" s="43"/>
      <c r="I1" s="43"/>
      <c r="J1" s="43"/>
      <c r="K1" s="43"/>
      <c r="L1" s="43"/>
      <c r="M1" s="43"/>
      <c r="N1" s="43"/>
      <c r="O1" s="43"/>
      <c r="P1" s="43"/>
      <c r="Q1" s="43"/>
      <c r="R1" s="43"/>
      <c r="S1" s="43"/>
      <c r="T1" s="43"/>
      <c r="U1" s="43"/>
      <c r="V1" s="43"/>
      <c r="W1" s="43"/>
      <c r="X1" s="43"/>
      <c r="Y1" s="43"/>
      <c r="Z1" s="43"/>
      <c r="AA1" s="43"/>
      <c r="AB1" s="43"/>
      <c r="AC1" s="43"/>
      <c r="AD1" s="43"/>
      <c r="AE1" s="114"/>
      <c r="AF1" s="114"/>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BE1" s="115"/>
      <c r="BF1" s="115"/>
      <c r="BG1" s="115"/>
      <c r="BH1" s="115"/>
      <c r="BI1" s="115"/>
      <c r="BJ1" s="115"/>
      <c r="BK1" s="115"/>
      <c r="BL1" s="115"/>
      <c r="BM1" s="115"/>
      <c r="BN1" s="115"/>
      <c r="BO1" s="115"/>
      <c r="BP1" s="115"/>
      <c r="BQ1" s="115"/>
      <c r="BR1" s="115"/>
      <c r="BS1" s="115"/>
      <c r="BT1" s="115"/>
      <c r="BU1" s="115"/>
      <c r="BV1" s="115"/>
      <c r="BW1" s="115"/>
      <c r="BX1" s="115"/>
      <c r="BY1" s="115"/>
      <c r="BZ1" s="115"/>
      <c r="CA1" s="115"/>
      <c r="CB1" s="115"/>
      <c r="CC1" s="115"/>
      <c r="CD1" s="115"/>
      <c r="CE1" s="115"/>
      <c r="CF1" s="115"/>
      <c r="CG1" s="115"/>
      <c r="CH1" s="115"/>
      <c r="CI1" s="115"/>
      <c r="CJ1" s="115"/>
      <c r="CK1" s="115"/>
      <c r="CL1" s="115"/>
      <c r="CM1" s="115"/>
      <c r="CN1" s="115"/>
      <c r="CO1" s="115"/>
      <c r="CP1" s="115"/>
      <c r="CQ1" s="115"/>
      <c r="CR1" s="115"/>
      <c r="CS1" s="115"/>
      <c r="CT1" s="115"/>
      <c r="CU1" s="115"/>
      <c r="CV1" s="115"/>
      <c r="CW1" s="115"/>
      <c r="CX1" s="115"/>
      <c r="CY1" s="115"/>
      <c r="CZ1" s="115"/>
      <c r="DA1" s="115"/>
      <c r="DB1" s="115"/>
      <c r="DC1" s="115"/>
      <c r="DD1" s="115"/>
      <c r="DE1" s="115"/>
      <c r="DF1" s="115"/>
      <c r="DG1" s="115"/>
      <c r="DH1" s="115"/>
      <c r="DI1" s="115"/>
      <c r="DJ1" s="115"/>
      <c r="DK1" s="115"/>
      <c r="DL1" s="115"/>
      <c r="DM1" s="115"/>
      <c r="DN1" s="115"/>
      <c r="DO1" s="115"/>
      <c r="DP1" s="115"/>
      <c r="DQ1" s="115"/>
      <c r="DR1" s="115"/>
      <c r="DS1" s="115"/>
      <c r="DT1" s="115"/>
      <c r="DU1" s="115"/>
      <c r="DV1" s="115"/>
      <c r="DW1" s="115"/>
      <c r="DX1" s="115"/>
      <c r="DY1" s="115"/>
      <c r="DZ1" s="115"/>
      <c r="EA1" s="115"/>
      <c r="EB1" s="115"/>
      <c r="EC1" s="115"/>
      <c r="ED1" s="115"/>
      <c r="EE1" s="115"/>
      <c r="EF1" s="115"/>
      <c r="EG1" s="115"/>
      <c r="EH1" s="115"/>
      <c r="EI1" s="115"/>
      <c r="EJ1" s="115"/>
      <c r="EK1" s="115"/>
      <c r="EL1" s="115"/>
      <c r="EM1" s="115"/>
      <c r="EN1" s="115"/>
      <c r="EO1" s="115"/>
      <c r="EP1" s="115"/>
      <c r="EQ1" s="115"/>
      <c r="ER1" s="115"/>
      <c r="ES1" s="115"/>
      <c r="ET1" s="115"/>
      <c r="EU1" s="115"/>
      <c r="EV1" s="115"/>
      <c r="EW1" s="115"/>
      <c r="EX1" s="115"/>
      <c r="EY1" s="115"/>
      <c r="EZ1" s="115"/>
      <c r="FA1" s="115"/>
      <c r="FB1" s="115"/>
      <c r="FC1" s="115"/>
      <c r="FD1" s="115"/>
      <c r="FE1" s="115"/>
      <c r="FF1" s="115"/>
      <c r="FG1" s="115"/>
      <c r="FH1" s="115"/>
      <c r="FI1" s="115"/>
      <c r="FJ1" s="115"/>
      <c r="FK1" s="115"/>
      <c r="FL1" s="115"/>
      <c r="FM1" s="115"/>
      <c r="FN1" s="115"/>
      <c r="FO1" s="115"/>
      <c r="FP1" s="115"/>
      <c r="FQ1" s="115"/>
      <c r="FR1" s="115"/>
      <c r="FS1" s="115"/>
      <c r="FT1" s="115"/>
      <c r="FU1" s="115"/>
      <c r="FV1" s="115"/>
      <c r="FW1" s="115"/>
      <c r="FX1" s="115"/>
      <c r="FY1" s="115"/>
      <c r="FZ1" s="115"/>
      <c r="GA1" s="115"/>
      <c r="GB1" s="115"/>
      <c r="GC1" s="115"/>
      <c r="GD1" s="115"/>
      <c r="GE1" s="115"/>
      <c r="GF1" s="115"/>
      <c r="GG1" s="115"/>
      <c r="GH1" s="115"/>
      <c r="GI1" s="115"/>
      <c r="GJ1" s="115"/>
      <c r="GK1" s="115"/>
      <c r="GL1" s="115"/>
      <c r="GM1" s="115"/>
      <c r="GN1" s="115"/>
      <c r="GO1" s="115"/>
      <c r="GP1" s="115"/>
      <c r="GQ1" s="115"/>
      <c r="GR1" s="115"/>
      <c r="GS1" s="115"/>
      <c r="GT1" s="115"/>
      <c r="GU1" s="115"/>
      <c r="GV1" s="115"/>
      <c r="GW1" s="115"/>
      <c r="GX1" s="115"/>
      <c r="GY1" s="115"/>
      <c r="GZ1" s="115"/>
      <c r="HA1" s="115"/>
      <c r="HB1" s="115"/>
      <c r="HC1" s="115"/>
      <c r="HD1" s="115"/>
      <c r="HE1" s="115"/>
      <c r="HF1" s="115"/>
      <c r="HG1" s="115"/>
      <c r="HH1" s="115"/>
      <c r="HI1" s="115"/>
      <c r="HJ1" s="115"/>
      <c r="HK1" s="115"/>
      <c r="HL1" s="115"/>
      <c r="HM1" s="115"/>
      <c r="HN1" s="115"/>
      <c r="HO1" s="115"/>
      <c r="HP1" s="115"/>
      <c r="HQ1" s="115"/>
      <c r="HR1" s="115"/>
      <c r="HS1" s="115"/>
      <c r="HT1" s="115"/>
      <c r="HU1" s="115"/>
      <c r="HV1" s="115"/>
      <c r="HW1" s="115"/>
      <c r="HX1" s="115"/>
      <c r="HY1" s="115"/>
      <c r="HZ1" s="115"/>
      <c r="IA1" s="115"/>
      <c r="IB1" s="115"/>
      <c r="IC1" s="115"/>
      <c r="ID1" s="115"/>
      <c r="IE1" s="115"/>
      <c r="IF1" s="115"/>
      <c r="IG1" s="115"/>
      <c r="IH1" s="115"/>
      <c r="II1" s="115"/>
      <c r="IJ1" s="115"/>
      <c r="IK1" s="115"/>
      <c r="IL1" s="115"/>
      <c r="IM1" s="115"/>
      <c r="IN1" s="115"/>
      <c r="IO1" s="115"/>
      <c r="IP1" s="115"/>
      <c r="IQ1" s="115"/>
      <c r="IR1" s="115"/>
      <c r="IS1" s="115"/>
      <c r="IT1" s="115"/>
      <c r="IU1" s="115"/>
      <c r="IV1" s="115"/>
      <c r="IW1" s="115"/>
      <c r="IX1" s="115"/>
      <c r="IY1" s="115"/>
      <c r="IZ1" s="115"/>
      <c r="JA1" s="115"/>
      <c r="JB1" s="115"/>
      <c r="JC1" s="115"/>
      <c r="JD1" s="115"/>
      <c r="JE1" s="115"/>
      <c r="JF1" s="115"/>
      <c r="JG1" s="115"/>
      <c r="JH1" s="115"/>
      <c r="JI1" s="115"/>
      <c r="JJ1" s="115"/>
      <c r="JK1" s="115"/>
      <c r="JL1" s="115"/>
      <c r="JM1" s="115"/>
      <c r="JN1" s="115"/>
      <c r="JO1" s="115"/>
      <c r="JP1" s="115"/>
      <c r="JQ1" s="115"/>
      <c r="JR1" s="115"/>
      <c r="JS1" s="115"/>
      <c r="JT1" s="115"/>
      <c r="JU1" s="115"/>
      <c r="JV1" s="115"/>
      <c r="JW1" s="115"/>
      <c r="JX1" s="115"/>
      <c r="JY1" s="115"/>
      <c r="JZ1" s="115"/>
      <c r="KA1" s="115"/>
      <c r="KB1" s="115"/>
      <c r="KC1" s="115"/>
      <c r="KD1" s="115"/>
      <c r="KE1" s="115"/>
      <c r="KF1" s="115"/>
      <c r="KG1" s="115"/>
      <c r="KH1" s="115"/>
      <c r="KI1" s="115"/>
      <c r="KJ1" s="115"/>
      <c r="KK1" s="115"/>
      <c r="KL1" s="115"/>
      <c r="KM1" s="115"/>
      <c r="KN1" s="115"/>
      <c r="KO1" s="115"/>
      <c r="KP1" s="115"/>
      <c r="KQ1" s="115"/>
      <c r="KR1" s="115"/>
      <c r="KS1" s="115"/>
      <c r="KT1" s="115"/>
      <c r="KU1" s="115"/>
      <c r="KV1" s="115"/>
      <c r="KW1" s="115"/>
      <c r="KX1" s="115"/>
      <c r="KY1" s="115"/>
      <c r="KZ1" s="115"/>
      <c r="LA1" s="115"/>
      <c r="LB1" s="115"/>
      <c r="LC1" s="115"/>
      <c r="LD1" s="115"/>
      <c r="LE1" s="115"/>
      <c r="LF1" s="115"/>
      <c r="LG1" s="115"/>
      <c r="LH1" s="115"/>
      <c r="LI1" s="115"/>
      <c r="LJ1" s="115"/>
      <c r="LK1" s="115"/>
      <c r="LL1" s="115"/>
      <c r="LM1" s="115"/>
      <c r="LN1" s="115"/>
      <c r="LO1" s="115"/>
      <c r="LP1" s="115"/>
      <c r="LQ1" s="115"/>
      <c r="LR1" s="115"/>
      <c r="LS1" s="115"/>
      <c r="LT1" s="115"/>
      <c r="LU1" s="115"/>
      <c r="LV1" s="115"/>
      <c r="LW1" s="115"/>
      <c r="LX1" s="115"/>
      <c r="LY1" s="115"/>
      <c r="LZ1" s="115"/>
      <c r="MA1" s="115"/>
      <c r="MB1" s="115"/>
      <c r="MC1" s="115"/>
      <c r="MD1" s="115"/>
      <c r="ME1" s="115"/>
      <c r="MF1" s="115"/>
      <c r="MG1" s="115"/>
      <c r="MH1" s="115"/>
      <c r="MI1" s="115"/>
      <c r="MJ1" s="115"/>
      <c r="MK1" s="115"/>
      <c r="ML1" s="115"/>
      <c r="MM1" s="115"/>
      <c r="MN1" s="115"/>
      <c r="MO1" s="115"/>
      <c r="MP1" s="115"/>
      <c r="MQ1" s="115"/>
      <c r="MR1" s="115"/>
      <c r="MS1" s="115"/>
      <c r="MT1" s="115"/>
      <c r="MU1" s="115"/>
      <c r="MV1" s="115"/>
      <c r="MW1" s="115"/>
      <c r="MX1" s="115"/>
      <c r="MY1" s="115"/>
      <c r="MZ1" s="115"/>
      <c r="NA1" s="115"/>
      <c r="NB1" s="115"/>
      <c r="NC1" s="115"/>
      <c r="ND1" s="115"/>
      <c r="NE1" s="115"/>
      <c r="NF1" s="115"/>
      <c r="NG1" s="115"/>
      <c r="NH1" s="115"/>
      <c r="NI1" s="115"/>
      <c r="NJ1" s="115"/>
      <c r="NK1" s="115"/>
      <c r="NL1" s="115"/>
      <c r="NM1" s="115"/>
      <c r="NN1" s="115"/>
      <c r="NO1" s="115"/>
      <c r="NP1" s="115"/>
      <c r="NQ1" s="115"/>
      <c r="NR1" s="115"/>
      <c r="NS1" s="115"/>
      <c r="NT1" s="115"/>
      <c r="NU1" s="115"/>
      <c r="NV1" s="115"/>
      <c r="NW1" s="115"/>
      <c r="NX1" s="115"/>
      <c r="NY1" s="115"/>
      <c r="NZ1" s="115"/>
      <c r="OA1" s="115"/>
      <c r="OB1" s="115"/>
      <c r="OC1" s="115"/>
      <c r="OD1" s="115"/>
      <c r="OE1" s="116"/>
    </row>
    <row r="2" spans="1:395" ht="14.85" customHeight="1" thickBot="1">
      <c r="A2" s="205" t="s">
        <v>57</v>
      </c>
      <c r="B2" s="206" t="s">
        <v>58</v>
      </c>
      <c r="C2" s="206" t="s">
        <v>3</v>
      </c>
      <c r="D2" s="206" t="s">
        <v>15</v>
      </c>
      <c r="E2" s="206" t="s">
        <v>59</v>
      </c>
      <c r="F2" s="207" t="s">
        <v>20</v>
      </c>
      <c r="G2" s="214" t="s">
        <v>60</v>
      </c>
      <c r="H2" s="215"/>
      <c r="I2" s="215"/>
      <c r="J2" s="215"/>
      <c r="K2" s="215"/>
      <c r="L2" s="215"/>
      <c r="M2" s="215"/>
      <c r="N2" s="215"/>
      <c r="O2" s="215"/>
      <c r="P2" s="215"/>
      <c r="Q2" s="215"/>
      <c r="R2" s="215"/>
      <c r="S2" s="215"/>
      <c r="T2" s="215"/>
      <c r="U2" s="215"/>
      <c r="V2" s="215"/>
      <c r="W2" s="215"/>
      <c r="X2" s="215"/>
      <c r="Y2" s="215"/>
      <c r="Z2" s="215"/>
      <c r="AA2" s="215"/>
      <c r="AB2" s="215"/>
      <c r="AC2" s="215"/>
      <c r="AD2" s="216"/>
      <c r="AE2" s="213" t="str">
        <f>TEXT(AE5, "mmmm")</f>
        <v>January</v>
      </c>
      <c r="AF2" s="217"/>
      <c r="AG2" s="217"/>
      <c r="AH2" s="217"/>
      <c r="AI2" s="217"/>
      <c r="AJ2" s="217"/>
      <c r="AK2" s="217"/>
      <c r="AL2" s="217"/>
      <c r="AM2" s="217"/>
      <c r="AN2" s="217"/>
      <c r="AO2" s="217"/>
      <c r="AP2" s="217"/>
      <c r="AQ2" s="217"/>
      <c r="AR2" s="217"/>
      <c r="AS2" s="217"/>
      <c r="AT2" s="217"/>
      <c r="AU2" s="217"/>
      <c r="AV2" s="217"/>
      <c r="AW2" s="217"/>
      <c r="AX2" s="217"/>
      <c r="AY2" s="217"/>
      <c r="AZ2" s="217"/>
      <c r="BA2" s="217"/>
      <c r="BB2" s="217"/>
      <c r="BC2" s="217"/>
      <c r="BD2" s="217"/>
      <c r="BE2" s="217"/>
      <c r="BF2" s="217"/>
      <c r="BG2" s="217"/>
      <c r="BH2" s="217"/>
      <c r="BI2" s="217"/>
      <c r="BJ2" s="208" t="str">
        <f>TEXT(BJ5, "mmmm")</f>
        <v>February</v>
      </c>
      <c r="BK2" s="209"/>
      <c r="BL2" s="209"/>
      <c r="BM2" s="209"/>
      <c r="BN2" s="209"/>
      <c r="BO2" s="209"/>
      <c r="BP2" s="209"/>
      <c r="BQ2" s="209"/>
      <c r="BR2" s="209"/>
      <c r="BS2" s="209"/>
      <c r="BT2" s="209"/>
      <c r="BU2" s="209"/>
      <c r="BV2" s="209"/>
      <c r="BW2" s="209"/>
      <c r="BX2" s="209"/>
      <c r="BY2" s="209"/>
      <c r="BZ2" s="209"/>
      <c r="CA2" s="209"/>
      <c r="CB2" s="209"/>
      <c r="CC2" s="209"/>
      <c r="CD2" s="209"/>
      <c r="CE2" s="209"/>
      <c r="CF2" s="209"/>
      <c r="CG2" s="209"/>
      <c r="CH2" s="209"/>
      <c r="CI2" s="209"/>
      <c r="CJ2" s="209"/>
      <c r="CK2" s="213"/>
      <c r="CL2" s="208" t="str">
        <f>TEXT(CL5, "mmmm")</f>
        <v>March</v>
      </c>
      <c r="CM2" s="209"/>
      <c r="CN2" s="209"/>
      <c r="CO2" s="209"/>
      <c r="CP2" s="209"/>
      <c r="CQ2" s="209"/>
      <c r="CR2" s="209"/>
      <c r="CS2" s="209"/>
      <c r="CT2" s="209"/>
      <c r="CU2" s="209"/>
      <c r="CV2" s="209"/>
      <c r="CW2" s="209"/>
      <c r="CX2" s="209"/>
      <c r="CY2" s="209"/>
      <c r="CZ2" s="209"/>
      <c r="DA2" s="209"/>
      <c r="DB2" s="209"/>
      <c r="DC2" s="209"/>
      <c r="DD2" s="209"/>
      <c r="DE2" s="209"/>
      <c r="DF2" s="209"/>
      <c r="DG2" s="209"/>
      <c r="DH2" s="209"/>
      <c r="DI2" s="209"/>
      <c r="DJ2" s="209"/>
      <c r="DK2" s="209"/>
      <c r="DL2" s="209"/>
      <c r="DM2" s="209"/>
      <c r="DN2" s="209"/>
      <c r="DO2" s="209"/>
      <c r="DP2" s="213"/>
      <c r="DQ2" s="208" t="str">
        <f>TEXT(DQ5, "mmmm")</f>
        <v>April</v>
      </c>
      <c r="DR2" s="209"/>
      <c r="DS2" s="209"/>
      <c r="DT2" s="209"/>
      <c r="DU2" s="209"/>
      <c r="DV2" s="209"/>
      <c r="DW2" s="209"/>
      <c r="DX2" s="209"/>
      <c r="DY2" s="209"/>
      <c r="DZ2" s="209"/>
      <c r="EA2" s="209"/>
      <c r="EB2" s="209"/>
      <c r="EC2" s="209"/>
      <c r="ED2" s="209"/>
      <c r="EE2" s="209"/>
      <c r="EF2" s="209"/>
      <c r="EG2" s="209"/>
      <c r="EH2" s="209"/>
      <c r="EI2" s="209"/>
      <c r="EJ2" s="209"/>
      <c r="EK2" s="209"/>
      <c r="EL2" s="209"/>
      <c r="EM2" s="209"/>
      <c r="EN2" s="209"/>
      <c r="EO2" s="209"/>
      <c r="EP2" s="209"/>
      <c r="EQ2" s="209"/>
      <c r="ER2" s="209"/>
      <c r="ES2" s="209"/>
      <c r="ET2" s="213"/>
      <c r="EU2" s="208" t="str">
        <f>TEXT(EU5, "mmmm")</f>
        <v>May</v>
      </c>
      <c r="EV2" s="209"/>
      <c r="EW2" s="209"/>
      <c r="EX2" s="209"/>
      <c r="EY2" s="209"/>
      <c r="EZ2" s="209"/>
      <c r="FA2" s="209"/>
      <c r="FB2" s="209"/>
      <c r="FC2" s="209"/>
      <c r="FD2" s="209"/>
      <c r="FE2" s="209"/>
      <c r="FF2" s="209"/>
      <c r="FG2" s="209"/>
      <c r="FH2" s="209"/>
      <c r="FI2" s="209"/>
      <c r="FJ2" s="209"/>
      <c r="FK2" s="209"/>
      <c r="FL2" s="209"/>
      <c r="FM2" s="209"/>
      <c r="FN2" s="209"/>
      <c r="FO2" s="209"/>
      <c r="FP2" s="209"/>
      <c r="FQ2" s="209"/>
      <c r="FR2" s="209"/>
      <c r="FS2" s="209"/>
      <c r="FT2" s="209"/>
      <c r="FU2" s="209"/>
      <c r="FV2" s="209"/>
      <c r="FW2" s="209"/>
      <c r="FX2" s="209"/>
      <c r="FY2" s="213"/>
      <c r="FZ2" s="208" t="str">
        <f>TEXT(FZ5, "mmmm")</f>
        <v>June</v>
      </c>
      <c r="GA2" s="209"/>
      <c r="GB2" s="209"/>
      <c r="GC2" s="209"/>
      <c r="GD2" s="209"/>
      <c r="GE2" s="209"/>
      <c r="GF2" s="209"/>
      <c r="GG2" s="209"/>
      <c r="GH2" s="209"/>
      <c r="GI2" s="209"/>
      <c r="GJ2" s="209"/>
      <c r="GK2" s="209"/>
      <c r="GL2" s="209"/>
      <c r="GM2" s="209"/>
      <c r="GN2" s="209"/>
      <c r="GO2" s="209"/>
      <c r="GP2" s="209"/>
      <c r="GQ2" s="209"/>
      <c r="GR2" s="209"/>
      <c r="GS2" s="209"/>
      <c r="GT2" s="209"/>
      <c r="GU2" s="209"/>
      <c r="GV2" s="209"/>
      <c r="GW2" s="209"/>
      <c r="GX2" s="209"/>
      <c r="GY2" s="209"/>
      <c r="GZ2" s="209"/>
      <c r="HA2" s="209"/>
      <c r="HB2" s="209"/>
      <c r="HC2" s="213"/>
      <c r="HD2" s="208" t="str">
        <f>TEXT(HD5, "mmmm")</f>
        <v>July</v>
      </c>
      <c r="HE2" s="209"/>
      <c r="HF2" s="209"/>
      <c r="HG2" s="209"/>
      <c r="HH2" s="209"/>
      <c r="HI2" s="209"/>
      <c r="HJ2" s="209"/>
      <c r="HK2" s="209"/>
      <c r="HL2" s="209"/>
      <c r="HM2" s="209"/>
      <c r="HN2" s="209"/>
      <c r="HO2" s="209"/>
      <c r="HP2" s="209"/>
      <c r="HQ2" s="209"/>
      <c r="HR2" s="209"/>
      <c r="HS2" s="209"/>
      <c r="HT2" s="209"/>
      <c r="HU2" s="209"/>
      <c r="HV2" s="209"/>
      <c r="HW2" s="209"/>
      <c r="HX2" s="209"/>
      <c r="HY2" s="209"/>
      <c r="HZ2" s="209"/>
      <c r="IA2" s="209"/>
      <c r="IB2" s="209"/>
      <c r="IC2" s="209"/>
      <c r="ID2" s="209"/>
      <c r="IE2" s="209"/>
      <c r="IF2" s="209"/>
      <c r="IG2" s="209"/>
      <c r="IH2" s="213"/>
      <c r="II2" s="208" t="str">
        <f>TEXT(II5, "mmmm")</f>
        <v>August</v>
      </c>
      <c r="IJ2" s="209"/>
      <c r="IK2" s="209"/>
      <c r="IL2" s="209"/>
      <c r="IM2" s="209"/>
      <c r="IN2" s="209"/>
      <c r="IO2" s="209"/>
      <c r="IP2" s="209"/>
      <c r="IQ2" s="209"/>
      <c r="IR2" s="209"/>
      <c r="IS2" s="209"/>
      <c r="IT2" s="209"/>
      <c r="IU2" s="209"/>
      <c r="IV2" s="209"/>
      <c r="IW2" s="209"/>
      <c r="IX2" s="209"/>
      <c r="IY2" s="209"/>
      <c r="IZ2" s="209"/>
      <c r="JA2" s="209"/>
      <c r="JB2" s="209"/>
      <c r="JC2" s="209"/>
      <c r="JD2" s="209"/>
      <c r="JE2" s="209"/>
      <c r="JF2" s="209"/>
      <c r="JG2" s="209"/>
      <c r="JH2" s="209"/>
      <c r="JI2" s="209"/>
      <c r="JJ2" s="209"/>
      <c r="JK2" s="209"/>
      <c r="JL2" s="209"/>
      <c r="JM2" s="213"/>
      <c r="JN2" s="208" t="str">
        <f>TEXT(JN5, "mmmm")</f>
        <v>September</v>
      </c>
      <c r="JO2" s="209"/>
      <c r="JP2" s="209"/>
      <c r="JQ2" s="209"/>
      <c r="JR2" s="209"/>
      <c r="JS2" s="209"/>
      <c r="JT2" s="209"/>
      <c r="JU2" s="209"/>
      <c r="JV2" s="209"/>
      <c r="JW2" s="209"/>
      <c r="JX2" s="209"/>
      <c r="JY2" s="209"/>
      <c r="JZ2" s="209"/>
      <c r="KA2" s="209"/>
      <c r="KB2" s="209"/>
      <c r="KC2" s="209"/>
      <c r="KD2" s="209"/>
      <c r="KE2" s="209"/>
      <c r="KF2" s="209"/>
      <c r="KG2" s="209"/>
      <c r="KH2" s="209"/>
      <c r="KI2" s="209"/>
      <c r="KJ2" s="209"/>
      <c r="KK2" s="209"/>
      <c r="KL2" s="209"/>
      <c r="KM2" s="209"/>
      <c r="KN2" s="209"/>
      <c r="KO2" s="209"/>
      <c r="KP2" s="209"/>
      <c r="KQ2" s="213"/>
      <c r="KR2" s="208" t="str">
        <f>TEXT(LT5, "mmmm")</f>
        <v>October</v>
      </c>
      <c r="KS2" s="209"/>
      <c r="KT2" s="209"/>
      <c r="KU2" s="209"/>
      <c r="KV2" s="209"/>
      <c r="KW2" s="209"/>
      <c r="KX2" s="209"/>
      <c r="KY2" s="209"/>
      <c r="KZ2" s="209"/>
      <c r="LA2" s="209"/>
      <c r="LB2" s="209"/>
      <c r="LC2" s="209"/>
      <c r="LD2" s="209"/>
      <c r="LE2" s="209"/>
      <c r="LF2" s="209"/>
      <c r="LG2" s="209"/>
      <c r="LH2" s="209"/>
      <c r="LI2" s="209"/>
      <c r="LJ2" s="209"/>
      <c r="LK2" s="209"/>
      <c r="LL2" s="209"/>
      <c r="LM2" s="209"/>
      <c r="LN2" s="209"/>
      <c r="LO2" s="209"/>
      <c r="LP2" s="209"/>
      <c r="LQ2" s="209"/>
      <c r="LR2" s="209"/>
      <c r="LS2" s="209"/>
      <c r="LT2" s="209"/>
      <c r="LU2" s="209"/>
      <c r="LV2" s="213"/>
      <c r="LW2" s="208" t="str">
        <f>TEXT(LW5, "mmmm")</f>
        <v>November</v>
      </c>
      <c r="LX2" s="209"/>
      <c r="LY2" s="209"/>
      <c r="LZ2" s="209"/>
      <c r="MA2" s="209"/>
      <c r="MB2" s="209"/>
      <c r="MC2" s="209"/>
      <c r="MD2" s="209"/>
      <c r="ME2" s="209"/>
      <c r="MF2" s="209"/>
      <c r="MG2" s="209"/>
      <c r="MH2" s="209"/>
      <c r="MI2" s="209"/>
      <c r="MJ2" s="209"/>
      <c r="MK2" s="209"/>
      <c r="ML2" s="209"/>
      <c r="MM2" s="209"/>
      <c r="MN2" s="209"/>
      <c r="MO2" s="209"/>
      <c r="MP2" s="209"/>
      <c r="MQ2" s="209"/>
      <c r="MR2" s="209"/>
      <c r="MS2" s="209"/>
      <c r="MT2" s="209"/>
      <c r="MU2" s="209"/>
      <c r="MV2" s="209"/>
      <c r="MW2" s="209"/>
      <c r="MX2" s="209"/>
      <c r="MY2" s="209"/>
      <c r="MZ2" s="213"/>
      <c r="NA2" s="208" t="str">
        <f>TEXT(NA5, "mmmm")</f>
        <v>December</v>
      </c>
      <c r="NB2" s="209"/>
      <c r="NC2" s="209"/>
      <c r="ND2" s="209"/>
      <c r="NE2" s="209"/>
      <c r="NF2" s="209"/>
      <c r="NG2" s="209"/>
      <c r="NH2" s="209"/>
      <c r="NI2" s="209"/>
      <c r="NJ2" s="209"/>
      <c r="NK2" s="209"/>
      <c r="NL2" s="209"/>
      <c r="NM2" s="209"/>
      <c r="NN2" s="209"/>
      <c r="NO2" s="209"/>
      <c r="NP2" s="209"/>
      <c r="NQ2" s="209"/>
      <c r="NR2" s="209"/>
      <c r="NS2" s="209"/>
      <c r="NT2" s="209"/>
      <c r="NU2" s="209"/>
      <c r="NV2" s="209"/>
      <c r="NW2" s="209"/>
      <c r="NX2" s="209"/>
      <c r="NY2" s="209"/>
      <c r="NZ2" s="209"/>
      <c r="OA2" s="209"/>
      <c r="OB2" s="209"/>
      <c r="OC2" s="209"/>
      <c r="OD2" s="209"/>
      <c r="OE2" s="210"/>
    </row>
    <row r="3" spans="1:395">
      <c r="A3" s="205"/>
      <c r="B3" s="206"/>
      <c r="C3" s="206"/>
      <c r="D3" s="206"/>
      <c r="E3" s="206"/>
      <c r="F3" s="206"/>
      <c r="G3" s="211" t="s">
        <v>61</v>
      </c>
      <c r="H3" s="212"/>
      <c r="I3" s="212" t="s">
        <v>62</v>
      </c>
      <c r="J3" s="212"/>
      <c r="K3" s="212" t="s">
        <v>63</v>
      </c>
      <c r="L3" s="212"/>
      <c r="M3" s="212" t="s">
        <v>64</v>
      </c>
      <c r="N3" s="212"/>
      <c r="O3" s="212" t="s">
        <v>65</v>
      </c>
      <c r="P3" s="212"/>
      <c r="Q3" s="212" t="s">
        <v>66</v>
      </c>
      <c r="R3" s="212"/>
      <c r="S3" s="212" t="s">
        <v>67</v>
      </c>
      <c r="T3" s="212"/>
      <c r="U3" s="212" t="s">
        <v>68</v>
      </c>
      <c r="V3" s="212"/>
      <c r="W3" s="212" t="s">
        <v>69</v>
      </c>
      <c r="X3" s="212"/>
      <c r="Y3" s="212" t="s">
        <v>70</v>
      </c>
      <c r="Z3" s="212"/>
      <c r="AA3" s="212" t="s">
        <v>71</v>
      </c>
      <c r="AB3" s="212"/>
      <c r="AC3" s="212" t="s">
        <v>72</v>
      </c>
      <c r="AD3" s="212"/>
      <c r="AE3" s="218" t="str">
        <f>"W" &amp; TEXT(WEEKNUM(AE5), "0")</f>
        <v>W1</v>
      </c>
      <c r="AF3" s="218"/>
      <c r="AG3" s="218"/>
      <c r="AH3" s="218"/>
      <c r="AI3" s="218"/>
      <c r="AJ3" s="218" t="str">
        <f>"W" &amp; TEXT(WEEKNUM(AJ5), "0")</f>
        <v>W2</v>
      </c>
      <c r="AK3" s="218"/>
      <c r="AL3" s="218"/>
      <c r="AM3" s="218"/>
      <c r="AN3" s="218"/>
      <c r="AO3" s="218"/>
      <c r="AP3" s="218"/>
      <c r="AQ3" s="218" t="str">
        <f>"W" &amp; TEXT(WEEKNUM(AQ5), "0")</f>
        <v>W3</v>
      </c>
      <c r="AR3" s="218"/>
      <c r="AS3" s="218"/>
      <c r="AT3" s="218"/>
      <c r="AU3" s="218"/>
      <c r="AV3" s="218"/>
      <c r="AW3" s="218"/>
      <c r="AX3" s="218" t="str">
        <f>"W" &amp; TEXT(WEEKNUM(AX5), "0")</f>
        <v>W4</v>
      </c>
      <c r="AY3" s="218"/>
      <c r="AZ3" s="218"/>
      <c r="BA3" s="218"/>
      <c r="BB3" s="218"/>
      <c r="BC3" s="218"/>
      <c r="BD3" s="218"/>
      <c r="BE3" s="218" t="str">
        <f>"W" &amp; TEXT(WEEKNUM(BE5), "0")</f>
        <v>W5</v>
      </c>
      <c r="BF3" s="218"/>
      <c r="BG3" s="218"/>
      <c r="BH3" s="218"/>
      <c r="BI3" s="218"/>
      <c r="BJ3" s="218"/>
      <c r="BK3" s="218"/>
      <c r="BL3" s="218" t="str">
        <f>"W" &amp; TEXT(WEEKNUM(BL5), "0")</f>
        <v>W6</v>
      </c>
      <c r="BM3" s="218"/>
      <c r="BN3" s="218"/>
      <c r="BO3" s="218"/>
      <c r="BP3" s="218"/>
      <c r="BQ3" s="218"/>
      <c r="BR3" s="218"/>
      <c r="BS3" s="218" t="str">
        <f>"W" &amp; TEXT(WEEKNUM(BS5), "0")</f>
        <v>W7</v>
      </c>
      <c r="BT3" s="218"/>
      <c r="BU3" s="218"/>
      <c r="BV3" s="218"/>
      <c r="BW3" s="218"/>
      <c r="BX3" s="218"/>
      <c r="BY3" s="218"/>
      <c r="BZ3" s="218" t="str">
        <f>"W" &amp; TEXT(WEEKNUM(BZ5), "0")</f>
        <v>W8</v>
      </c>
      <c r="CA3" s="218"/>
      <c r="CB3" s="218"/>
      <c r="CC3" s="218"/>
      <c r="CD3" s="218"/>
      <c r="CE3" s="218"/>
      <c r="CF3" s="218"/>
      <c r="CG3" s="218" t="str">
        <f>"W" &amp; TEXT(WEEKNUM(CG5), "0")</f>
        <v>W9</v>
      </c>
      <c r="CH3" s="218"/>
      <c r="CI3" s="218"/>
      <c r="CJ3" s="218"/>
      <c r="CK3" s="218"/>
      <c r="CL3" s="218"/>
      <c r="CM3" s="218"/>
      <c r="CN3" s="218" t="str">
        <f>"W" &amp; TEXT(WEEKNUM(CN5), "0")</f>
        <v>W10</v>
      </c>
      <c r="CO3" s="218"/>
      <c r="CP3" s="218"/>
      <c r="CQ3" s="218"/>
      <c r="CR3" s="218"/>
      <c r="CS3" s="218"/>
      <c r="CT3" s="218"/>
      <c r="CU3" s="218" t="str">
        <f>"W" &amp; TEXT(WEEKNUM(CU5), "0")</f>
        <v>W11</v>
      </c>
      <c r="CV3" s="218"/>
      <c r="CW3" s="218"/>
      <c r="CX3" s="218"/>
      <c r="CY3" s="218"/>
      <c r="CZ3" s="218"/>
      <c r="DA3" s="218"/>
      <c r="DB3" s="218" t="str">
        <f>"W" &amp; TEXT(WEEKNUM(DB5), "0")</f>
        <v>W12</v>
      </c>
      <c r="DC3" s="218"/>
      <c r="DD3" s="218"/>
      <c r="DE3" s="218"/>
      <c r="DF3" s="218"/>
      <c r="DG3" s="218"/>
      <c r="DH3" s="218"/>
      <c r="DI3" s="218" t="str">
        <f>"W" &amp; TEXT(WEEKNUM(DI5), "0")</f>
        <v>W13</v>
      </c>
      <c r="DJ3" s="218"/>
      <c r="DK3" s="218"/>
      <c r="DL3" s="218"/>
      <c r="DM3" s="218"/>
      <c r="DN3" s="218"/>
      <c r="DO3" s="218"/>
      <c r="DP3" s="218" t="str">
        <f>"W" &amp; TEXT(WEEKNUM(DP5), "0")</f>
        <v>W14</v>
      </c>
      <c r="DQ3" s="218"/>
      <c r="DR3" s="218"/>
      <c r="DS3" s="218"/>
      <c r="DT3" s="218"/>
      <c r="DU3" s="218"/>
      <c r="DV3" s="218"/>
      <c r="DW3" s="218" t="str">
        <f>"W" &amp; TEXT(WEEKNUM(DW5), "0")</f>
        <v>W15</v>
      </c>
      <c r="DX3" s="218"/>
      <c r="DY3" s="218"/>
      <c r="DZ3" s="218"/>
      <c r="EA3" s="218"/>
      <c r="EB3" s="218"/>
      <c r="EC3" s="218"/>
      <c r="ED3" s="218" t="str">
        <f>"W" &amp; TEXT(WEEKNUM(ED5), "0")</f>
        <v>W16</v>
      </c>
      <c r="EE3" s="218"/>
      <c r="EF3" s="218"/>
      <c r="EG3" s="218"/>
      <c r="EH3" s="218"/>
      <c r="EI3" s="218"/>
      <c r="EJ3" s="218"/>
      <c r="EK3" s="218" t="str">
        <f>"W" &amp; TEXT(WEEKNUM(EK5), "0")</f>
        <v>W17</v>
      </c>
      <c r="EL3" s="218"/>
      <c r="EM3" s="218"/>
      <c r="EN3" s="218"/>
      <c r="EO3" s="218"/>
      <c r="EP3" s="218"/>
      <c r="EQ3" s="218"/>
      <c r="ER3" s="218" t="str">
        <f>"W" &amp; TEXT(WEEKNUM(ER5), "0")</f>
        <v>W18</v>
      </c>
      <c r="ES3" s="218"/>
      <c r="ET3" s="218"/>
      <c r="EU3" s="218"/>
      <c r="EV3" s="218"/>
      <c r="EW3" s="218"/>
      <c r="EX3" s="218"/>
      <c r="EY3" s="218" t="str">
        <f>"W" &amp; TEXT(WEEKNUM(EY5), "0")</f>
        <v>W19</v>
      </c>
      <c r="EZ3" s="218"/>
      <c r="FA3" s="218"/>
      <c r="FB3" s="218"/>
      <c r="FC3" s="218"/>
      <c r="FD3" s="218"/>
      <c r="FE3" s="218"/>
      <c r="FF3" s="218" t="str">
        <f>"W" &amp; TEXT(WEEKNUM(FF5), "0")</f>
        <v>W20</v>
      </c>
      <c r="FG3" s="218"/>
      <c r="FH3" s="218"/>
      <c r="FI3" s="218"/>
      <c r="FJ3" s="218"/>
      <c r="FK3" s="218"/>
      <c r="FL3" s="218"/>
      <c r="FM3" s="218" t="str">
        <f>"W" &amp; TEXT(WEEKNUM(FM5), "0")</f>
        <v>W21</v>
      </c>
      <c r="FN3" s="218"/>
      <c r="FO3" s="218"/>
      <c r="FP3" s="218"/>
      <c r="FQ3" s="218"/>
      <c r="FR3" s="218"/>
      <c r="FS3" s="218"/>
      <c r="FT3" s="218" t="str">
        <f>"W" &amp; TEXT(WEEKNUM(FT5), "0")</f>
        <v>W22</v>
      </c>
      <c r="FU3" s="218"/>
      <c r="FV3" s="218"/>
      <c r="FW3" s="218"/>
      <c r="FX3" s="218"/>
      <c r="FY3" s="218"/>
      <c r="FZ3" s="218"/>
      <c r="GA3" s="218" t="str">
        <f>"W" &amp; TEXT(WEEKNUM(GA5), "0")</f>
        <v>W23</v>
      </c>
      <c r="GB3" s="218"/>
      <c r="GC3" s="218"/>
      <c r="GD3" s="218"/>
      <c r="GE3" s="218"/>
      <c r="GF3" s="218"/>
      <c r="GG3" s="218"/>
      <c r="GH3" s="218" t="str">
        <f>"W" &amp; TEXT(WEEKNUM(GH5), "0")</f>
        <v>W24</v>
      </c>
      <c r="GI3" s="218"/>
      <c r="GJ3" s="218"/>
      <c r="GK3" s="218"/>
      <c r="GL3" s="218"/>
      <c r="GM3" s="218"/>
      <c r="GN3" s="218"/>
      <c r="GO3" s="218" t="str">
        <f>"W" &amp; TEXT(WEEKNUM(GO5), "0")</f>
        <v>W25</v>
      </c>
      <c r="GP3" s="218"/>
      <c r="GQ3" s="218"/>
      <c r="GR3" s="218"/>
      <c r="GS3" s="218"/>
      <c r="GT3" s="218"/>
      <c r="GU3" s="218"/>
      <c r="GV3" s="218" t="str">
        <f>"W" &amp; TEXT(WEEKNUM(GV5), "0")</f>
        <v>W26</v>
      </c>
      <c r="GW3" s="218"/>
      <c r="GX3" s="218"/>
      <c r="GY3" s="218"/>
      <c r="GZ3" s="218"/>
      <c r="HA3" s="218"/>
      <c r="HB3" s="218"/>
      <c r="HC3" s="218" t="str">
        <f>"W" &amp; TEXT(WEEKNUM(HC5), "0")</f>
        <v>W27</v>
      </c>
      <c r="HD3" s="218"/>
      <c r="HE3" s="218"/>
      <c r="HF3" s="218"/>
      <c r="HG3" s="218"/>
      <c r="HH3" s="218"/>
      <c r="HI3" s="218"/>
      <c r="HJ3" s="218" t="str">
        <f>"W" &amp; TEXT(WEEKNUM(HJ5), "0")</f>
        <v>W28</v>
      </c>
      <c r="HK3" s="218"/>
      <c r="HL3" s="218"/>
      <c r="HM3" s="218"/>
      <c r="HN3" s="218"/>
      <c r="HO3" s="218"/>
      <c r="HP3" s="218"/>
      <c r="HQ3" s="218" t="str">
        <f>"W" &amp; TEXT(WEEKNUM(HQ5), "0")</f>
        <v>W29</v>
      </c>
      <c r="HR3" s="218"/>
      <c r="HS3" s="218"/>
      <c r="HT3" s="218"/>
      <c r="HU3" s="218"/>
      <c r="HV3" s="218"/>
      <c r="HW3" s="218"/>
      <c r="HX3" s="218" t="str">
        <f>"W" &amp; TEXT(WEEKNUM(HX5), "0")</f>
        <v>W30</v>
      </c>
      <c r="HY3" s="218"/>
      <c r="HZ3" s="218"/>
      <c r="IA3" s="218"/>
      <c r="IB3" s="218"/>
      <c r="IC3" s="218"/>
      <c r="ID3" s="218"/>
      <c r="IE3" s="218" t="str">
        <f>"W" &amp; TEXT(WEEKNUM(IE5), "0")</f>
        <v>W31</v>
      </c>
      <c r="IF3" s="218"/>
      <c r="IG3" s="218"/>
      <c r="IH3" s="218"/>
      <c r="II3" s="218"/>
      <c r="IJ3" s="218"/>
      <c r="IK3" s="218"/>
      <c r="IL3" s="218" t="str">
        <f>"W" &amp; TEXT(WEEKNUM(IL5), "0")</f>
        <v>W32</v>
      </c>
      <c r="IM3" s="218"/>
      <c r="IN3" s="218"/>
      <c r="IO3" s="218"/>
      <c r="IP3" s="218"/>
      <c r="IQ3" s="218"/>
      <c r="IR3" s="218"/>
      <c r="IS3" s="218" t="str">
        <f>"W" &amp; TEXT(WEEKNUM(IS5), "0")</f>
        <v>W33</v>
      </c>
      <c r="IT3" s="218"/>
      <c r="IU3" s="218"/>
      <c r="IV3" s="218"/>
      <c r="IW3" s="218"/>
      <c r="IX3" s="218"/>
      <c r="IY3" s="218"/>
      <c r="IZ3" s="218" t="str">
        <f>"W" &amp; TEXT(WEEKNUM(IZ5), "0")</f>
        <v>W34</v>
      </c>
      <c r="JA3" s="218"/>
      <c r="JB3" s="218"/>
      <c r="JC3" s="218"/>
      <c r="JD3" s="218"/>
      <c r="JE3" s="218"/>
      <c r="JF3" s="218"/>
      <c r="JG3" s="218" t="str">
        <f>"W" &amp; TEXT(WEEKNUM(JG5), "0")</f>
        <v>W35</v>
      </c>
      <c r="JH3" s="218"/>
      <c r="JI3" s="218"/>
      <c r="JJ3" s="218"/>
      <c r="JK3" s="218"/>
      <c r="JL3" s="218"/>
      <c r="JM3" s="218"/>
      <c r="JN3" s="218" t="str">
        <f>"W" &amp; TEXT(WEEKNUM(JN5), "0")</f>
        <v>W36</v>
      </c>
      <c r="JO3" s="218"/>
      <c r="JP3" s="218"/>
      <c r="JQ3" s="218"/>
      <c r="JR3" s="218"/>
      <c r="JS3" s="218"/>
      <c r="JT3" s="218"/>
      <c r="JU3" s="218" t="str">
        <f>"W" &amp; TEXT(WEEKNUM(JU5), "0")</f>
        <v>W37</v>
      </c>
      <c r="JV3" s="218"/>
      <c r="JW3" s="218"/>
      <c r="JX3" s="218"/>
      <c r="JY3" s="218"/>
      <c r="JZ3" s="218"/>
      <c r="KA3" s="218"/>
      <c r="KB3" s="218" t="str">
        <f>"W" &amp; TEXT(WEEKNUM(KB5), "0")</f>
        <v>W38</v>
      </c>
      <c r="KC3" s="218"/>
      <c r="KD3" s="218"/>
      <c r="KE3" s="218"/>
      <c r="KF3" s="218"/>
      <c r="KG3" s="218"/>
      <c r="KH3" s="218"/>
      <c r="KI3" s="218" t="str">
        <f>"W" &amp; TEXT(WEEKNUM(KI5), "0")</f>
        <v>W39</v>
      </c>
      <c r="KJ3" s="218"/>
      <c r="KK3" s="218"/>
      <c r="KL3" s="218"/>
      <c r="KM3" s="218"/>
      <c r="KN3" s="218"/>
      <c r="KO3" s="218"/>
      <c r="KP3" s="218" t="str">
        <f>"W" &amp; TEXT(WEEKNUM(KP5), "0")</f>
        <v>W40</v>
      </c>
      <c r="KQ3" s="218"/>
      <c r="KR3" s="218"/>
      <c r="KS3" s="218"/>
      <c r="KT3" s="218"/>
      <c r="KU3" s="218"/>
      <c r="KV3" s="218"/>
      <c r="KW3" s="218" t="str">
        <f>"W" &amp; TEXT(WEEKNUM(KW5), "0")</f>
        <v>W41</v>
      </c>
      <c r="KX3" s="218"/>
      <c r="KY3" s="218"/>
      <c r="KZ3" s="218"/>
      <c r="LA3" s="218"/>
      <c r="LB3" s="218"/>
      <c r="LC3" s="218"/>
      <c r="LD3" s="218" t="str">
        <f>"W" &amp; TEXT(WEEKNUM(LD5), "0")</f>
        <v>W42</v>
      </c>
      <c r="LE3" s="218"/>
      <c r="LF3" s="218"/>
      <c r="LG3" s="218"/>
      <c r="LH3" s="218"/>
      <c r="LI3" s="218"/>
      <c r="LJ3" s="218"/>
      <c r="LK3" s="218" t="str">
        <f>"W" &amp; TEXT(WEEKNUM(LK5), "0")</f>
        <v>W43</v>
      </c>
      <c r="LL3" s="218"/>
      <c r="LM3" s="218"/>
      <c r="LN3" s="218"/>
      <c r="LO3" s="218"/>
      <c r="LP3" s="218"/>
      <c r="LQ3" s="218"/>
      <c r="LR3" s="218" t="str">
        <f>"W" &amp; TEXT(WEEKNUM(LR5), "0")</f>
        <v>W44</v>
      </c>
      <c r="LS3" s="218"/>
      <c r="LT3" s="218"/>
      <c r="LU3" s="218"/>
      <c r="LV3" s="218"/>
      <c r="LW3" s="218"/>
      <c r="LX3" s="218"/>
      <c r="LY3" s="218" t="str">
        <f>"W" &amp; TEXT(WEEKNUM(LY5), "0")</f>
        <v>W45</v>
      </c>
      <c r="LZ3" s="218"/>
      <c r="MA3" s="218"/>
      <c r="MB3" s="218"/>
      <c r="MC3" s="218"/>
      <c r="MD3" s="218"/>
      <c r="ME3" s="218"/>
      <c r="MF3" s="218" t="str">
        <f>"W" &amp; TEXT(WEEKNUM(MF5), "0")</f>
        <v>W46</v>
      </c>
      <c r="MG3" s="218"/>
      <c r="MH3" s="218"/>
      <c r="MI3" s="218"/>
      <c r="MJ3" s="218"/>
      <c r="MK3" s="218"/>
      <c r="ML3" s="218"/>
      <c r="MM3" s="218" t="str">
        <f>"W" &amp; TEXT(WEEKNUM(MM5), "0")</f>
        <v>W47</v>
      </c>
      <c r="MN3" s="218"/>
      <c r="MO3" s="218"/>
      <c r="MP3" s="218"/>
      <c r="MQ3" s="218"/>
      <c r="MR3" s="218"/>
      <c r="MS3" s="218"/>
      <c r="MT3" s="218" t="str">
        <f>"W" &amp; TEXT(WEEKNUM(MT5), "0")</f>
        <v>W48</v>
      </c>
      <c r="MU3" s="218"/>
      <c r="MV3" s="218"/>
      <c r="MW3" s="218"/>
      <c r="MX3" s="218"/>
      <c r="MY3" s="218"/>
      <c r="MZ3" s="218"/>
      <c r="NA3" s="218" t="str">
        <f>"W" &amp; TEXT(WEEKNUM(NA5), "0")</f>
        <v>W49</v>
      </c>
      <c r="NB3" s="218"/>
      <c r="NC3" s="218"/>
      <c r="ND3" s="218"/>
      <c r="NE3" s="218"/>
      <c r="NF3" s="218"/>
      <c r="NG3" s="218"/>
      <c r="NH3" s="218" t="str">
        <f>"W" &amp; TEXT(WEEKNUM(NH5), "0")</f>
        <v>W50</v>
      </c>
      <c r="NI3" s="218"/>
      <c r="NJ3" s="218"/>
      <c r="NK3" s="218"/>
      <c r="NL3" s="218"/>
      <c r="NM3" s="218"/>
      <c r="NN3" s="218"/>
      <c r="NO3" s="218" t="str">
        <f>"W" &amp; TEXT(WEEKNUM(NO5), "0")</f>
        <v>W51</v>
      </c>
      <c r="NP3" s="218"/>
      <c r="NQ3" s="218"/>
      <c r="NR3" s="218"/>
      <c r="NS3" s="218"/>
      <c r="NT3" s="218"/>
      <c r="NU3" s="218"/>
      <c r="NV3" s="218" t="str">
        <f>"W" &amp; TEXT(WEEKNUM(NV5), "0")</f>
        <v>W52</v>
      </c>
      <c r="NW3" s="218"/>
      <c r="NX3" s="218"/>
      <c r="NY3" s="218"/>
      <c r="NZ3" s="218"/>
      <c r="OA3" s="218"/>
      <c r="OB3" s="218"/>
      <c r="OC3" s="218" t="str">
        <f>"W" &amp; TEXT(WEEKNUM(OC5), "0")</f>
        <v>W53</v>
      </c>
      <c r="OD3" s="218"/>
      <c r="OE3" s="220"/>
    </row>
    <row r="4" spans="1:395">
      <c r="A4" s="205"/>
      <c r="B4" s="206"/>
      <c r="C4" s="206"/>
      <c r="D4" s="206"/>
      <c r="E4" s="206"/>
      <c r="F4" s="206"/>
      <c r="G4" s="221" t="s">
        <v>73</v>
      </c>
      <c r="H4" s="219" t="s">
        <v>74</v>
      </c>
      <c r="I4" s="219" t="s">
        <v>73</v>
      </c>
      <c r="J4" s="219" t="s">
        <v>74</v>
      </c>
      <c r="K4" s="219" t="s">
        <v>73</v>
      </c>
      <c r="L4" s="219" t="s">
        <v>74</v>
      </c>
      <c r="M4" s="219" t="s">
        <v>73</v>
      </c>
      <c r="N4" s="219" t="s">
        <v>74</v>
      </c>
      <c r="O4" s="219" t="s">
        <v>73</v>
      </c>
      <c r="P4" s="219" t="s">
        <v>74</v>
      </c>
      <c r="Q4" s="219" t="s">
        <v>73</v>
      </c>
      <c r="R4" s="219" t="s">
        <v>74</v>
      </c>
      <c r="S4" s="219" t="s">
        <v>73</v>
      </c>
      <c r="T4" s="219" t="s">
        <v>74</v>
      </c>
      <c r="U4" s="219" t="s">
        <v>73</v>
      </c>
      <c r="V4" s="219" t="s">
        <v>74</v>
      </c>
      <c r="W4" s="219" t="s">
        <v>73</v>
      </c>
      <c r="X4" s="219" t="s">
        <v>74</v>
      </c>
      <c r="Y4" s="219" t="s">
        <v>73</v>
      </c>
      <c r="Z4" s="219" t="s">
        <v>74</v>
      </c>
      <c r="AA4" s="219" t="s">
        <v>73</v>
      </c>
      <c r="AB4" s="219" t="s">
        <v>74</v>
      </c>
      <c r="AC4" s="219" t="s">
        <v>73</v>
      </c>
      <c r="AD4" s="219" t="s">
        <v>74</v>
      </c>
      <c r="AE4" s="9" t="str">
        <f>LEFT(TEXT(AE5,"dddd"),1)</f>
        <v>T</v>
      </c>
      <c r="AF4" s="9" t="str">
        <f t="shared" ref="AF4:CQ4" si="0">LEFT(TEXT(AF5,"dddd"),1)</f>
        <v>F</v>
      </c>
      <c r="AG4" s="9" t="str">
        <f t="shared" si="0"/>
        <v>S</v>
      </c>
      <c r="AH4" s="9" t="str">
        <f t="shared" si="0"/>
        <v>S</v>
      </c>
      <c r="AI4" s="9" t="str">
        <f t="shared" si="0"/>
        <v>M</v>
      </c>
      <c r="AJ4" s="9" t="str">
        <f t="shared" si="0"/>
        <v>T</v>
      </c>
      <c r="AK4" s="9" t="str">
        <f t="shared" si="0"/>
        <v>W</v>
      </c>
      <c r="AL4" s="9" t="str">
        <f t="shared" si="0"/>
        <v>T</v>
      </c>
      <c r="AM4" s="9" t="str">
        <f t="shared" si="0"/>
        <v>F</v>
      </c>
      <c r="AN4" s="9" t="str">
        <f t="shared" si="0"/>
        <v>S</v>
      </c>
      <c r="AO4" s="9" t="str">
        <f t="shared" si="0"/>
        <v>S</v>
      </c>
      <c r="AP4" s="9" t="str">
        <f t="shared" si="0"/>
        <v>M</v>
      </c>
      <c r="AQ4" s="9" t="str">
        <f t="shared" si="0"/>
        <v>T</v>
      </c>
      <c r="AR4" s="9" t="str">
        <f t="shared" si="0"/>
        <v>W</v>
      </c>
      <c r="AS4" s="9" t="str">
        <f t="shared" si="0"/>
        <v>T</v>
      </c>
      <c r="AT4" s="9" t="str">
        <f t="shared" si="0"/>
        <v>F</v>
      </c>
      <c r="AU4" s="9" t="str">
        <f t="shared" si="0"/>
        <v>S</v>
      </c>
      <c r="AV4" s="9" t="str">
        <f t="shared" si="0"/>
        <v>S</v>
      </c>
      <c r="AW4" s="9" t="str">
        <f t="shared" si="0"/>
        <v>M</v>
      </c>
      <c r="AX4" s="9" t="str">
        <f t="shared" si="0"/>
        <v>T</v>
      </c>
      <c r="AY4" s="9" t="str">
        <f t="shared" si="0"/>
        <v>W</v>
      </c>
      <c r="AZ4" s="9" t="str">
        <f t="shared" si="0"/>
        <v>T</v>
      </c>
      <c r="BA4" s="9" t="str">
        <f t="shared" si="0"/>
        <v>F</v>
      </c>
      <c r="BB4" s="9" t="str">
        <f t="shared" si="0"/>
        <v>S</v>
      </c>
      <c r="BC4" s="9" t="str">
        <f t="shared" si="0"/>
        <v>S</v>
      </c>
      <c r="BD4" s="9" t="str">
        <f t="shared" si="0"/>
        <v>M</v>
      </c>
      <c r="BE4" s="9" t="str">
        <f t="shared" si="0"/>
        <v>T</v>
      </c>
      <c r="BF4" s="9" t="str">
        <f t="shared" si="0"/>
        <v>W</v>
      </c>
      <c r="BG4" s="9" t="str">
        <f t="shared" si="0"/>
        <v>T</v>
      </c>
      <c r="BH4" s="9" t="str">
        <f t="shared" si="0"/>
        <v>F</v>
      </c>
      <c r="BI4" s="9" t="str">
        <f t="shared" si="0"/>
        <v>S</v>
      </c>
      <c r="BJ4" s="9" t="str">
        <f t="shared" si="0"/>
        <v>S</v>
      </c>
      <c r="BK4" s="9" t="str">
        <f t="shared" si="0"/>
        <v>M</v>
      </c>
      <c r="BL4" s="9" t="str">
        <f t="shared" si="0"/>
        <v>T</v>
      </c>
      <c r="BM4" s="9" t="str">
        <f t="shared" si="0"/>
        <v>W</v>
      </c>
      <c r="BN4" s="9" t="str">
        <f t="shared" si="0"/>
        <v>T</v>
      </c>
      <c r="BO4" s="9" t="str">
        <f t="shared" si="0"/>
        <v>F</v>
      </c>
      <c r="BP4" s="9" t="str">
        <f t="shared" si="0"/>
        <v>S</v>
      </c>
      <c r="BQ4" s="9" t="str">
        <f t="shared" si="0"/>
        <v>S</v>
      </c>
      <c r="BR4" s="9" t="str">
        <f t="shared" si="0"/>
        <v>M</v>
      </c>
      <c r="BS4" s="9" t="str">
        <f t="shared" si="0"/>
        <v>T</v>
      </c>
      <c r="BT4" s="9" t="str">
        <f t="shared" si="0"/>
        <v>W</v>
      </c>
      <c r="BU4" s="9" t="str">
        <f t="shared" si="0"/>
        <v>T</v>
      </c>
      <c r="BV4" s="9" t="str">
        <f t="shared" si="0"/>
        <v>F</v>
      </c>
      <c r="BW4" s="9" t="str">
        <f t="shared" si="0"/>
        <v>S</v>
      </c>
      <c r="BX4" s="9" t="str">
        <f t="shared" si="0"/>
        <v>S</v>
      </c>
      <c r="BY4" s="9" t="str">
        <f t="shared" si="0"/>
        <v>M</v>
      </c>
      <c r="BZ4" s="9" t="str">
        <f t="shared" si="0"/>
        <v>T</v>
      </c>
      <c r="CA4" s="9" t="str">
        <f t="shared" si="0"/>
        <v>W</v>
      </c>
      <c r="CB4" s="9" t="str">
        <f t="shared" si="0"/>
        <v>T</v>
      </c>
      <c r="CC4" s="9" t="str">
        <f t="shared" si="0"/>
        <v>F</v>
      </c>
      <c r="CD4" s="9" t="str">
        <f t="shared" si="0"/>
        <v>S</v>
      </c>
      <c r="CE4" s="9" t="str">
        <f t="shared" si="0"/>
        <v>S</v>
      </c>
      <c r="CF4" s="9" t="str">
        <f t="shared" si="0"/>
        <v>M</v>
      </c>
      <c r="CG4" s="9" t="str">
        <f t="shared" si="0"/>
        <v>T</v>
      </c>
      <c r="CH4" s="9" t="str">
        <f t="shared" si="0"/>
        <v>W</v>
      </c>
      <c r="CI4" s="9" t="str">
        <f t="shared" si="0"/>
        <v>T</v>
      </c>
      <c r="CJ4" s="9" t="str">
        <f t="shared" si="0"/>
        <v>F</v>
      </c>
      <c r="CK4" s="9" t="str">
        <f t="shared" si="0"/>
        <v>S</v>
      </c>
      <c r="CL4" s="9" t="str">
        <f t="shared" si="0"/>
        <v>S</v>
      </c>
      <c r="CM4" s="9" t="str">
        <f t="shared" si="0"/>
        <v>M</v>
      </c>
      <c r="CN4" s="9" t="str">
        <f t="shared" si="0"/>
        <v>T</v>
      </c>
      <c r="CO4" s="9" t="str">
        <f t="shared" si="0"/>
        <v>W</v>
      </c>
      <c r="CP4" s="9" t="str">
        <f t="shared" si="0"/>
        <v>T</v>
      </c>
      <c r="CQ4" s="9" t="str">
        <f t="shared" si="0"/>
        <v>F</v>
      </c>
      <c r="CR4" s="9" t="str">
        <f t="shared" ref="CR4:FC4" si="1">LEFT(TEXT(CR5,"dddd"),1)</f>
        <v>S</v>
      </c>
      <c r="CS4" s="9" t="str">
        <f t="shared" si="1"/>
        <v>S</v>
      </c>
      <c r="CT4" s="9" t="str">
        <f t="shared" si="1"/>
        <v>M</v>
      </c>
      <c r="CU4" s="9" t="str">
        <f t="shared" si="1"/>
        <v>T</v>
      </c>
      <c r="CV4" s="9" t="str">
        <f t="shared" si="1"/>
        <v>W</v>
      </c>
      <c r="CW4" s="9" t="str">
        <f t="shared" si="1"/>
        <v>T</v>
      </c>
      <c r="CX4" s="9" t="str">
        <f t="shared" si="1"/>
        <v>F</v>
      </c>
      <c r="CY4" s="9" t="str">
        <f t="shared" si="1"/>
        <v>S</v>
      </c>
      <c r="CZ4" s="9" t="str">
        <f t="shared" si="1"/>
        <v>S</v>
      </c>
      <c r="DA4" s="9" t="str">
        <f t="shared" si="1"/>
        <v>M</v>
      </c>
      <c r="DB4" s="9" t="str">
        <f t="shared" si="1"/>
        <v>T</v>
      </c>
      <c r="DC4" s="9" t="str">
        <f t="shared" si="1"/>
        <v>W</v>
      </c>
      <c r="DD4" s="9" t="str">
        <f t="shared" si="1"/>
        <v>T</v>
      </c>
      <c r="DE4" s="9" t="str">
        <f t="shared" si="1"/>
        <v>F</v>
      </c>
      <c r="DF4" s="9" t="str">
        <f t="shared" si="1"/>
        <v>S</v>
      </c>
      <c r="DG4" s="9" t="str">
        <f t="shared" si="1"/>
        <v>S</v>
      </c>
      <c r="DH4" s="9" t="str">
        <f t="shared" si="1"/>
        <v>M</v>
      </c>
      <c r="DI4" s="9" t="str">
        <f t="shared" si="1"/>
        <v>T</v>
      </c>
      <c r="DJ4" s="9" t="str">
        <f t="shared" si="1"/>
        <v>W</v>
      </c>
      <c r="DK4" s="9" t="str">
        <f t="shared" si="1"/>
        <v>T</v>
      </c>
      <c r="DL4" s="9" t="str">
        <f t="shared" si="1"/>
        <v>F</v>
      </c>
      <c r="DM4" s="9" t="str">
        <f t="shared" si="1"/>
        <v>S</v>
      </c>
      <c r="DN4" s="9" t="str">
        <f t="shared" si="1"/>
        <v>S</v>
      </c>
      <c r="DO4" s="9" t="str">
        <f t="shared" si="1"/>
        <v>M</v>
      </c>
      <c r="DP4" s="9" t="str">
        <f t="shared" si="1"/>
        <v>T</v>
      </c>
      <c r="DQ4" s="9" t="str">
        <f t="shared" si="1"/>
        <v>W</v>
      </c>
      <c r="DR4" s="9" t="str">
        <f t="shared" si="1"/>
        <v>T</v>
      </c>
      <c r="DS4" s="9" t="str">
        <f t="shared" si="1"/>
        <v>F</v>
      </c>
      <c r="DT4" s="9" t="str">
        <f t="shared" si="1"/>
        <v>S</v>
      </c>
      <c r="DU4" s="9" t="str">
        <f t="shared" si="1"/>
        <v>S</v>
      </c>
      <c r="DV4" s="9" t="str">
        <f t="shared" si="1"/>
        <v>M</v>
      </c>
      <c r="DW4" s="9" t="str">
        <f t="shared" si="1"/>
        <v>T</v>
      </c>
      <c r="DX4" s="9" t="str">
        <f t="shared" si="1"/>
        <v>W</v>
      </c>
      <c r="DY4" s="9" t="str">
        <f t="shared" si="1"/>
        <v>T</v>
      </c>
      <c r="DZ4" s="9" t="str">
        <f t="shared" si="1"/>
        <v>F</v>
      </c>
      <c r="EA4" s="9" t="str">
        <f t="shared" si="1"/>
        <v>S</v>
      </c>
      <c r="EB4" s="9" t="str">
        <f t="shared" si="1"/>
        <v>S</v>
      </c>
      <c r="EC4" s="9" t="str">
        <f t="shared" si="1"/>
        <v>M</v>
      </c>
      <c r="ED4" s="9" t="str">
        <f t="shared" si="1"/>
        <v>T</v>
      </c>
      <c r="EE4" s="9" t="str">
        <f t="shared" si="1"/>
        <v>W</v>
      </c>
      <c r="EF4" s="9" t="str">
        <f t="shared" si="1"/>
        <v>T</v>
      </c>
      <c r="EG4" s="9" t="str">
        <f t="shared" si="1"/>
        <v>F</v>
      </c>
      <c r="EH4" s="9" t="str">
        <f t="shared" si="1"/>
        <v>S</v>
      </c>
      <c r="EI4" s="9" t="str">
        <f t="shared" si="1"/>
        <v>S</v>
      </c>
      <c r="EJ4" s="9" t="str">
        <f t="shared" si="1"/>
        <v>M</v>
      </c>
      <c r="EK4" s="9" t="str">
        <f t="shared" si="1"/>
        <v>T</v>
      </c>
      <c r="EL4" s="9" t="str">
        <f t="shared" si="1"/>
        <v>W</v>
      </c>
      <c r="EM4" s="9" t="str">
        <f t="shared" si="1"/>
        <v>T</v>
      </c>
      <c r="EN4" s="9" t="str">
        <f t="shared" si="1"/>
        <v>F</v>
      </c>
      <c r="EO4" s="9" t="str">
        <f t="shared" si="1"/>
        <v>S</v>
      </c>
      <c r="EP4" s="9" t="str">
        <f t="shared" si="1"/>
        <v>S</v>
      </c>
      <c r="EQ4" s="9" t="str">
        <f t="shared" si="1"/>
        <v>M</v>
      </c>
      <c r="ER4" s="9" t="str">
        <f t="shared" si="1"/>
        <v>T</v>
      </c>
      <c r="ES4" s="9" t="str">
        <f t="shared" si="1"/>
        <v>W</v>
      </c>
      <c r="ET4" s="9" t="str">
        <f t="shared" si="1"/>
        <v>T</v>
      </c>
      <c r="EU4" s="9" t="str">
        <f t="shared" si="1"/>
        <v>F</v>
      </c>
      <c r="EV4" s="9" t="str">
        <f t="shared" si="1"/>
        <v>S</v>
      </c>
      <c r="EW4" s="9" t="str">
        <f t="shared" si="1"/>
        <v>S</v>
      </c>
      <c r="EX4" s="9" t="str">
        <f t="shared" si="1"/>
        <v>M</v>
      </c>
      <c r="EY4" s="9" t="str">
        <f t="shared" si="1"/>
        <v>T</v>
      </c>
      <c r="EZ4" s="9" t="str">
        <f t="shared" si="1"/>
        <v>W</v>
      </c>
      <c r="FA4" s="9" t="str">
        <f t="shared" si="1"/>
        <v>T</v>
      </c>
      <c r="FB4" s="9" t="str">
        <f t="shared" si="1"/>
        <v>F</v>
      </c>
      <c r="FC4" s="9" t="str">
        <f t="shared" si="1"/>
        <v>S</v>
      </c>
      <c r="FD4" s="9" t="str">
        <f t="shared" ref="FD4:HO4" si="2">LEFT(TEXT(FD5,"dddd"),1)</f>
        <v>S</v>
      </c>
      <c r="FE4" s="9" t="str">
        <f t="shared" si="2"/>
        <v>M</v>
      </c>
      <c r="FF4" s="9" t="str">
        <f t="shared" si="2"/>
        <v>T</v>
      </c>
      <c r="FG4" s="9" t="str">
        <f t="shared" si="2"/>
        <v>W</v>
      </c>
      <c r="FH4" s="9" t="str">
        <f t="shared" si="2"/>
        <v>T</v>
      </c>
      <c r="FI4" s="9" t="str">
        <f t="shared" si="2"/>
        <v>F</v>
      </c>
      <c r="FJ4" s="9" t="str">
        <f t="shared" si="2"/>
        <v>S</v>
      </c>
      <c r="FK4" s="9" t="str">
        <f t="shared" si="2"/>
        <v>S</v>
      </c>
      <c r="FL4" s="9" t="str">
        <f t="shared" si="2"/>
        <v>M</v>
      </c>
      <c r="FM4" s="9" t="str">
        <f t="shared" si="2"/>
        <v>T</v>
      </c>
      <c r="FN4" s="9" t="str">
        <f t="shared" si="2"/>
        <v>W</v>
      </c>
      <c r="FO4" s="9" t="str">
        <f t="shared" si="2"/>
        <v>T</v>
      </c>
      <c r="FP4" s="9" t="str">
        <f t="shared" si="2"/>
        <v>F</v>
      </c>
      <c r="FQ4" s="9" t="str">
        <f t="shared" si="2"/>
        <v>S</v>
      </c>
      <c r="FR4" s="9" t="str">
        <f t="shared" si="2"/>
        <v>S</v>
      </c>
      <c r="FS4" s="9" t="str">
        <f t="shared" si="2"/>
        <v>M</v>
      </c>
      <c r="FT4" s="9" t="str">
        <f t="shared" si="2"/>
        <v>T</v>
      </c>
      <c r="FU4" s="9" t="str">
        <f t="shared" si="2"/>
        <v>W</v>
      </c>
      <c r="FV4" s="9" t="str">
        <f t="shared" si="2"/>
        <v>T</v>
      </c>
      <c r="FW4" s="9" t="str">
        <f t="shared" si="2"/>
        <v>F</v>
      </c>
      <c r="FX4" s="9" t="str">
        <f t="shared" si="2"/>
        <v>S</v>
      </c>
      <c r="FY4" s="9" t="str">
        <f t="shared" si="2"/>
        <v>S</v>
      </c>
      <c r="FZ4" s="9" t="str">
        <f t="shared" si="2"/>
        <v>M</v>
      </c>
      <c r="GA4" s="9" t="str">
        <f t="shared" si="2"/>
        <v>T</v>
      </c>
      <c r="GB4" s="9" t="str">
        <f t="shared" si="2"/>
        <v>W</v>
      </c>
      <c r="GC4" s="9" t="str">
        <f t="shared" si="2"/>
        <v>T</v>
      </c>
      <c r="GD4" s="9" t="str">
        <f t="shared" si="2"/>
        <v>F</v>
      </c>
      <c r="GE4" s="9" t="str">
        <f t="shared" si="2"/>
        <v>S</v>
      </c>
      <c r="GF4" s="9" t="str">
        <f t="shared" si="2"/>
        <v>S</v>
      </c>
      <c r="GG4" s="9" t="str">
        <f t="shared" si="2"/>
        <v>M</v>
      </c>
      <c r="GH4" s="9" t="str">
        <f t="shared" si="2"/>
        <v>T</v>
      </c>
      <c r="GI4" s="9" t="str">
        <f t="shared" si="2"/>
        <v>W</v>
      </c>
      <c r="GJ4" s="9" t="str">
        <f t="shared" si="2"/>
        <v>T</v>
      </c>
      <c r="GK4" s="9" t="str">
        <f t="shared" si="2"/>
        <v>F</v>
      </c>
      <c r="GL4" s="9" t="str">
        <f t="shared" si="2"/>
        <v>S</v>
      </c>
      <c r="GM4" s="9" t="str">
        <f t="shared" si="2"/>
        <v>S</v>
      </c>
      <c r="GN4" s="9" t="str">
        <f t="shared" si="2"/>
        <v>M</v>
      </c>
      <c r="GO4" s="9" t="str">
        <f t="shared" si="2"/>
        <v>T</v>
      </c>
      <c r="GP4" s="9" t="str">
        <f t="shared" si="2"/>
        <v>W</v>
      </c>
      <c r="GQ4" s="9" t="str">
        <f t="shared" si="2"/>
        <v>T</v>
      </c>
      <c r="GR4" s="9" t="str">
        <f t="shared" si="2"/>
        <v>F</v>
      </c>
      <c r="GS4" s="9" t="str">
        <f t="shared" si="2"/>
        <v>S</v>
      </c>
      <c r="GT4" s="9" t="str">
        <f t="shared" si="2"/>
        <v>S</v>
      </c>
      <c r="GU4" s="9" t="str">
        <f t="shared" si="2"/>
        <v>M</v>
      </c>
      <c r="GV4" s="9" t="str">
        <f t="shared" si="2"/>
        <v>T</v>
      </c>
      <c r="GW4" s="9" t="str">
        <f t="shared" si="2"/>
        <v>W</v>
      </c>
      <c r="GX4" s="9" t="str">
        <f t="shared" si="2"/>
        <v>T</v>
      </c>
      <c r="GY4" s="9" t="str">
        <f t="shared" si="2"/>
        <v>F</v>
      </c>
      <c r="GZ4" s="9" t="str">
        <f t="shared" si="2"/>
        <v>S</v>
      </c>
      <c r="HA4" s="9" t="str">
        <f t="shared" si="2"/>
        <v>S</v>
      </c>
      <c r="HB4" s="9" t="str">
        <f t="shared" si="2"/>
        <v>M</v>
      </c>
      <c r="HC4" s="9" t="str">
        <f t="shared" si="2"/>
        <v>T</v>
      </c>
      <c r="HD4" s="9" t="str">
        <f t="shared" si="2"/>
        <v>W</v>
      </c>
      <c r="HE4" s="9" t="str">
        <f t="shared" si="2"/>
        <v>T</v>
      </c>
      <c r="HF4" s="9" t="str">
        <f t="shared" si="2"/>
        <v>F</v>
      </c>
      <c r="HG4" s="9" t="str">
        <f t="shared" si="2"/>
        <v>S</v>
      </c>
      <c r="HH4" s="9" t="str">
        <f t="shared" si="2"/>
        <v>S</v>
      </c>
      <c r="HI4" s="9" t="str">
        <f t="shared" si="2"/>
        <v>M</v>
      </c>
      <c r="HJ4" s="9" t="str">
        <f t="shared" si="2"/>
        <v>T</v>
      </c>
      <c r="HK4" s="9" t="str">
        <f t="shared" si="2"/>
        <v>W</v>
      </c>
      <c r="HL4" s="9" t="str">
        <f t="shared" si="2"/>
        <v>T</v>
      </c>
      <c r="HM4" s="9" t="str">
        <f t="shared" si="2"/>
        <v>F</v>
      </c>
      <c r="HN4" s="9" t="str">
        <f t="shared" si="2"/>
        <v>S</v>
      </c>
      <c r="HO4" s="9" t="str">
        <f t="shared" si="2"/>
        <v>S</v>
      </c>
      <c r="HP4" s="9" t="str">
        <f t="shared" ref="HP4:KA4" si="3">LEFT(TEXT(HP5,"dddd"),1)</f>
        <v>M</v>
      </c>
      <c r="HQ4" s="9" t="str">
        <f t="shared" si="3"/>
        <v>T</v>
      </c>
      <c r="HR4" s="9" t="str">
        <f t="shared" si="3"/>
        <v>W</v>
      </c>
      <c r="HS4" s="9" t="str">
        <f t="shared" si="3"/>
        <v>T</v>
      </c>
      <c r="HT4" s="9" t="str">
        <f t="shared" si="3"/>
        <v>F</v>
      </c>
      <c r="HU4" s="9" t="str">
        <f t="shared" si="3"/>
        <v>S</v>
      </c>
      <c r="HV4" s="9" t="str">
        <f t="shared" si="3"/>
        <v>S</v>
      </c>
      <c r="HW4" s="9" t="str">
        <f t="shared" si="3"/>
        <v>M</v>
      </c>
      <c r="HX4" s="9" t="str">
        <f t="shared" si="3"/>
        <v>T</v>
      </c>
      <c r="HY4" s="9" t="str">
        <f t="shared" si="3"/>
        <v>W</v>
      </c>
      <c r="HZ4" s="9" t="str">
        <f t="shared" si="3"/>
        <v>T</v>
      </c>
      <c r="IA4" s="9" t="str">
        <f t="shared" si="3"/>
        <v>F</v>
      </c>
      <c r="IB4" s="9" t="str">
        <f t="shared" si="3"/>
        <v>S</v>
      </c>
      <c r="IC4" s="9" t="str">
        <f t="shared" si="3"/>
        <v>S</v>
      </c>
      <c r="ID4" s="9" t="str">
        <f t="shared" si="3"/>
        <v>M</v>
      </c>
      <c r="IE4" s="9" t="str">
        <f t="shared" si="3"/>
        <v>T</v>
      </c>
      <c r="IF4" s="9" t="str">
        <f t="shared" si="3"/>
        <v>W</v>
      </c>
      <c r="IG4" s="9" t="str">
        <f t="shared" si="3"/>
        <v>T</v>
      </c>
      <c r="IH4" s="9" t="str">
        <f t="shared" si="3"/>
        <v>F</v>
      </c>
      <c r="II4" s="9" t="str">
        <f t="shared" si="3"/>
        <v>S</v>
      </c>
      <c r="IJ4" s="9" t="str">
        <f t="shared" si="3"/>
        <v>S</v>
      </c>
      <c r="IK4" s="9" t="str">
        <f t="shared" si="3"/>
        <v>M</v>
      </c>
      <c r="IL4" s="9" t="str">
        <f t="shared" si="3"/>
        <v>T</v>
      </c>
      <c r="IM4" s="9" t="str">
        <f t="shared" si="3"/>
        <v>W</v>
      </c>
      <c r="IN4" s="9" t="str">
        <f t="shared" si="3"/>
        <v>T</v>
      </c>
      <c r="IO4" s="9" t="str">
        <f t="shared" si="3"/>
        <v>F</v>
      </c>
      <c r="IP4" s="9" t="str">
        <f t="shared" si="3"/>
        <v>S</v>
      </c>
      <c r="IQ4" s="9" t="str">
        <f t="shared" si="3"/>
        <v>S</v>
      </c>
      <c r="IR4" s="9" t="str">
        <f t="shared" si="3"/>
        <v>M</v>
      </c>
      <c r="IS4" s="9" t="str">
        <f t="shared" si="3"/>
        <v>T</v>
      </c>
      <c r="IT4" s="9" t="str">
        <f t="shared" si="3"/>
        <v>W</v>
      </c>
      <c r="IU4" s="9" t="str">
        <f t="shared" si="3"/>
        <v>T</v>
      </c>
      <c r="IV4" s="9" t="str">
        <f t="shared" si="3"/>
        <v>F</v>
      </c>
      <c r="IW4" s="9" t="str">
        <f t="shared" si="3"/>
        <v>S</v>
      </c>
      <c r="IX4" s="9" t="str">
        <f t="shared" si="3"/>
        <v>S</v>
      </c>
      <c r="IY4" s="9" t="str">
        <f t="shared" si="3"/>
        <v>M</v>
      </c>
      <c r="IZ4" s="9" t="str">
        <f t="shared" si="3"/>
        <v>T</v>
      </c>
      <c r="JA4" s="9" t="str">
        <f t="shared" si="3"/>
        <v>W</v>
      </c>
      <c r="JB4" s="9" t="str">
        <f t="shared" si="3"/>
        <v>T</v>
      </c>
      <c r="JC4" s="9" t="str">
        <f t="shared" si="3"/>
        <v>F</v>
      </c>
      <c r="JD4" s="9" t="str">
        <f t="shared" si="3"/>
        <v>S</v>
      </c>
      <c r="JE4" s="9" t="str">
        <f t="shared" si="3"/>
        <v>S</v>
      </c>
      <c r="JF4" s="9" t="str">
        <f t="shared" si="3"/>
        <v>M</v>
      </c>
      <c r="JG4" s="9" t="str">
        <f t="shared" si="3"/>
        <v>T</v>
      </c>
      <c r="JH4" s="9" t="str">
        <f t="shared" si="3"/>
        <v>W</v>
      </c>
      <c r="JI4" s="9" t="str">
        <f t="shared" si="3"/>
        <v>T</v>
      </c>
      <c r="JJ4" s="9" t="str">
        <f t="shared" si="3"/>
        <v>F</v>
      </c>
      <c r="JK4" s="9" t="str">
        <f t="shared" si="3"/>
        <v>S</v>
      </c>
      <c r="JL4" s="9" t="str">
        <f t="shared" si="3"/>
        <v>S</v>
      </c>
      <c r="JM4" s="9" t="str">
        <f t="shared" si="3"/>
        <v>M</v>
      </c>
      <c r="JN4" s="9" t="str">
        <f t="shared" si="3"/>
        <v>T</v>
      </c>
      <c r="JO4" s="9" t="str">
        <f t="shared" si="3"/>
        <v>W</v>
      </c>
      <c r="JP4" s="9" t="str">
        <f t="shared" si="3"/>
        <v>T</v>
      </c>
      <c r="JQ4" s="9" t="str">
        <f t="shared" si="3"/>
        <v>F</v>
      </c>
      <c r="JR4" s="9" t="str">
        <f t="shared" si="3"/>
        <v>S</v>
      </c>
      <c r="JS4" s="9" t="str">
        <f t="shared" si="3"/>
        <v>S</v>
      </c>
      <c r="JT4" s="9" t="str">
        <f t="shared" si="3"/>
        <v>M</v>
      </c>
      <c r="JU4" s="9" t="str">
        <f t="shared" si="3"/>
        <v>T</v>
      </c>
      <c r="JV4" s="9" t="str">
        <f t="shared" si="3"/>
        <v>W</v>
      </c>
      <c r="JW4" s="9" t="str">
        <f t="shared" si="3"/>
        <v>T</v>
      </c>
      <c r="JX4" s="9" t="str">
        <f t="shared" si="3"/>
        <v>F</v>
      </c>
      <c r="JY4" s="9" t="str">
        <f t="shared" si="3"/>
        <v>S</v>
      </c>
      <c r="JZ4" s="9" t="str">
        <f t="shared" si="3"/>
        <v>S</v>
      </c>
      <c r="KA4" s="9" t="str">
        <f t="shared" si="3"/>
        <v>M</v>
      </c>
      <c r="KB4" s="9" t="str">
        <f t="shared" ref="KB4:MM4" si="4">LEFT(TEXT(KB5,"dddd"),1)</f>
        <v>T</v>
      </c>
      <c r="KC4" s="9" t="str">
        <f t="shared" si="4"/>
        <v>W</v>
      </c>
      <c r="KD4" s="9" t="str">
        <f t="shared" si="4"/>
        <v>T</v>
      </c>
      <c r="KE4" s="9" t="str">
        <f t="shared" si="4"/>
        <v>F</v>
      </c>
      <c r="KF4" s="9" t="str">
        <f t="shared" si="4"/>
        <v>S</v>
      </c>
      <c r="KG4" s="9" t="str">
        <f t="shared" si="4"/>
        <v>S</v>
      </c>
      <c r="KH4" s="9" t="str">
        <f t="shared" si="4"/>
        <v>M</v>
      </c>
      <c r="KI4" s="9" t="str">
        <f t="shared" si="4"/>
        <v>T</v>
      </c>
      <c r="KJ4" s="9" t="str">
        <f t="shared" si="4"/>
        <v>W</v>
      </c>
      <c r="KK4" s="9" t="str">
        <f t="shared" si="4"/>
        <v>T</v>
      </c>
      <c r="KL4" s="9" t="str">
        <f t="shared" si="4"/>
        <v>F</v>
      </c>
      <c r="KM4" s="9" t="str">
        <f t="shared" si="4"/>
        <v>S</v>
      </c>
      <c r="KN4" s="9" t="str">
        <f t="shared" si="4"/>
        <v>S</v>
      </c>
      <c r="KO4" s="9" t="str">
        <f t="shared" si="4"/>
        <v>M</v>
      </c>
      <c r="KP4" s="9" t="str">
        <f t="shared" si="4"/>
        <v>T</v>
      </c>
      <c r="KQ4" s="9" t="str">
        <f t="shared" si="4"/>
        <v>W</v>
      </c>
      <c r="KR4" s="9" t="str">
        <f t="shared" si="4"/>
        <v>T</v>
      </c>
      <c r="KS4" s="9" t="str">
        <f t="shared" si="4"/>
        <v>F</v>
      </c>
      <c r="KT4" s="9" t="str">
        <f t="shared" si="4"/>
        <v>S</v>
      </c>
      <c r="KU4" s="9" t="str">
        <f t="shared" si="4"/>
        <v>S</v>
      </c>
      <c r="KV4" s="9" t="str">
        <f t="shared" si="4"/>
        <v>M</v>
      </c>
      <c r="KW4" s="9" t="str">
        <f t="shared" si="4"/>
        <v>T</v>
      </c>
      <c r="KX4" s="9" t="str">
        <f t="shared" si="4"/>
        <v>W</v>
      </c>
      <c r="KY4" s="9" t="str">
        <f t="shared" si="4"/>
        <v>T</v>
      </c>
      <c r="KZ4" s="9" t="str">
        <f t="shared" si="4"/>
        <v>F</v>
      </c>
      <c r="LA4" s="9" t="str">
        <f t="shared" si="4"/>
        <v>S</v>
      </c>
      <c r="LB4" s="9" t="str">
        <f t="shared" si="4"/>
        <v>S</v>
      </c>
      <c r="LC4" s="9" t="str">
        <f t="shared" si="4"/>
        <v>M</v>
      </c>
      <c r="LD4" s="9" t="str">
        <f t="shared" si="4"/>
        <v>T</v>
      </c>
      <c r="LE4" s="9" t="str">
        <f t="shared" si="4"/>
        <v>W</v>
      </c>
      <c r="LF4" s="9" t="str">
        <f t="shared" si="4"/>
        <v>T</v>
      </c>
      <c r="LG4" s="9" t="str">
        <f t="shared" si="4"/>
        <v>F</v>
      </c>
      <c r="LH4" s="9" t="str">
        <f t="shared" si="4"/>
        <v>S</v>
      </c>
      <c r="LI4" s="9" t="str">
        <f t="shared" si="4"/>
        <v>S</v>
      </c>
      <c r="LJ4" s="9" t="str">
        <f t="shared" si="4"/>
        <v>M</v>
      </c>
      <c r="LK4" s="9" t="str">
        <f t="shared" si="4"/>
        <v>T</v>
      </c>
      <c r="LL4" s="9" t="str">
        <f t="shared" si="4"/>
        <v>W</v>
      </c>
      <c r="LM4" s="9" t="str">
        <f t="shared" si="4"/>
        <v>T</v>
      </c>
      <c r="LN4" s="9" t="str">
        <f t="shared" si="4"/>
        <v>F</v>
      </c>
      <c r="LO4" s="9" t="str">
        <f t="shared" si="4"/>
        <v>S</v>
      </c>
      <c r="LP4" s="9" t="str">
        <f t="shared" si="4"/>
        <v>S</v>
      </c>
      <c r="LQ4" s="9" t="str">
        <f t="shared" si="4"/>
        <v>M</v>
      </c>
      <c r="LR4" s="9" t="str">
        <f t="shared" si="4"/>
        <v>T</v>
      </c>
      <c r="LS4" s="9" t="str">
        <f t="shared" si="4"/>
        <v>W</v>
      </c>
      <c r="LT4" s="9" t="str">
        <f t="shared" si="4"/>
        <v>T</v>
      </c>
      <c r="LU4" s="9" t="str">
        <f t="shared" si="4"/>
        <v>F</v>
      </c>
      <c r="LV4" s="9" t="str">
        <f t="shared" si="4"/>
        <v>S</v>
      </c>
      <c r="LW4" s="9" t="str">
        <f t="shared" si="4"/>
        <v>S</v>
      </c>
      <c r="LX4" s="9" t="str">
        <f t="shared" si="4"/>
        <v>M</v>
      </c>
      <c r="LY4" s="9" t="str">
        <f t="shared" si="4"/>
        <v>T</v>
      </c>
      <c r="LZ4" s="9" t="str">
        <f t="shared" si="4"/>
        <v>W</v>
      </c>
      <c r="MA4" s="9" t="str">
        <f t="shared" si="4"/>
        <v>T</v>
      </c>
      <c r="MB4" s="9" t="str">
        <f t="shared" si="4"/>
        <v>F</v>
      </c>
      <c r="MC4" s="9" t="str">
        <f t="shared" si="4"/>
        <v>S</v>
      </c>
      <c r="MD4" s="9" t="str">
        <f t="shared" si="4"/>
        <v>S</v>
      </c>
      <c r="ME4" s="9" t="str">
        <f t="shared" si="4"/>
        <v>M</v>
      </c>
      <c r="MF4" s="9" t="str">
        <f t="shared" si="4"/>
        <v>T</v>
      </c>
      <c r="MG4" s="9" t="str">
        <f t="shared" si="4"/>
        <v>W</v>
      </c>
      <c r="MH4" s="9" t="str">
        <f t="shared" si="4"/>
        <v>T</v>
      </c>
      <c r="MI4" s="9" t="str">
        <f t="shared" si="4"/>
        <v>F</v>
      </c>
      <c r="MJ4" s="9" t="str">
        <f t="shared" si="4"/>
        <v>S</v>
      </c>
      <c r="MK4" s="9" t="str">
        <f t="shared" si="4"/>
        <v>S</v>
      </c>
      <c r="ML4" s="9" t="str">
        <f t="shared" si="4"/>
        <v>M</v>
      </c>
      <c r="MM4" s="9" t="str">
        <f t="shared" si="4"/>
        <v>T</v>
      </c>
      <c r="MN4" s="9" t="str">
        <f t="shared" ref="MN4:OE4" si="5">LEFT(TEXT(MN5,"dddd"),1)</f>
        <v>W</v>
      </c>
      <c r="MO4" s="9" t="str">
        <f t="shared" si="5"/>
        <v>T</v>
      </c>
      <c r="MP4" s="9" t="str">
        <f t="shared" si="5"/>
        <v>F</v>
      </c>
      <c r="MQ4" s="9" t="str">
        <f t="shared" si="5"/>
        <v>S</v>
      </c>
      <c r="MR4" s="9" t="str">
        <f t="shared" si="5"/>
        <v>S</v>
      </c>
      <c r="MS4" s="9" t="str">
        <f t="shared" si="5"/>
        <v>M</v>
      </c>
      <c r="MT4" s="9" t="str">
        <f t="shared" si="5"/>
        <v>T</v>
      </c>
      <c r="MU4" s="9" t="str">
        <f t="shared" si="5"/>
        <v>W</v>
      </c>
      <c r="MV4" s="9" t="str">
        <f t="shared" si="5"/>
        <v>T</v>
      </c>
      <c r="MW4" s="9" t="str">
        <f t="shared" si="5"/>
        <v>F</v>
      </c>
      <c r="MX4" s="9" t="str">
        <f t="shared" si="5"/>
        <v>S</v>
      </c>
      <c r="MY4" s="9" t="str">
        <f t="shared" si="5"/>
        <v>S</v>
      </c>
      <c r="MZ4" s="9" t="str">
        <f t="shared" si="5"/>
        <v>M</v>
      </c>
      <c r="NA4" s="9" t="str">
        <f t="shared" si="5"/>
        <v>T</v>
      </c>
      <c r="NB4" s="9" t="str">
        <f t="shared" si="5"/>
        <v>W</v>
      </c>
      <c r="NC4" s="9" t="str">
        <f t="shared" si="5"/>
        <v>T</v>
      </c>
      <c r="ND4" s="9" t="str">
        <f t="shared" si="5"/>
        <v>F</v>
      </c>
      <c r="NE4" s="9" t="str">
        <f t="shared" si="5"/>
        <v>S</v>
      </c>
      <c r="NF4" s="9" t="str">
        <f t="shared" si="5"/>
        <v>S</v>
      </c>
      <c r="NG4" s="9" t="str">
        <f t="shared" si="5"/>
        <v>M</v>
      </c>
      <c r="NH4" s="9" t="str">
        <f t="shared" si="5"/>
        <v>T</v>
      </c>
      <c r="NI4" s="9" t="str">
        <f t="shared" si="5"/>
        <v>W</v>
      </c>
      <c r="NJ4" s="9" t="str">
        <f t="shared" si="5"/>
        <v>T</v>
      </c>
      <c r="NK4" s="9" t="str">
        <f t="shared" si="5"/>
        <v>F</v>
      </c>
      <c r="NL4" s="9" t="str">
        <f t="shared" si="5"/>
        <v>S</v>
      </c>
      <c r="NM4" s="9" t="str">
        <f t="shared" si="5"/>
        <v>S</v>
      </c>
      <c r="NN4" s="9" t="str">
        <f t="shared" si="5"/>
        <v>M</v>
      </c>
      <c r="NO4" s="9" t="str">
        <f t="shared" si="5"/>
        <v>T</v>
      </c>
      <c r="NP4" s="9" t="str">
        <f t="shared" si="5"/>
        <v>W</v>
      </c>
      <c r="NQ4" s="9" t="str">
        <f t="shared" si="5"/>
        <v>T</v>
      </c>
      <c r="NR4" s="9" t="str">
        <f t="shared" si="5"/>
        <v>F</v>
      </c>
      <c r="NS4" s="9" t="str">
        <f t="shared" si="5"/>
        <v>S</v>
      </c>
      <c r="NT4" s="9" t="str">
        <f t="shared" si="5"/>
        <v>S</v>
      </c>
      <c r="NU4" s="9" t="str">
        <f t="shared" si="5"/>
        <v>M</v>
      </c>
      <c r="NV4" s="9" t="str">
        <f t="shared" si="5"/>
        <v>T</v>
      </c>
      <c r="NW4" s="9" t="str">
        <f t="shared" si="5"/>
        <v>W</v>
      </c>
      <c r="NX4" s="9" t="str">
        <f t="shared" si="5"/>
        <v>T</v>
      </c>
      <c r="NY4" s="9" t="str">
        <f t="shared" si="5"/>
        <v>F</v>
      </c>
      <c r="NZ4" s="9" t="str">
        <f t="shared" si="5"/>
        <v>S</v>
      </c>
      <c r="OA4" s="9" t="str">
        <f t="shared" si="5"/>
        <v>S</v>
      </c>
      <c r="OB4" s="9" t="str">
        <f t="shared" si="5"/>
        <v>M</v>
      </c>
      <c r="OC4" s="9" t="str">
        <f t="shared" si="5"/>
        <v>T</v>
      </c>
      <c r="OD4" s="9" t="str">
        <f t="shared" si="5"/>
        <v>W</v>
      </c>
      <c r="OE4" s="30" t="str">
        <f t="shared" si="5"/>
        <v>T</v>
      </c>
    </row>
    <row r="5" spans="1:395">
      <c r="A5" s="205"/>
      <c r="B5" s="206"/>
      <c r="C5" s="206"/>
      <c r="D5" s="206"/>
      <c r="E5" s="206"/>
      <c r="F5" s="206"/>
      <c r="G5" s="221"/>
      <c r="H5" s="219"/>
      <c r="I5" s="219"/>
      <c r="J5" s="219"/>
      <c r="K5" s="219"/>
      <c r="L5" s="219"/>
      <c r="M5" s="219"/>
      <c r="N5" s="219"/>
      <c r="O5" s="219"/>
      <c r="P5" s="219"/>
      <c r="Q5" s="219"/>
      <c r="R5" s="219"/>
      <c r="S5" s="219"/>
      <c r="T5" s="219"/>
      <c r="U5" s="219"/>
      <c r="V5" s="219"/>
      <c r="W5" s="219"/>
      <c r="X5" s="219"/>
      <c r="Y5" s="219"/>
      <c r="Z5" s="219"/>
      <c r="AA5" s="219"/>
      <c r="AB5" s="219"/>
      <c r="AC5" s="219"/>
      <c r="AD5" s="219"/>
      <c r="AE5" s="10">
        <v>46023</v>
      </c>
      <c r="AF5" s="10">
        <v>46024</v>
      </c>
      <c r="AG5" s="10">
        <v>46025</v>
      </c>
      <c r="AH5" s="10">
        <v>46026</v>
      </c>
      <c r="AI5" s="10">
        <v>46027</v>
      </c>
      <c r="AJ5" s="10">
        <v>46028</v>
      </c>
      <c r="AK5" s="10">
        <v>46029</v>
      </c>
      <c r="AL5" s="10">
        <v>46030</v>
      </c>
      <c r="AM5" s="10">
        <v>46031</v>
      </c>
      <c r="AN5" s="10">
        <v>46032</v>
      </c>
      <c r="AO5" s="10">
        <v>46033</v>
      </c>
      <c r="AP5" s="10">
        <v>46034</v>
      </c>
      <c r="AQ5" s="10">
        <v>46035</v>
      </c>
      <c r="AR5" s="10">
        <v>46036</v>
      </c>
      <c r="AS5" s="10">
        <v>46037</v>
      </c>
      <c r="AT5" s="10">
        <v>46038</v>
      </c>
      <c r="AU5" s="10">
        <v>46039</v>
      </c>
      <c r="AV5" s="10">
        <v>46040</v>
      </c>
      <c r="AW5" s="10">
        <v>46041</v>
      </c>
      <c r="AX5" s="10">
        <v>46042</v>
      </c>
      <c r="AY5" s="10">
        <v>46043</v>
      </c>
      <c r="AZ5" s="10">
        <v>46044</v>
      </c>
      <c r="BA5" s="10">
        <v>46045</v>
      </c>
      <c r="BB5" s="10">
        <v>46046</v>
      </c>
      <c r="BC5" s="10">
        <v>46047</v>
      </c>
      <c r="BD5" s="10">
        <v>46048</v>
      </c>
      <c r="BE5" s="10">
        <v>46049</v>
      </c>
      <c r="BF5" s="10">
        <v>46050</v>
      </c>
      <c r="BG5" s="10">
        <v>46051</v>
      </c>
      <c r="BH5" s="10">
        <v>46052</v>
      </c>
      <c r="BI5" s="10">
        <v>46053</v>
      </c>
      <c r="BJ5" s="10">
        <v>46054</v>
      </c>
      <c r="BK5" s="10">
        <v>46055</v>
      </c>
      <c r="BL5" s="10">
        <v>46056</v>
      </c>
      <c r="BM5" s="10">
        <v>46057</v>
      </c>
      <c r="BN5" s="10">
        <v>46058</v>
      </c>
      <c r="BO5" s="10">
        <v>46059</v>
      </c>
      <c r="BP5" s="10">
        <v>46060</v>
      </c>
      <c r="BQ5" s="10">
        <v>46061</v>
      </c>
      <c r="BR5" s="10">
        <v>46062</v>
      </c>
      <c r="BS5" s="10">
        <v>46063</v>
      </c>
      <c r="BT5" s="10">
        <v>46064</v>
      </c>
      <c r="BU5" s="10">
        <v>46065</v>
      </c>
      <c r="BV5" s="10">
        <v>46066</v>
      </c>
      <c r="BW5" s="10">
        <v>46067</v>
      </c>
      <c r="BX5" s="10">
        <v>46068</v>
      </c>
      <c r="BY5" s="10">
        <v>46069</v>
      </c>
      <c r="BZ5" s="10">
        <v>46070</v>
      </c>
      <c r="CA5" s="10">
        <v>46071</v>
      </c>
      <c r="CB5" s="10">
        <v>46072</v>
      </c>
      <c r="CC5" s="10">
        <v>46073</v>
      </c>
      <c r="CD5" s="10">
        <v>46074</v>
      </c>
      <c r="CE5" s="10">
        <v>46075</v>
      </c>
      <c r="CF5" s="10">
        <v>46076</v>
      </c>
      <c r="CG5" s="10">
        <v>46077</v>
      </c>
      <c r="CH5" s="10">
        <v>46078</v>
      </c>
      <c r="CI5" s="10">
        <v>46079</v>
      </c>
      <c r="CJ5" s="10">
        <v>46080</v>
      </c>
      <c r="CK5" s="10">
        <v>46081</v>
      </c>
      <c r="CL5" s="10">
        <v>46082</v>
      </c>
      <c r="CM5" s="10">
        <v>46083</v>
      </c>
      <c r="CN5" s="10">
        <v>46084</v>
      </c>
      <c r="CO5" s="10">
        <v>46085</v>
      </c>
      <c r="CP5" s="10">
        <v>46086</v>
      </c>
      <c r="CQ5" s="10">
        <v>46087</v>
      </c>
      <c r="CR5" s="10">
        <v>46088</v>
      </c>
      <c r="CS5" s="10">
        <v>46089</v>
      </c>
      <c r="CT5" s="10">
        <v>46090</v>
      </c>
      <c r="CU5" s="10">
        <v>46091</v>
      </c>
      <c r="CV5" s="10">
        <v>46092</v>
      </c>
      <c r="CW5" s="10">
        <v>46093</v>
      </c>
      <c r="CX5" s="10">
        <v>46094</v>
      </c>
      <c r="CY5" s="10">
        <v>46095</v>
      </c>
      <c r="CZ5" s="10">
        <v>46096</v>
      </c>
      <c r="DA5" s="10">
        <v>46097</v>
      </c>
      <c r="DB5" s="10">
        <v>46098</v>
      </c>
      <c r="DC5" s="10">
        <v>46099</v>
      </c>
      <c r="DD5" s="10">
        <v>46100</v>
      </c>
      <c r="DE5" s="10">
        <v>46101</v>
      </c>
      <c r="DF5" s="10">
        <v>46102</v>
      </c>
      <c r="DG5" s="10">
        <v>46103</v>
      </c>
      <c r="DH5" s="10">
        <v>46104</v>
      </c>
      <c r="DI5" s="10">
        <v>46105</v>
      </c>
      <c r="DJ5" s="10">
        <v>46106</v>
      </c>
      <c r="DK5" s="10">
        <v>46107</v>
      </c>
      <c r="DL5" s="10">
        <v>46108</v>
      </c>
      <c r="DM5" s="10">
        <v>46109</v>
      </c>
      <c r="DN5" s="10">
        <v>46110</v>
      </c>
      <c r="DO5" s="10">
        <v>46111</v>
      </c>
      <c r="DP5" s="10">
        <v>46112</v>
      </c>
      <c r="DQ5" s="10">
        <v>46113</v>
      </c>
      <c r="DR5" s="10">
        <v>46114</v>
      </c>
      <c r="DS5" s="10">
        <v>46115</v>
      </c>
      <c r="DT5" s="10">
        <v>46116</v>
      </c>
      <c r="DU5" s="10">
        <v>46117</v>
      </c>
      <c r="DV5" s="10">
        <v>46118</v>
      </c>
      <c r="DW5" s="10">
        <v>46119</v>
      </c>
      <c r="DX5" s="10">
        <v>46120</v>
      </c>
      <c r="DY5" s="10">
        <v>46121</v>
      </c>
      <c r="DZ5" s="10">
        <v>46122</v>
      </c>
      <c r="EA5" s="10">
        <v>46123</v>
      </c>
      <c r="EB5" s="10">
        <v>46124</v>
      </c>
      <c r="EC5" s="10">
        <v>46125</v>
      </c>
      <c r="ED5" s="10">
        <v>46126</v>
      </c>
      <c r="EE5" s="10">
        <v>46127</v>
      </c>
      <c r="EF5" s="10">
        <v>46128</v>
      </c>
      <c r="EG5" s="10">
        <v>46129</v>
      </c>
      <c r="EH5" s="10">
        <v>46130</v>
      </c>
      <c r="EI5" s="10">
        <v>46131</v>
      </c>
      <c r="EJ5" s="10">
        <v>46132</v>
      </c>
      <c r="EK5" s="10">
        <v>46133</v>
      </c>
      <c r="EL5" s="10">
        <v>46134</v>
      </c>
      <c r="EM5" s="10">
        <v>46135</v>
      </c>
      <c r="EN5" s="10">
        <v>46136</v>
      </c>
      <c r="EO5" s="10">
        <v>46137</v>
      </c>
      <c r="EP5" s="10">
        <v>46138</v>
      </c>
      <c r="EQ5" s="10">
        <v>46139</v>
      </c>
      <c r="ER5" s="10">
        <v>46140</v>
      </c>
      <c r="ES5" s="10">
        <v>46141</v>
      </c>
      <c r="ET5" s="10">
        <v>46142</v>
      </c>
      <c r="EU5" s="10">
        <v>46143</v>
      </c>
      <c r="EV5" s="10">
        <v>46144</v>
      </c>
      <c r="EW5" s="10">
        <v>46145</v>
      </c>
      <c r="EX5" s="10">
        <v>46146</v>
      </c>
      <c r="EY5" s="10">
        <v>46147</v>
      </c>
      <c r="EZ5" s="10">
        <v>46148</v>
      </c>
      <c r="FA5" s="10">
        <v>46149</v>
      </c>
      <c r="FB5" s="10">
        <v>46150</v>
      </c>
      <c r="FC5" s="10">
        <v>46151</v>
      </c>
      <c r="FD5" s="10">
        <v>46152</v>
      </c>
      <c r="FE5" s="10">
        <v>46153</v>
      </c>
      <c r="FF5" s="10">
        <v>46154</v>
      </c>
      <c r="FG5" s="10">
        <v>46155</v>
      </c>
      <c r="FH5" s="10">
        <v>46156</v>
      </c>
      <c r="FI5" s="10">
        <v>46157</v>
      </c>
      <c r="FJ5" s="10">
        <v>46158</v>
      </c>
      <c r="FK5" s="10">
        <v>46159</v>
      </c>
      <c r="FL5" s="10">
        <v>46160</v>
      </c>
      <c r="FM5" s="10">
        <v>46161</v>
      </c>
      <c r="FN5" s="10">
        <v>46162</v>
      </c>
      <c r="FO5" s="10">
        <v>46163</v>
      </c>
      <c r="FP5" s="10">
        <v>46164</v>
      </c>
      <c r="FQ5" s="10">
        <v>46165</v>
      </c>
      <c r="FR5" s="10">
        <v>46166</v>
      </c>
      <c r="FS5" s="10">
        <v>46167</v>
      </c>
      <c r="FT5" s="10">
        <v>46168</v>
      </c>
      <c r="FU5" s="10">
        <v>46169</v>
      </c>
      <c r="FV5" s="10">
        <v>46170</v>
      </c>
      <c r="FW5" s="10">
        <v>46171</v>
      </c>
      <c r="FX5" s="10">
        <v>46172</v>
      </c>
      <c r="FY5" s="10">
        <v>46173</v>
      </c>
      <c r="FZ5" s="10">
        <v>46174</v>
      </c>
      <c r="GA5" s="10">
        <v>46175</v>
      </c>
      <c r="GB5" s="10">
        <v>46176</v>
      </c>
      <c r="GC5" s="10">
        <v>46177</v>
      </c>
      <c r="GD5" s="10">
        <v>46178</v>
      </c>
      <c r="GE5" s="10">
        <v>46179</v>
      </c>
      <c r="GF5" s="10">
        <v>46180</v>
      </c>
      <c r="GG5" s="10">
        <v>46181</v>
      </c>
      <c r="GH5" s="10">
        <v>46182</v>
      </c>
      <c r="GI5" s="10">
        <v>46183</v>
      </c>
      <c r="GJ5" s="10">
        <v>46184</v>
      </c>
      <c r="GK5" s="10">
        <v>46185</v>
      </c>
      <c r="GL5" s="10">
        <v>46186</v>
      </c>
      <c r="GM5" s="10">
        <v>46187</v>
      </c>
      <c r="GN5" s="10">
        <v>46188</v>
      </c>
      <c r="GO5" s="10">
        <v>46189</v>
      </c>
      <c r="GP5" s="10">
        <v>46190</v>
      </c>
      <c r="GQ5" s="10">
        <v>46191</v>
      </c>
      <c r="GR5" s="10">
        <v>46192</v>
      </c>
      <c r="GS5" s="10">
        <v>46193</v>
      </c>
      <c r="GT5" s="10">
        <v>46194</v>
      </c>
      <c r="GU5" s="10">
        <v>46195</v>
      </c>
      <c r="GV5" s="10">
        <v>46196</v>
      </c>
      <c r="GW5" s="10">
        <v>46197</v>
      </c>
      <c r="GX5" s="10">
        <v>46198</v>
      </c>
      <c r="GY5" s="10">
        <v>46199</v>
      </c>
      <c r="GZ5" s="10">
        <v>46200</v>
      </c>
      <c r="HA5" s="10">
        <v>46201</v>
      </c>
      <c r="HB5" s="10">
        <v>46202</v>
      </c>
      <c r="HC5" s="10">
        <v>46203</v>
      </c>
      <c r="HD5" s="10">
        <v>46204</v>
      </c>
      <c r="HE5" s="10">
        <v>46205</v>
      </c>
      <c r="HF5" s="10">
        <v>46206</v>
      </c>
      <c r="HG5" s="10">
        <v>46207</v>
      </c>
      <c r="HH5" s="10">
        <v>46208</v>
      </c>
      <c r="HI5" s="10">
        <v>46209</v>
      </c>
      <c r="HJ5" s="10">
        <v>46210</v>
      </c>
      <c r="HK5" s="10">
        <v>46211</v>
      </c>
      <c r="HL5" s="10">
        <v>46212</v>
      </c>
      <c r="HM5" s="10">
        <v>46213</v>
      </c>
      <c r="HN5" s="10">
        <v>46214</v>
      </c>
      <c r="HO5" s="10">
        <v>46215</v>
      </c>
      <c r="HP5" s="10">
        <v>46216</v>
      </c>
      <c r="HQ5" s="10">
        <v>46217</v>
      </c>
      <c r="HR5" s="10">
        <v>46218</v>
      </c>
      <c r="HS5" s="10">
        <v>46219</v>
      </c>
      <c r="HT5" s="10">
        <v>46220</v>
      </c>
      <c r="HU5" s="10">
        <v>46221</v>
      </c>
      <c r="HV5" s="10">
        <v>46222</v>
      </c>
      <c r="HW5" s="10">
        <v>46223</v>
      </c>
      <c r="HX5" s="10">
        <v>46224</v>
      </c>
      <c r="HY5" s="10">
        <v>46225</v>
      </c>
      <c r="HZ5" s="10">
        <v>46226</v>
      </c>
      <c r="IA5" s="10">
        <v>46227</v>
      </c>
      <c r="IB5" s="10">
        <v>46228</v>
      </c>
      <c r="IC5" s="10">
        <v>46229</v>
      </c>
      <c r="ID5" s="10">
        <v>46230</v>
      </c>
      <c r="IE5" s="10">
        <v>46231</v>
      </c>
      <c r="IF5" s="10">
        <v>46232</v>
      </c>
      <c r="IG5" s="10">
        <v>46233</v>
      </c>
      <c r="IH5" s="10">
        <v>46234</v>
      </c>
      <c r="II5" s="10">
        <v>46235</v>
      </c>
      <c r="IJ5" s="10">
        <v>46236</v>
      </c>
      <c r="IK5" s="10">
        <v>46237</v>
      </c>
      <c r="IL5" s="10">
        <v>46238</v>
      </c>
      <c r="IM5" s="10">
        <v>46239</v>
      </c>
      <c r="IN5" s="10">
        <v>46240</v>
      </c>
      <c r="IO5" s="10">
        <v>46241</v>
      </c>
      <c r="IP5" s="10">
        <v>46242</v>
      </c>
      <c r="IQ5" s="10">
        <v>46243</v>
      </c>
      <c r="IR5" s="10">
        <v>46244</v>
      </c>
      <c r="IS5" s="10">
        <v>46245</v>
      </c>
      <c r="IT5" s="10">
        <v>46246</v>
      </c>
      <c r="IU5" s="10">
        <v>46247</v>
      </c>
      <c r="IV5" s="10">
        <v>46248</v>
      </c>
      <c r="IW5" s="10">
        <v>46249</v>
      </c>
      <c r="IX5" s="10">
        <v>46250</v>
      </c>
      <c r="IY5" s="10">
        <v>46251</v>
      </c>
      <c r="IZ5" s="10">
        <v>46252</v>
      </c>
      <c r="JA5" s="10">
        <v>46253</v>
      </c>
      <c r="JB5" s="10">
        <v>46254</v>
      </c>
      <c r="JC5" s="10">
        <v>46255</v>
      </c>
      <c r="JD5" s="10">
        <v>46256</v>
      </c>
      <c r="JE5" s="10">
        <v>46257</v>
      </c>
      <c r="JF5" s="10">
        <v>46258</v>
      </c>
      <c r="JG5" s="10">
        <v>46259</v>
      </c>
      <c r="JH5" s="10">
        <v>46260</v>
      </c>
      <c r="JI5" s="10">
        <v>46261</v>
      </c>
      <c r="JJ5" s="10">
        <v>46262</v>
      </c>
      <c r="JK5" s="10">
        <v>46263</v>
      </c>
      <c r="JL5" s="10">
        <v>46264</v>
      </c>
      <c r="JM5" s="10">
        <v>46265</v>
      </c>
      <c r="JN5" s="10">
        <v>46266</v>
      </c>
      <c r="JO5" s="10">
        <v>46267</v>
      </c>
      <c r="JP5" s="10">
        <v>46268</v>
      </c>
      <c r="JQ5" s="10">
        <v>46269</v>
      </c>
      <c r="JR5" s="10">
        <v>46270</v>
      </c>
      <c r="JS5" s="10">
        <v>46271</v>
      </c>
      <c r="JT5" s="10">
        <v>46272</v>
      </c>
      <c r="JU5" s="10">
        <v>46273</v>
      </c>
      <c r="JV5" s="10">
        <v>46274</v>
      </c>
      <c r="JW5" s="10">
        <v>46275</v>
      </c>
      <c r="JX5" s="10">
        <v>46276</v>
      </c>
      <c r="JY5" s="10">
        <v>46277</v>
      </c>
      <c r="JZ5" s="10">
        <v>46278</v>
      </c>
      <c r="KA5" s="10">
        <v>46279</v>
      </c>
      <c r="KB5" s="10">
        <v>46280</v>
      </c>
      <c r="KC5" s="10">
        <v>46281</v>
      </c>
      <c r="KD5" s="10">
        <v>46282</v>
      </c>
      <c r="KE5" s="10">
        <v>46283</v>
      </c>
      <c r="KF5" s="10">
        <v>46284</v>
      </c>
      <c r="KG5" s="10">
        <v>46285</v>
      </c>
      <c r="KH5" s="10">
        <v>46286</v>
      </c>
      <c r="KI5" s="10">
        <v>46287</v>
      </c>
      <c r="KJ5" s="10">
        <v>46288</v>
      </c>
      <c r="KK5" s="10">
        <v>46289</v>
      </c>
      <c r="KL5" s="10">
        <v>46290</v>
      </c>
      <c r="KM5" s="10">
        <v>46291</v>
      </c>
      <c r="KN5" s="10">
        <v>46292</v>
      </c>
      <c r="KO5" s="10">
        <v>46293</v>
      </c>
      <c r="KP5" s="10">
        <v>46294</v>
      </c>
      <c r="KQ5" s="10">
        <v>46295</v>
      </c>
      <c r="KR5" s="10">
        <v>46296</v>
      </c>
      <c r="KS5" s="10">
        <v>46297</v>
      </c>
      <c r="KT5" s="10">
        <v>46298</v>
      </c>
      <c r="KU5" s="10">
        <v>46299</v>
      </c>
      <c r="KV5" s="10">
        <v>46300</v>
      </c>
      <c r="KW5" s="10">
        <v>46301</v>
      </c>
      <c r="KX5" s="10">
        <v>46302</v>
      </c>
      <c r="KY5" s="10">
        <v>46303</v>
      </c>
      <c r="KZ5" s="10">
        <v>46304</v>
      </c>
      <c r="LA5" s="10">
        <v>46305</v>
      </c>
      <c r="LB5" s="10">
        <v>46306</v>
      </c>
      <c r="LC5" s="10">
        <v>46307</v>
      </c>
      <c r="LD5" s="10">
        <v>46308</v>
      </c>
      <c r="LE5" s="10">
        <v>46309</v>
      </c>
      <c r="LF5" s="10">
        <v>46310</v>
      </c>
      <c r="LG5" s="10">
        <v>46311</v>
      </c>
      <c r="LH5" s="10">
        <v>46312</v>
      </c>
      <c r="LI5" s="10">
        <v>46313</v>
      </c>
      <c r="LJ5" s="10">
        <v>46314</v>
      </c>
      <c r="LK5" s="10">
        <v>46315</v>
      </c>
      <c r="LL5" s="10">
        <v>46316</v>
      </c>
      <c r="LM5" s="10">
        <v>46317</v>
      </c>
      <c r="LN5" s="10">
        <v>46318</v>
      </c>
      <c r="LO5" s="10">
        <v>46319</v>
      </c>
      <c r="LP5" s="10">
        <v>46320</v>
      </c>
      <c r="LQ5" s="10">
        <v>46321</v>
      </c>
      <c r="LR5" s="10">
        <v>46322</v>
      </c>
      <c r="LS5" s="10">
        <v>46323</v>
      </c>
      <c r="LT5" s="10">
        <v>46324</v>
      </c>
      <c r="LU5" s="10">
        <v>46325</v>
      </c>
      <c r="LV5" s="10">
        <v>46326</v>
      </c>
      <c r="LW5" s="10">
        <v>46327</v>
      </c>
      <c r="LX5" s="10">
        <v>46328</v>
      </c>
      <c r="LY5" s="10">
        <v>46329</v>
      </c>
      <c r="LZ5" s="10">
        <v>46330</v>
      </c>
      <c r="MA5" s="10">
        <v>46331</v>
      </c>
      <c r="MB5" s="10">
        <v>46332</v>
      </c>
      <c r="MC5" s="10">
        <v>46333</v>
      </c>
      <c r="MD5" s="10">
        <v>46334</v>
      </c>
      <c r="ME5" s="10">
        <v>46335</v>
      </c>
      <c r="MF5" s="10">
        <v>46336</v>
      </c>
      <c r="MG5" s="10">
        <v>46337</v>
      </c>
      <c r="MH5" s="10">
        <v>46338</v>
      </c>
      <c r="MI5" s="10">
        <v>46339</v>
      </c>
      <c r="MJ5" s="10">
        <v>46340</v>
      </c>
      <c r="MK5" s="10">
        <v>46341</v>
      </c>
      <c r="ML5" s="10">
        <v>46342</v>
      </c>
      <c r="MM5" s="10">
        <v>46343</v>
      </c>
      <c r="MN5" s="10">
        <v>46344</v>
      </c>
      <c r="MO5" s="10">
        <v>46345</v>
      </c>
      <c r="MP5" s="10">
        <v>46346</v>
      </c>
      <c r="MQ5" s="10">
        <v>46347</v>
      </c>
      <c r="MR5" s="10">
        <v>46348</v>
      </c>
      <c r="MS5" s="10">
        <v>46349</v>
      </c>
      <c r="MT5" s="10">
        <v>46350</v>
      </c>
      <c r="MU5" s="10">
        <v>46351</v>
      </c>
      <c r="MV5" s="10">
        <v>46352</v>
      </c>
      <c r="MW5" s="10">
        <v>46353</v>
      </c>
      <c r="MX5" s="10">
        <v>46354</v>
      </c>
      <c r="MY5" s="10">
        <v>46355</v>
      </c>
      <c r="MZ5" s="10">
        <v>46356</v>
      </c>
      <c r="NA5" s="10">
        <v>46357</v>
      </c>
      <c r="NB5" s="10">
        <v>46358</v>
      </c>
      <c r="NC5" s="10">
        <v>46359</v>
      </c>
      <c r="ND5" s="10">
        <v>46360</v>
      </c>
      <c r="NE5" s="10">
        <v>46361</v>
      </c>
      <c r="NF5" s="10">
        <v>46362</v>
      </c>
      <c r="NG5" s="10">
        <v>46363</v>
      </c>
      <c r="NH5" s="10">
        <v>46364</v>
      </c>
      <c r="NI5" s="10">
        <v>46365</v>
      </c>
      <c r="NJ5" s="10">
        <v>46366</v>
      </c>
      <c r="NK5" s="10">
        <v>46367</v>
      </c>
      <c r="NL5" s="10">
        <v>46368</v>
      </c>
      <c r="NM5" s="10">
        <v>46369</v>
      </c>
      <c r="NN5" s="10">
        <v>46370</v>
      </c>
      <c r="NO5" s="10">
        <v>46371</v>
      </c>
      <c r="NP5" s="10">
        <v>46372</v>
      </c>
      <c r="NQ5" s="10">
        <v>46373</v>
      </c>
      <c r="NR5" s="10">
        <v>46374</v>
      </c>
      <c r="NS5" s="10">
        <v>46375</v>
      </c>
      <c r="NT5" s="10">
        <v>46376</v>
      </c>
      <c r="NU5" s="10">
        <v>46377</v>
      </c>
      <c r="NV5" s="10">
        <v>46378</v>
      </c>
      <c r="NW5" s="10">
        <v>46379</v>
      </c>
      <c r="NX5" s="10">
        <v>46380</v>
      </c>
      <c r="NY5" s="10">
        <v>46381</v>
      </c>
      <c r="NZ5" s="10">
        <v>46382</v>
      </c>
      <c r="OA5" s="10">
        <v>46383</v>
      </c>
      <c r="OB5" s="10">
        <v>46384</v>
      </c>
      <c r="OC5" s="10">
        <v>46385</v>
      </c>
      <c r="OD5" s="10">
        <v>46386</v>
      </c>
      <c r="OE5" s="10">
        <v>46387</v>
      </c>
    </row>
    <row r="6" spans="1:395" s="21" customFormat="1">
      <c r="A6" s="205"/>
      <c r="B6" s="206"/>
      <c r="C6" s="206"/>
      <c r="D6" s="206"/>
      <c r="E6" s="11" t="e" cm="1">
        <f t="array" aca="1" ref="E6" ca="1">SUMPRODUCT($G$6:$AD$6*IFERROR(MONTH(DATEVALUE($G$3:$AD$3&amp;" 2026"))&lt;=MONTH(DATEVALUE('Project status sheet'!$L$33&amp;" 2026")),0))</f>
        <v>#VALUE!</v>
      </c>
      <c r="F6" s="11" cm="1">
        <f t="array" ref="F6">SUMPRODUCT($H$7:$AD$7*IFERROR(MONTH(DATEVALUE($G$3:$AC$3&amp;" 2026"))&lt;=MONTH(DATEVALUE('Project status sheet'!$L$33&amp;" 2025")),0))</f>
        <v>83</v>
      </c>
      <c r="G6" s="29" t="e" cm="1">
        <f t="array" aca="1" ref="G6" ca="1">SUMPRODUCT(--(TEXT($AE$5:$OE$5,"mmm")=PROPER(G$3)), --($AE$5:$OE$5&gt;=$E$1),--(WEEKDAY($AE$5:$OE$5,2)&lt;6), --(ISNA(MATCH($AE$5:$OE$5,PublicHolidays,0))),IFERROR(IF(ISNUMBER(SEARCH("L",$AE$6:$OE$6)),IF(ISNUMBER($AE$7:$OE$7), 0.5, 0),1),1))*8.5</f>
        <v>#VALUE!</v>
      </c>
      <c r="H6" s="28" cm="1">
        <f t="array" ref="H6">SUMPRODUCT(--(TEXT($AE$5:$OE$5,"mmm")=PROPER(G$3)),IFERROR(IF(ISNUMBER(SEARCH("L",$AE$6:$OE$6)),IF(ISNUMBER($AE$7:$OE$7), 0.5, 1),0),0))</f>
        <v>0</v>
      </c>
      <c r="I6" s="29" t="e" cm="1">
        <f t="array" aca="1" ref="I6" ca="1">SUMPRODUCT(--(TEXT($AE$5:$OE$5,"mmm")=PROPER(I$3)), --($AE$5:$OE$5&gt;=$E$1),--(WEEKDAY($AE$5:$OE$5,2)&lt;6), --(ISNA(MATCH($AE$5:$OE$5,PublicHolidays,0))),IFERROR(IF(ISNUMBER(SEARCH("L",$AE$6:$OE$6)),IF(ISNUMBER($AE$7:$OE$7), 0.5, 0),1),1))*8.5</f>
        <v>#VALUE!</v>
      </c>
      <c r="J6" s="28" cm="1">
        <f t="array" ref="J6">SUMPRODUCT(--(TEXT($AE$5:$OE$5,"mmm")=PROPER(I$3)),IFERROR(IF(ISNUMBER(SEARCH("L",$AE$6:$OE$6)),IF(ISNUMBER($AE$7:$OE$7), 0.5, 1),0),0))</f>
        <v>0</v>
      </c>
      <c r="K6" s="29" t="e" cm="1">
        <f t="array" aca="1" ref="K6" ca="1">SUMPRODUCT(--(TEXT($AE$5:$OE$5,"mmm")=PROPER(K$3)), --($AE$5:$OE$5&gt;=$E$1),--(WEEKDAY($AE$5:$OE$5,2)&lt;6), --(ISNA(MATCH($AE$5:$OE$5,PublicHolidays,0))),IFERROR(IF(ISNUMBER(SEARCH("L",$AE$6:$OE$6)),IF(ISNUMBER($AE$7:$OE$7), 0.5, 0),1),1))*8.5</f>
        <v>#VALUE!</v>
      </c>
      <c r="L6" s="28" cm="1">
        <f t="array" ref="L6">SUMPRODUCT(--(TEXT($AE$5:$OE$5,"mmm")=PROPER(K$3)),IFERROR(IF(ISNUMBER(SEARCH("L",$AE$6:$OE$6)),IF(ISNUMBER($AE$7:$OE$7), 0.5, 1),0),0))</f>
        <v>0</v>
      </c>
      <c r="M6" s="29" t="e" cm="1">
        <f t="array" aca="1" ref="M6" ca="1">SUMPRODUCT(--(TEXT($AE$5:$OE$5,"mmm")=PROPER(M$3)), --($AE$5:$OE$5&gt;=$E$1),--(WEEKDAY($AE$5:$OE$5,2)&lt;6), --(ISNA(MATCH($AE$5:$OE$5,PublicHolidays,0))),IFERROR(IF(ISNUMBER(SEARCH("L",$AE$6:$OE$6)),IF(ISNUMBER($AE$7:$OE$7), 0.5, 0),1),1))*8.5</f>
        <v>#VALUE!</v>
      </c>
      <c r="N6" s="28" cm="1">
        <f t="array" ref="N6">SUMPRODUCT(--(TEXT($AE$5:$OE$5,"mmm")=PROPER(M$3)),IFERROR(IF(ISNUMBER(SEARCH("L",$AE$6:$OE$6)),IF(ISNUMBER($AE$7:$OE$7), 0.5, 1),0),0))</f>
        <v>1</v>
      </c>
      <c r="O6" s="29" t="e" cm="1">
        <f t="array" aca="1" ref="O6" ca="1">SUMPRODUCT(--(TEXT($AE$5:$OE$5,"mmm")=PROPER(O$3)), --($AE$5:$OE$5&gt;=$E$1),--(WEEKDAY($AE$5:$OE$5,2)&lt;6), --(ISNA(MATCH($AE$5:$OE$5,PublicHolidays,0))),IFERROR(IF(ISNUMBER(SEARCH("L",$AE$6:$OE$6)),IF(ISNUMBER($AE$7:$OE$7), 0.5, 0),1),1))*8.5</f>
        <v>#VALUE!</v>
      </c>
      <c r="P6" s="28" cm="1">
        <f t="array" ref="P6">SUMPRODUCT(--(TEXT($AE$5:$OE$5,"mmm")=PROPER(O$3)),IFERROR(IF(ISNUMBER(SEARCH("L",$AE$6:$OE$6)),IF(ISNUMBER($AE$7:$OE$7), 0.5, 1),0),0))</f>
        <v>0</v>
      </c>
      <c r="Q6" s="29" t="e" cm="1">
        <f t="array" aca="1" ref="Q6" ca="1">SUMPRODUCT(--(TEXT($AE$5:$OE$5,"mmm")=PROPER(Q$3)), --($AE$5:$OE$5&gt;=$E$1),--(WEEKDAY($AE$5:$OE$5,2)&lt;6), --(ISNA(MATCH($AE$5:$OE$5,PublicHolidays,0))),IFERROR(IF(ISNUMBER(SEARCH("L",$AE$6:$OE$6)),IF(ISNUMBER($AE$7:$OE$7), 0.5, 0),1),1))*8.5</f>
        <v>#VALUE!</v>
      </c>
      <c r="R6" s="28" cm="1">
        <f t="array" ref="R6">SUMPRODUCT(--(TEXT($AE$5:$OE$5,"mmm")=PROPER(Q$3)),IFERROR(IF(ISNUMBER(SEARCH("L",$AE$6:$OE$6)),IF(ISNUMBER($AE$7:$OE$7), 0.5, 1),0),0))</f>
        <v>0</v>
      </c>
      <c r="S6" s="29" t="e" cm="1">
        <f t="array" aca="1" ref="S6" ca="1">SUMPRODUCT(--(TEXT($AE$5:$OE$5,"mmm")=PROPER(S$3)), --($AE$5:$OE$5&gt;=$E$1),--(WEEKDAY($AE$5:$OE$5,2)&lt;6), --(ISNA(MATCH($AE$5:$OE$5,PublicHolidays,0))),IFERROR(IF(ISNUMBER(SEARCH("L",$AE$6:$OE$6)),IF(ISNUMBER($AE$7:$OE$7), 0.5, 0),1),1))*8.5</f>
        <v>#VALUE!</v>
      </c>
      <c r="T6" s="28" cm="1">
        <f t="array" ref="T6">SUMPRODUCT(--(TEXT($AE$5:$OE$5,"mmm")=PROPER(S$3)),IFERROR(IF(ISNUMBER(SEARCH("L",$AE$6:$OE$6)),IF(ISNUMBER($AE$7:$OE$7), 0.5, 1),0),0))</f>
        <v>0</v>
      </c>
      <c r="U6" s="29" t="e" cm="1">
        <f t="array" aca="1" ref="U6" ca="1">SUMPRODUCT(--(TEXT($AE$5:$OE$5,"mmm")=PROPER(U$3)), --($AE$5:$OE$5&gt;=$E$1),--(WEEKDAY($AE$5:$OE$5,2)&lt;6), --(ISNA(MATCH($AE$5:$OE$5,PublicHolidays,0))),IFERROR(IF(ISNUMBER(SEARCH("L",$AE$6:$OE$6)),IF(ISNUMBER($AE$7:$OE$7), 0.5, 0),1),1))*8.5</f>
        <v>#VALUE!</v>
      </c>
      <c r="V6" s="28" cm="1">
        <f t="array" ref="V6">SUMPRODUCT(--(TEXT($AE$5:$OE$5,"mmm")=PROPER(U$3)),IFERROR(IF(ISNUMBER(SEARCH("L",$AE$6:$OE$6)),IF(ISNUMBER($AE$7:$OE$7), 0.5, 1),0),0))</f>
        <v>0</v>
      </c>
      <c r="W6" s="29" t="e" cm="1">
        <f t="array" aca="1" ref="W6" ca="1">SUMPRODUCT(--(TEXT($AE$5:$OE$5,"mmm")=PROPER(W$3)), --($AE$5:$OE$5&gt;=$E$1),--(WEEKDAY($AE$5:$OE$5,2)&lt;6), --(ISNA(MATCH($AE$5:$OE$5,PublicHolidays,0))),IFERROR(IF(ISNUMBER(SEARCH("L",$AE$6:$OE$6)),IF(ISNUMBER($AE$7:$OE$7), 0.5, 0),1),1))*8.5</f>
        <v>#VALUE!</v>
      </c>
      <c r="X6" s="28" cm="1">
        <f t="array" ref="X6">SUMPRODUCT(--(TEXT($AE$5:$OE$5,"mmm")=PROPER(W$3)),IFERROR(IF(ISNUMBER(SEARCH("L",$AE$6:$OE$6)),IF(ISNUMBER($AE$7:$OE$7), 0.5, 1),0),0))</f>
        <v>0</v>
      </c>
      <c r="Y6" s="29" t="e" cm="1">
        <f t="array" aca="1" ref="Y6" ca="1">SUMPRODUCT(--(TEXT($AE$5:$OE$5,"mmm")=PROPER(Y$3)), --($AE$5:$OE$5&gt;=$E$1),--(WEEKDAY($AE$5:$OE$5,2)&lt;6), --(ISNA(MATCH($AE$5:$OE$5,PublicHolidays,0))),IFERROR(IF(ISNUMBER(SEARCH("L",$AE$6:$OE$6)),IF(ISNUMBER($AE$7:$OE$7), 0.5, 0),1),1))*8.5</f>
        <v>#VALUE!</v>
      </c>
      <c r="Z6" s="28" cm="1">
        <f t="array" ref="Z6">SUMPRODUCT(--(TEXT($AE$5:$OE$5,"mmm")=PROPER(Y$3)),IFERROR(IF(ISNUMBER(SEARCH("L",$AE$6:$OE$6)),IF(ISNUMBER($AE$7:$OE$7), 0.5, 1),0),0))</f>
        <v>0</v>
      </c>
      <c r="AA6" s="29" t="e" cm="1">
        <f t="array" aca="1" ref="AA6" ca="1">SUMPRODUCT(--(TEXT($AE$5:$OE$5,"mmm")=PROPER(AA$3)), --($AE$5:$OE$5&gt;=$E$1),--(WEEKDAY($AE$5:$OE$5,2)&lt;6), --(ISNA(MATCH($AE$5:$OE$5,PublicHolidays,0))),IFERROR(IF(ISNUMBER(SEARCH("L",$AE$6:$OE$6)),IF(ISNUMBER($AE$7:$OE$7), 0.5, 0),1),1))*8.5</f>
        <v>#VALUE!</v>
      </c>
      <c r="AB6" s="28" cm="1">
        <f t="array" ref="AB6">SUMPRODUCT(--(TEXT($AE$5:$OE$5,"mmm")=PROPER(AA$3)),IFERROR(IF(ISNUMBER(SEARCH("L",$AE$6:$OE$6)),IF(ISNUMBER($AE$7:$OE$7), 0.5, 1),0),0))</f>
        <v>0</v>
      </c>
      <c r="AC6" s="29" t="e" cm="1">
        <f t="array" aca="1" ref="AC6" ca="1">SUMPRODUCT(--(TEXT($AE$5:$OE$5,"mmm")=PROPER(AC$3)), --($AE$5:$OE$5&gt;=$E$1),--(WEEKDAY($AE$5:$OE$5,2)&lt;6), --(ISNA(MATCH($AE$5:$OE$5,PublicHolidays,0))),IFERROR(IF(ISNUMBER(SEARCH("L",$AE$6:$OE$6)),IF(ISNUMBER($AE$7:$OE$7), 0.5, 0),1),1))*8.5</f>
        <v>#VALUE!</v>
      </c>
      <c r="AD6" s="28" cm="1">
        <f t="array" ref="AD6">SUMPRODUCT(--(TEXT($AE$5:$OE$5,"mmm")=PROPER(AC$3)),IFERROR(IF(ISNUMBER(SEARCH("L",$AE$6:$OE$6)),IF(ISNUMBER($AE$7:$OE$7), 0.5, 1),0),0))</f>
        <v>0</v>
      </c>
      <c r="AE6" s="118"/>
      <c r="AF6" s="118"/>
      <c r="AG6" s="118"/>
      <c r="AH6" s="118"/>
      <c r="AI6" s="118"/>
      <c r="AJ6" s="118"/>
      <c r="AK6" s="118"/>
      <c r="AL6" s="118"/>
      <c r="AM6" s="118"/>
      <c r="AN6" s="118"/>
      <c r="AO6" s="118"/>
      <c r="AP6" s="118"/>
      <c r="AQ6" s="118"/>
      <c r="AR6" s="118"/>
      <c r="AS6" s="118"/>
      <c r="AT6" s="118"/>
      <c r="AU6" s="118"/>
      <c r="AV6" s="118"/>
      <c r="AW6" s="118"/>
      <c r="AX6" s="118"/>
      <c r="AY6" s="118"/>
      <c r="AZ6" s="118"/>
      <c r="BA6" s="118"/>
      <c r="BB6" s="118"/>
      <c r="BC6" s="118"/>
      <c r="BD6" s="118"/>
      <c r="BE6" s="118"/>
      <c r="BF6" s="118"/>
      <c r="BG6" s="118"/>
      <c r="BH6" s="118"/>
      <c r="BI6" s="118"/>
      <c r="BJ6" s="118"/>
      <c r="BK6" s="118"/>
      <c r="BL6" s="118"/>
      <c r="BM6" s="118"/>
      <c r="BN6" s="118"/>
      <c r="BO6" s="118"/>
      <c r="BP6" s="118"/>
      <c r="BQ6" s="118"/>
      <c r="BR6" s="118"/>
      <c r="BS6" s="118"/>
      <c r="BT6" s="118"/>
      <c r="BU6" s="118"/>
      <c r="BV6" s="118"/>
      <c r="BW6" s="118"/>
      <c r="BX6" s="118"/>
      <c r="BY6" s="118"/>
      <c r="BZ6" s="118"/>
      <c r="CA6" s="118"/>
      <c r="CB6" s="118"/>
      <c r="CC6" s="118"/>
      <c r="CD6" s="118"/>
      <c r="CE6" s="118"/>
      <c r="CF6" s="118"/>
      <c r="CG6" s="118"/>
      <c r="CH6" s="118"/>
      <c r="CI6" s="118"/>
      <c r="CJ6" s="118"/>
      <c r="CK6" s="118"/>
      <c r="CL6" s="118"/>
      <c r="CM6" s="118"/>
      <c r="CN6" s="118"/>
      <c r="CO6" s="118"/>
      <c r="CP6" s="118"/>
      <c r="CQ6" s="118"/>
      <c r="CR6" s="118"/>
      <c r="CS6" s="118"/>
      <c r="CT6" s="118"/>
      <c r="CU6" s="118"/>
      <c r="CV6" s="118"/>
      <c r="CW6" s="118"/>
      <c r="CX6" s="118"/>
      <c r="CY6" s="118"/>
      <c r="CZ6" s="118"/>
      <c r="DA6" s="118"/>
      <c r="DB6" s="118"/>
      <c r="DC6" s="118"/>
      <c r="DD6" s="118"/>
      <c r="DE6" s="118"/>
      <c r="DF6" s="118"/>
      <c r="DG6" s="118"/>
      <c r="DH6" s="118"/>
      <c r="DI6" s="118"/>
      <c r="DJ6" s="118"/>
      <c r="DK6" s="118"/>
      <c r="DL6" s="118"/>
      <c r="DM6" s="118"/>
      <c r="DN6" s="118"/>
      <c r="DO6" s="118"/>
      <c r="DP6" s="118"/>
      <c r="DQ6" s="118"/>
      <c r="DR6" s="118"/>
      <c r="DS6" s="118" t="s">
        <v>75</v>
      </c>
      <c r="DT6" s="118"/>
      <c r="DU6" s="118"/>
      <c r="DV6" s="118"/>
      <c r="DW6" s="118"/>
      <c r="DX6" s="118"/>
      <c r="DY6" s="118"/>
      <c r="DZ6" s="118"/>
      <c r="EA6" s="118"/>
      <c r="EB6" s="118"/>
      <c r="EC6" s="118"/>
      <c r="ED6" s="118"/>
      <c r="EE6" s="118"/>
      <c r="EF6" s="118"/>
      <c r="EG6" s="118"/>
      <c r="EH6" s="118"/>
      <c r="EI6" s="118"/>
      <c r="EJ6" s="118"/>
      <c r="EK6" s="118"/>
      <c r="EL6" s="118"/>
      <c r="EM6" s="118"/>
      <c r="EN6" s="118"/>
      <c r="EO6" s="118"/>
      <c r="EP6" s="118"/>
      <c r="EQ6" s="118"/>
      <c r="ER6" s="118"/>
      <c r="ES6" s="118"/>
      <c r="ET6" s="118"/>
      <c r="EU6" s="118"/>
      <c r="EV6" s="118"/>
      <c r="EW6" s="118"/>
      <c r="EX6" s="118"/>
      <c r="EY6" s="118"/>
      <c r="EZ6" s="118"/>
      <c r="FA6" s="118"/>
      <c r="FB6" s="118"/>
      <c r="FC6" s="118"/>
      <c r="FD6" s="118"/>
      <c r="FE6" s="118"/>
      <c r="FF6" s="118"/>
      <c r="FG6" s="118"/>
      <c r="FH6" s="118"/>
      <c r="FI6" s="118"/>
      <c r="FJ6" s="118"/>
      <c r="FK6" s="118"/>
      <c r="FL6" s="118"/>
      <c r="FM6" s="118"/>
      <c r="FN6" s="118"/>
      <c r="FO6" s="118"/>
      <c r="FP6" s="118"/>
      <c r="FQ6" s="118"/>
      <c r="FR6" s="118"/>
      <c r="FS6" s="118"/>
      <c r="FT6" s="118"/>
      <c r="FU6" s="118"/>
      <c r="FV6" s="118"/>
      <c r="FW6" s="118"/>
      <c r="FX6" s="118"/>
      <c r="FY6" s="118"/>
      <c r="FZ6" s="118"/>
      <c r="GA6" s="118"/>
      <c r="GB6" s="118"/>
      <c r="GC6" s="118"/>
      <c r="GD6" s="118"/>
      <c r="GE6" s="118"/>
      <c r="GF6" s="118"/>
      <c r="GG6" s="118"/>
      <c r="GH6" s="118"/>
      <c r="GI6" s="118"/>
      <c r="GJ6" s="118"/>
      <c r="GK6" s="118"/>
      <c r="GL6" s="118"/>
      <c r="GM6" s="118"/>
      <c r="GN6" s="118"/>
      <c r="GO6" s="118"/>
      <c r="GP6" s="118"/>
      <c r="GQ6" s="118"/>
      <c r="GR6" s="118"/>
      <c r="GS6" s="118"/>
      <c r="GT6" s="118"/>
      <c r="GU6" s="118"/>
      <c r="GV6" s="118"/>
      <c r="GW6" s="118"/>
      <c r="GX6" s="118"/>
      <c r="GY6" s="118"/>
      <c r="GZ6" s="118"/>
      <c r="HA6" s="118"/>
      <c r="HB6" s="118"/>
      <c r="HC6" s="118"/>
      <c r="HD6" s="118"/>
      <c r="HE6" s="118"/>
      <c r="HF6" s="118"/>
      <c r="HG6" s="118"/>
      <c r="HH6" s="118"/>
      <c r="HI6" s="118"/>
      <c r="HJ6" s="118"/>
      <c r="HK6" s="118"/>
      <c r="HL6" s="118"/>
      <c r="HM6" s="118"/>
      <c r="HN6" s="118"/>
      <c r="HO6" s="118"/>
      <c r="HP6" s="118"/>
      <c r="HQ6" s="118"/>
      <c r="HR6" s="118"/>
      <c r="HS6" s="118"/>
      <c r="HT6" s="118"/>
      <c r="HU6" s="118"/>
      <c r="HV6" s="118"/>
      <c r="HW6" s="118"/>
      <c r="HX6" s="118"/>
      <c r="HY6" s="118"/>
      <c r="HZ6" s="118"/>
      <c r="IA6" s="118"/>
      <c r="IB6" s="118"/>
      <c r="IC6" s="118"/>
      <c r="ID6" s="118"/>
      <c r="IE6" s="118"/>
      <c r="IF6" s="118"/>
      <c r="IG6" s="118"/>
      <c r="IH6" s="118"/>
      <c r="II6" s="118"/>
      <c r="IJ6" s="118"/>
      <c r="IK6" s="118"/>
      <c r="IL6" s="118"/>
      <c r="IM6" s="118"/>
      <c r="IN6" s="118"/>
      <c r="IO6" s="118"/>
      <c r="IP6" s="118"/>
      <c r="IQ6" s="118"/>
      <c r="IR6" s="118"/>
      <c r="IS6" s="118"/>
      <c r="IT6" s="118"/>
      <c r="IU6" s="118"/>
      <c r="IV6" s="118"/>
      <c r="IW6" s="118"/>
      <c r="IX6" s="118"/>
      <c r="IY6" s="118"/>
      <c r="IZ6" s="118"/>
      <c r="JA6" s="118"/>
      <c r="JB6" s="118"/>
      <c r="JC6" s="118"/>
      <c r="JD6" s="118"/>
      <c r="JE6" s="118"/>
      <c r="JF6" s="118"/>
      <c r="JG6" s="118"/>
      <c r="JH6" s="118"/>
      <c r="JI6" s="118"/>
      <c r="JJ6" s="118"/>
      <c r="JK6" s="118"/>
      <c r="JL6" s="118"/>
      <c r="JM6" s="118"/>
      <c r="JN6" s="118"/>
      <c r="JO6" s="118"/>
      <c r="JP6" s="118"/>
      <c r="JQ6" s="118"/>
      <c r="JR6" s="118"/>
      <c r="JS6" s="118"/>
      <c r="JT6" s="118"/>
      <c r="JU6" s="118"/>
      <c r="JV6" s="118"/>
      <c r="JW6" s="118"/>
      <c r="JX6" s="118"/>
      <c r="JY6" s="118"/>
      <c r="JZ6" s="118"/>
      <c r="KA6" s="118"/>
      <c r="KB6" s="118"/>
      <c r="KC6" s="118"/>
      <c r="KD6" s="118"/>
      <c r="KE6" s="118"/>
      <c r="KF6" s="118"/>
      <c r="KG6" s="118"/>
      <c r="KH6" s="118"/>
      <c r="KI6" s="118"/>
      <c r="KJ6" s="118"/>
      <c r="KK6" s="118"/>
      <c r="KL6" s="118"/>
      <c r="KM6" s="118"/>
      <c r="KN6" s="118"/>
      <c r="KO6" s="118"/>
      <c r="KP6" s="118"/>
      <c r="KQ6" s="118"/>
      <c r="KR6" s="118"/>
      <c r="KS6" s="118"/>
      <c r="KT6" s="118"/>
      <c r="KU6" s="118"/>
      <c r="KV6" s="118"/>
      <c r="KW6" s="118"/>
      <c r="KX6" s="118"/>
      <c r="KY6" s="118"/>
      <c r="KZ6" s="118"/>
      <c r="LA6" s="118"/>
      <c r="LB6" s="118"/>
      <c r="LC6" s="118"/>
      <c r="LD6" s="118"/>
      <c r="LE6" s="118"/>
      <c r="LF6" s="118"/>
      <c r="LG6" s="118"/>
      <c r="LH6" s="118"/>
      <c r="LI6" s="118"/>
      <c r="LJ6" s="118"/>
      <c r="LK6" s="118"/>
      <c r="LL6" s="118"/>
      <c r="LM6" s="118"/>
      <c r="LN6" s="118"/>
      <c r="LO6" s="118"/>
      <c r="LP6" s="118"/>
      <c r="LQ6" s="118"/>
      <c r="LR6" s="118"/>
      <c r="LS6" s="118"/>
      <c r="LT6" s="118"/>
      <c r="LU6" s="118"/>
      <c r="LV6" s="118"/>
      <c r="LW6" s="118"/>
      <c r="LX6" s="118"/>
      <c r="LY6" s="118"/>
      <c r="LZ6" s="118"/>
      <c r="MA6" s="118"/>
      <c r="MB6" s="118"/>
      <c r="MC6" s="118"/>
      <c r="MD6" s="118"/>
      <c r="ME6" s="118"/>
      <c r="MF6" s="118"/>
      <c r="MG6" s="118"/>
      <c r="MH6" s="118"/>
      <c r="MI6" s="118"/>
      <c r="MJ6" s="118"/>
      <c r="MK6" s="118"/>
      <c r="ML6" s="118"/>
      <c r="MM6" s="118"/>
      <c r="MN6" s="118"/>
      <c r="MO6" s="118"/>
      <c r="MP6" s="118"/>
      <c r="MQ6" s="118"/>
      <c r="MR6" s="118"/>
      <c r="MS6" s="118"/>
      <c r="MT6" s="118"/>
      <c r="MU6" s="118"/>
      <c r="MV6" s="118"/>
      <c r="MW6" s="118"/>
      <c r="MX6" s="118"/>
      <c r="MY6" s="118"/>
      <c r="MZ6" s="118"/>
      <c r="NA6" s="118"/>
      <c r="NB6" s="118"/>
      <c r="NC6" s="118"/>
      <c r="ND6" s="118"/>
      <c r="NE6" s="118"/>
      <c r="NF6" s="118"/>
      <c r="NG6" s="118"/>
      <c r="NH6" s="118"/>
      <c r="NI6" s="118"/>
      <c r="NJ6" s="118"/>
      <c r="NK6" s="118"/>
      <c r="NL6" s="118"/>
      <c r="NM6" s="118"/>
      <c r="NN6" s="118"/>
      <c r="NO6" s="118"/>
      <c r="NP6" s="118"/>
      <c r="NQ6" s="118"/>
      <c r="NR6" s="118"/>
      <c r="NS6" s="118"/>
      <c r="NT6" s="118"/>
      <c r="NU6" s="118"/>
      <c r="NV6" s="118"/>
      <c r="NW6" s="118"/>
      <c r="NX6" s="118"/>
      <c r="NY6" s="118"/>
      <c r="NZ6" s="118"/>
      <c r="OA6" s="118"/>
      <c r="OB6" s="118"/>
      <c r="OC6" s="118"/>
      <c r="OD6" s="118"/>
      <c r="OE6" s="119"/>
    </row>
    <row r="7" spans="1:395">
      <c r="A7" s="205"/>
      <c r="B7" s="206"/>
      <c r="C7" s="206"/>
      <c r="D7" s="206"/>
      <c r="E7" s="12">
        <f>SUM(E$8:E$150)</f>
        <v>65.5</v>
      </c>
      <c r="F7" s="12">
        <f>SUM(F$8:F$150)</f>
        <v>182</v>
      </c>
      <c r="G7" s="13">
        <f>SUM(G$8:G$150)</f>
        <v>0</v>
      </c>
      <c r="H7" s="13">
        <f t="shared" ref="H7:AD7" si="6">SUM(H$8:H$150)</f>
        <v>0</v>
      </c>
      <c r="I7" s="13">
        <f t="shared" si="6"/>
        <v>0</v>
      </c>
      <c r="J7" s="13">
        <f t="shared" si="6"/>
        <v>0</v>
      </c>
      <c r="K7" s="13">
        <f t="shared" si="6"/>
        <v>0</v>
      </c>
      <c r="L7" s="13">
        <f t="shared" si="6"/>
        <v>83</v>
      </c>
      <c r="M7" s="13">
        <f t="shared" si="6"/>
        <v>0</v>
      </c>
      <c r="N7" s="13">
        <f t="shared" si="6"/>
        <v>99</v>
      </c>
      <c r="O7" s="13">
        <f t="shared" si="6"/>
        <v>0</v>
      </c>
      <c r="P7" s="13">
        <f t="shared" si="6"/>
        <v>0</v>
      </c>
      <c r="Q7" s="13">
        <f t="shared" si="6"/>
        <v>0</v>
      </c>
      <c r="R7" s="13">
        <f t="shared" si="6"/>
        <v>0</v>
      </c>
      <c r="S7" s="13">
        <f t="shared" si="6"/>
        <v>0</v>
      </c>
      <c r="T7" s="13">
        <f t="shared" si="6"/>
        <v>0</v>
      </c>
      <c r="U7" s="13">
        <f t="shared" si="6"/>
        <v>0</v>
      </c>
      <c r="V7" s="13">
        <f t="shared" si="6"/>
        <v>0</v>
      </c>
      <c r="W7" s="13">
        <f t="shared" si="6"/>
        <v>0</v>
      </c>
      <c r="X7" s="13">
        <f t="shared" si="6"/>
        <v>0</v>
      </c>
      <c r="Y7" s="13">
        <f t="shared" si="6"/>
        <v>0</v>
      </c>
      <c r="Z7" s="13">
        <f t="shared" si="6"/>
        <v>0</v>
      </c>
      <c r="AA7" s="13">
        <f t="shared" si="6"/>
        <v>0</v>
      </c>
      <c r="AB7" s="13">
        <f t="shared" si="6"/>
        <v>0</v>
      </c>
      <c r="AC7" s="13">
        <f t="shared" si="6"/>
        <v>0</v>
      </c>
      <c r="AD7" s="13">
        <f t="shared" si="6"/>
        <v>0</v>
      </c>
      <c r="AE7" s="20" t="str">
        <f>IF(SUM(AE$8:AE$150), SUM(AE$8:AE$150), "")</f>
        <v/>
      </c>
      <c r="AF7" s="20" t="str">
        <f t="shared" ref="AF7:CQ7" si="7">IF(SUM(AF$8:AF$150), SUM(AF$8:AF$150), "")</f>
        <v/>
      </c>
      <c r="AG7" s="20" t="str">
        <f t="shared" si="7"/>
        <v/>
      </c>
      <c r="AH7" s="20" t="str">
        <f t="shared" si="7"/>
        <v/>
      </c>
      <c r="AI7" s="20" t="str">
        <f t="shared" si="7"/>
        <v/>
      </c>
      <c r="AJ7" s="20" t="str">
        <f t="shared" si="7"/>
        <v/>
      </c>
      <c r="AK7" s="20" t="str">
        <f t="shared" si="7"/>
        <v/>
      </c>
      <c r="AL7" s="20" t="str">
        <f t="shared" si="7"/>
        <v/>
      </c>
      <c r="AM7" s="20" t="str">
        <f t="shared" si="7"/>
        <v/>
      </c>
      <c r="AN7" s="20" t="str">
        <f t="shared" si="7"/>
        <v/>
      </c>
      <c r="AO7" s="20" t="str">
        <f t="shared" si="7"/>
        <v/>
      </c>
      <c r="AP7" s="20" t="str">
        <f t="shared" si="7"/>
        <v/>
      </c>
      <c r="AQ7" s="20" t="str">
        <f t="shared" si="7"/>
        <v/>
      </c>
      <c r="AR7" s="20" t="str">
        <f t="shared" si="7"/>
        <v/>
      </c>
      <c r="AS7" s="20" t="str">
        <f t="shared" si="7"/>
        <v/>
      </c>
      <c r="AT7" s="20" t="str">
        <f t="shared" si="7"/>
        <v/>
      </c>
      <c r="AU7" s="20" t="str">
        <f t="shared" si="7"/>
        <v/>
      </c>
      <c r="AV7" s="20" t="str">
        <f t="shared" si="7"/>
        <v/>
      </c>
      <c r="AW7" s="20" t="str">
        <f t="shared" si="7"/>
        <v/>
      </c>
      <c r="AX7" s="20" t="str">
        <f t="shared" si="7"/>
        <v/>
      </c>
      <c r="AY7" s="20" t="str">
        <f t="shared" si="7"/>
        <v/>
      </c>
      <c r="AZ7" s="20" t="str">
        <f t="shared" si="7"/>
        <v/>
      </c>
      <c r="BA7" s="20" t="str">
        <f t="shared" si="7"/>
        <v/>
      </c>
      <c r="BB7" s="20" t="str">
        <f t="shared" si="7"/>
        <v/>
      </c>
      <c r="BC7" s="20" t="str">
        <f t="shared" si="7"/>
        <v/>
      </c>
      <c r="BD7" s="20" t="str">
        <f t="shared" si="7"/>
        <v/>
      </c>
      <c r="BE7" s="20" t="str">
        <f t="shared" si="7"/>
        <v/>
      </c>
      <c r="BF7" s="20" t="str">
        <f t="shared" si="7"/>
        <v/>
      </c>
      <c r="BG7" s="20" t="str">
        <f t="shared" si="7"/>
        <v/>
      </c>
      <c r="BH7" s="20" t="str">
        <f t="shared" si="7"/>
        <v/>
      </c>
      <c r="BI7" s="20" t="str">
        <f t="shared" si="7"/>
        <v/>
      </c>
      <c r="BJ7" s="20" t="str">
        <f t="shared" si="7"/>
        <v/>
      </c>
      <c r="BK7" s="20" t="str">
        <f t="shared" si="7"/>
        <v/>
      </c>
      <c r="BL7" s="20" t="str">
        <f t="shared" si="7"/>
        <v/>
      </c>
      <c r="BM7" s="20" t="str">
        <f t="shared" si="7"/>
        <v/>
      </c>
      <c r="BN7" s="20" t="str">
        <f t="shared" si="7"/>
        <v/>
      </c>
      <c r="BO7" s="20" t="str">
        <f t="shared" si="7"/>
        <v/>
      </c>
      <c r="BP7" s="20" t="str">
        <f t="shared" si="7"/>
        <v/>
      </c>
      <c r="BQ7" s="20" t="str">
        <f t="shared" si="7"/>
        <v/>
      </c>
      <c r="BR7" s="20" t="str">
        <f t="shared" si="7"/>
        <v/>
      </c>
      <c r="BS7" s="20" t="str">
        <f t="shared" si="7"/>
        <v/>
      </c>
      <c r="BT7" s="20" t="str">
        <f t="shared" si="7"/>
        <v/>
      </c>
      <c r="BU7" s="20" t="str">
        <f t="shared" si="7"/>
        <v/>
      </c>
      <c r="BV7" s="20" t="str">
        <f t="shared" si="7"/>
        <v/>
      </c>
      <c r="BW7" s="20" t="str">
        <f t="shared" si="7"/>
        <v/>
      </c>
      <c r="BX7" s="20" t="str">
        <f t="shared" si="7"/>
        <v/>
      </c>
      <c r="BY7" s="20" t="str">
        <f t="shared" si="7"/>
        <v/>
      </c>
      <c r="BZ7" s="20" t="str">
        <f t="shared" si="7"/>
        <v/>
      </c>
      <c r="CA7" s="20" t="str">
        <f t="shared" si="7"/>
        <v/>
      </c>
      <c r="CB7" s="20" t="str">
        <f t="shared" si="7"/>
        <v/>
      </c>
      <c r="CC7" s="20" t="str">
        <f t="shared" si="7"/>
        <v/>
      </c>
      <c r="CD7" s="20" t="str">
        <f t="shared" si="7"/>
        <v/>
      </c>
      <c r="CE7" s="20" t="str">
        <f t="shared" si="7"/>
        <v/>
      </c>
      <c r="CF7" s="20" t="str">
        <f t="shared" si="7"/>
        <v/>
      </c>
      <c r="CG7" s="20" t="str">
        <f t="shared" si="7"/>
        <v/>
      </c>
      <c r="CH7" s="20" t="str">
        <f t="shared" si="7"/>
        <v/>
      </c>
      <c r="CI7" s="20" t="str">
        <f t="shared" si="7"/>
        <v/>
      </c>
      <c r="CJ7" s="20" t="str">
        <f t="shared" si="7"/>
        <v/>
      </c>
      <c r="CK7" s="20" t="str">
        <f t="shared" si="7"/>
        <v/>
      </c>
      <c r="CL7" s="20" t="str">
        <f t="shared" si="7"/>
        <v/>
      </c>
      <c r="CM7" s="20" t="str">
        <f t="shared" si="7"/>
        <v/>
      </c>
      <c r="CN7" s="20" t="str">
        <f t="shared" si="7"/>
        <v/>
      </c>
      <c r="CO7" s="20" t="str">
        <f t="shared" si="7"/>
        <v/>
      </c>
      <c r="CP7" s="20" t="str">
        <f t="shared" si="7"/>
        <v/>
      </c>
      <c r="CQ7" s="20" t="str">
        <f t="shared" si="7"/>
        <v/>
      </c>
      <c r="CR7" s="20" t="str">
        <f t="shared" ref="CR7:FC7" si="8">IF(SUM(CR$8:CR$150), SUM(CR$8:CR$150), "")</f>
        <v/>
      </c>
      <c r="CS7" s="20" t="str">
        <f t="shared" si="8"/>
        <v/>
      </c>
      <c r="CT7" s="20" t="str">
        <f t="shared" si="8"/>
        <v/>
      </c>
      <c r="CU7" s="20"/>
      <c r="CV7" s="20"/>
      <c r="CW7" s="20" t="str">
        <f t="shared" si="8"/>
        <v/>
      </c>
      <c r="CX7" s="20" t="str">
        <f t="shared" si="8"/>
        <v/>
      </c>
      <c r="CY7" s="20" t="str">
        <f t="shared" si="8"/>
        <v/>
      </c>
      <c r="CZ7" s="20" t="str">
        <f t="shared" si="8"/>
        <v/>
      </c>
      <c r="DA7" s="20">
        <f t="shared" si="8"/>
        <v>9</v>
      </c>
      <c r="DB7" s="20">
        <f t="shared" si="8"/>
        <v>9</v>
      </c>
      <c r="DC7" s="20">
        <f t="shared" si="8"/>
        <v>9</v>
      </c>
      <c r="DD7" s="20">
        <f t="shared" si="8"/>
        <v>9</v>
      </c>
      <c r="DE7" s="20">
        <f t="shared" si="8"/>
        <v>9</v>
      </c>
      <c r="DF7" s="20" t="str">
        <f t="shared" si="8"/>
        <v/>
      </c>
      <c r="DG7" s="20" t="str">
        <f t="shared" si="8"/>
        <v/>
      </c>
      <c r="DH7" s="20">
        <f t="shared" si="8"/>
        <v>9</v>
      </c>
      <c r="DI7" s="20">
        <f t="shared" si="8"/>
        <v>9</v>
      </c>
      <c r="DJ7" s="20">
        <f t="shared" si="8"/>
        <v>9</v>
      </c>
      <c r="DK7" s="20">
        <f t="shared" si="8"/>
        <v>9</v>
      </c>
      <c r="DL7" s="20">
        <f t="shared" si="8"/>
        <v>9</v>
      </c>
      <c r="DM7" s="20" t="str">
        <f t="shared" si="8"/>
        <v/>
      </c>
      <c r="DN7" s="20" t="str">
        <f t="shared" si="8"/>
        <v/>
      </c>
      <c r="DO7" s="20">
        <f t="shared" si="8"/>
        <v>9</v>
      </c>
      <c r="DP7" s="20">
        <f t="shared" si="8"/>
        <v>9</v>
      </c>
      <c r="DQ7" s="20">
        <f t="shared" si="8"/>
        <v>9</v>
      </c>
      <c r="DR7" s="20">
        <f t="shared" si="8"/>
        <v>9</v>
      </c>
      <c r="DS7" s="20" t="str">
        <f t="shared" si="8"/>
        <v/>
      </c>
      <c r="DT7" s="20" t="str">
        <f t="shared" si="8"/>
        <v/>
      </c>
      <c r="DU7" s="20" t="str">
        <f t="shared" si="8"/>
        <v/>
      </c>
      <c r="DV7" s="20">
        <f t="shared" si="8"/>
        <v>9</v>
      </c>
      <c r="DW7" s="20">
        <f t="shared" si="8"/>
        <v>9</v>
      </c>
      <c r="DX7" s="20">
        <f t="shared" si="8"/>
        <v>9</v>
      </c>
      <c r="DY7" s="20">
        <f t="shared" si="8"/>
        <v>9</v>
      </c>
      <c r="DZ7" s="20">
        <f t="shared" si="8"/>
        <v>9</v>
      </c>
      <c r="EA7" s="20" t="str">
        <f t="shared" si="8"/>
        <v/>
      </c>
      <c r="EB7" s="20" t="str">
        <f t="shared" si="8"/>
        <v/>
      </c>
      <c r="EC7" s="20">
        <f t="shared" si="8"/>
        <v>9</v>
      </c>
      <c r="ED7" s="20" t="str">
        <f t="shared" si="8"/>
        <v/>
      </c>
      <c r="EE7" s="20">
        <f t="shared" si="8"/>
        <v>9</v>
      </c>
      <c r="EF7" s="20">
        <f t="shared" si="8"/>
        <v>9</v>
      </c>
      <c r="EG7" s="20">
        <f t="shared" si="8"/>
        <v>9</v>
      </c>
      <c r="EH7" s="20" t="str">
        <f t="shared" si="8"/>
        <v/>
      </c>
      <c r="EI7" s="20" t="str">
        <f t="shared" si="8"/>
        <v/>
      </c>
      <c r="EJ7" s="20" t="str">
        <f t="shared" si="8"/>
        <v/>
      </c>
      <c r="EK7" s="20" t="str">
        <f t="shared" si="8"/>
        <v/>
      </c>
      <c r="EL7" s="20" t="str">
        <f t="shared" si="8"/>
        <v/>
      </c>
      <c r="EM7" s="20" t="str">
        <f t="shared" si="8"/>
        <v/>
      </c>
      <c r="EN7" s="20" t="str">
        <f t="shared" si="8"/>
        <v/>
      </c>
      <c r="EO7" s="20" t="str">
        <f t="shared" si="8"/>
        <v/>
      </c>
      <c r="EP7" s="20" t="str">
        <f t="shared" si="8"/>
        <v/>
      </c>
      <c r="EQ7" s="20" t="str">
        <f t="shared" si="8"/>
        <v/>
      </c>
      <c r="ER7" s="20" t="str">
        <f t="shared" si="8"/>
        <v/>
      </c>
      <c r="ES7" s="20" t="str">
        <f t="shared" si="8"/>
        <v/>
      </c>
      <c r="ET7" s="20" t="str">
        <f t="shared" si="8"/>
        <v/>
      </c>
      <c r="EU7" s="20" t="str">
        <f t="shared" si="8"/>
        <v/>
      </c>
      <c r="EV7" s="20" t="str">
        <f t="shared" si="8"/>
        <v/>
      </c>
      <c r="EW7" s="20" t="str">
        <f t="shared" si="8"/>
        <v/>
      </c>
      <c r="EX7" s="20" t="str">
        <f t="shared" si="8"/>
        <v/>
      </c>
      <c r="EY7" s="20" t="str">
        <f t="shared" si="8"/>
        <v/>
      </c>
      <c r="EZ7" s="20" t="str">
        <f t="shared" si="8"/>
        <v/>
      </c>
      <c r="FA7" s="20" t="str">
        <f t="shared" si="8"/>
        <v/>
      </c>
      <c r="FB7" s="20" t="str">
        <f t="shared" si="8"/>
        <v/>
      </c>
      <c r="FC7" s="20" t="str">
        <f t="shared" si="8"/>
        <v/>
      </c>
      <c r="FD7" s="20" t="str">
        <f t="shared" ref="FD7:HO7" si="9">IF(SUM(FD$8:FD$150), SUM(FD$8:FD$150), "")</f>
        <v/>
      </c>
      <c r="FE7" s="20" t="str">
        <f t="shared" si="9"/>
        <v/>
      </c>
      <c r="FF7" s="20" t="str">
        <f t="shared" si="9"/>
        <v/>
      </c>
      <c r="FG7" s="20" t="str">
        <f t="shared" si="9"/>
        <v/>
      </c>
      <c r="FH7" s="20" t="str">
        <f t="shared" si="9"/>
        <v/>
      </c>
      <c r="FI7" s="20" t="str">
        <f t="shared" si="9"/>
        <v/>
      </c>
      <c r="FJ7" s="20" t="str">
        <f t="shared" si="9"/>
        <v/>
      </c>
      <c r="FK7" s="20" t="str">
        <f t="shared" si="9"/>
        <v/>
      </c>
      <c r="FL7" s="20" t="str">
        <f t="shared" si="9"/>
        <v/>
      </c>
      <c r="FM7" s="20" t="str">
        <f t="shared" si="9"/>
        <v/>
      </c>
      <c r="FN7" s="20" t="str">
        <f t="shared" si="9"/>
        <v/>
      </c>
      <c r="FO7" s="20" t="str">
        <f t="shared" si="9"/>
        <v/>
      </c>
      <c r="FP7" s="20" t="str">
        <f t="shared" si="9"/>
        <v/>
      </c>
      <c r="FQ7" s="20" t="str">
        <f t="shared" si="9"/>
        <v/>
      </c>
      <c r="FR7" s="20" t="str">
        <f t="shared" si="9"/>
        <v/>
      </c>
      <c r="FS7" s="20" t="str">
        <f t="shared" si="9"/>
        <v/>
      </c>
      <c r="FT7" s="20" t="str">
        <f t="shared" si="9"/>
        <v/>
      </c>
      <c r="FU7" s="20" t="str">
        <f t="shared" si="9"/>
        <v/>
      </c>
      <c r="FV7" s="20" t="str">
        <f t="shared" si="9"/>
        <v/>
      </c>
      <c r="FW7" s="20" t="str">
        <f t="shared" si="9"/>
        <v/>
      </c>
      <c r="FX7" s="20" t="str">
        <f t="shared" si="9"/>
        <v/>
      </c>
      <c r="FY7" s="20" t="str">
        <f t="shared" si="9"/>
        <v/>
      </c>
      <c r="FZ7" s="20" t="str">
        <f t="shared" si="9"/>
        <v/>
      </c>
      <c r="GA7" s="20" t="str">
        <f t="shared" si="9"/>
        <v/>
      </c>
      <c r="GB7" s="20" t="str">
        <f t="shared" si="9"/>
        <v/>
      </c>
      <c r="GC7" s="20" t="str">
        <f t="shared" si="9"/>
        <v/>
      </c>
      <c r="GD7" s="20" t="str">
        <f t="shared" si="9"/>
        <v/>
      </c>
      <c r="GE7" s="20" t="str">
        <f t="shared" si="9"/>
        <v/>
      </c>
      <c r="GF7" s="20" t="str">
        <f t="shared" si="9"/>
        <v/>
      </c>
      <c r="GG7" s="20" t="str">
        <f t="shared" si="9"/>
        <v/>
      </c>
      <c r="GH7" s="20" t="str">
        <f t="shared" si="9"/>
        <v/>
      </c>
      <c r="GI7" s="20" t="str">
        <f t="shared" si="9"/>
        <v/>
      </c>
      <c r="GJ7" s="20" t="str">
        <f t="shared" si="9"/>
        <v/>
      </c>
      <c r="GK7" s="20" t="str">
        <f t="shared" si="9"/>
        <v/>
      </c>
      <c r="GL7" s="20" t="str">
        <f t="shared" si="9"/>
        <v/>
      </c>
      <c r="GM7" s="20" t="str">
        <f t="shared" si="9"/>
        <v/>
      </c>
      <c r="GN7" s="20" t="str">
        <f t="shared" si="9"/>
        <v/>
      </c>
      <c r="GO7" s="20" t="str">
        <f t="shared" si="9"/>
        <v/>
      </c>
      <c r="GP7" s="20" t="str">
        <f t="shared" si="9"/>
        <v/>
      </c>
      <c r="GQ7" s="20" t="str">
        <f t="shared" si="9"/>
        <v/>
      </c>
      <c r="GR7" s="20" t="str">
        <f t="shared" si="9"/>
        <v/>
      </c>
      <c r="GS7" s="20" t="str">
        <f t="shared" si="9"/>
        <v/>
      </c>
      <c r="GT7" s="20" t="str">
        <f t="shared" si="9"/>
        <v/>
      </c>
      <c r="GU7" s="20" t="str">
        <f t="shared" si="9"/>
        <v/>
      </c>
      <c r="GV7" s="20" t="str">
        <f t="shared" si="9"/>
        <v/>
      </c>
      <c r="GW7" s="20" t="str">
        <f t="shared" si="9"/>
        <v/>
      </c>
      <c r="GX7" s="20" t="str">
        <f t="shared" si="9"/>
        <v/>
      </c>
      <c r="GY7" s="20" t="str">
        <f t="shared" si="9"/>
        <v/>
      </c>
      <c r="GZ7" s="20" t="str">
        <f t="shared" si="9"/>
        <v/>
      </c>
      <c r="HA7" s="20" t="str">
        <f t="shared" si="9"/>
        <v/>
      </c>
      <c r="HB7" s="20" t="str">
        <f t="shared" si="9"/>
        <v/>
      </c>
      <c r="HC7" s="20" t="str">
        <f t="shared" si="9"/>
        <v/>
      </c>
      <c r="HD7" s="20" t="str">
        <f t="shared" si="9"/>
        <v/>
      </c>
      <c r="HE7" s="20" t="str">
        <f t="shared" si="9"/>
        <v/>
      </c>
      <c r="HF7" s="20" t="str">
        <f t="shared" si="9"/>
        <v/>
      </c>
      <c r="HG7" s="20" t="str">
        <f t="shared" si="9"/>
        <v/>
      </c>
      <c r="HH7" s="20" t="str">
        <f t="shared" si="9"/>
        <v/>
      </c>
      <c r="HI7" s="20" t="str">
        <f t="shared" si="9"/>
        <v/>
      </c>
      <c r="HJ7" s="20" t="str">
        <f t="shared" si="9"/>
        <v/>
      </c>
      <c r="HK7" s="20" t="str">
        <f t="shared" si="9"/>
        <v/>
      </c>
      <c r="HL7" s="20" t="str">
        <f t="shared" si="9"/>
        <v/>
      </c>
      <c r="HM7" s="20" t="str">
        <f t="shared" si="9"/>
        <v/>
      </c>
      <c r="HN7" s="20" t="str">
        <f t="shared" si="9"/>
        <v/>
      </c>
      <c r="HO7" s="20" t="str">
        <f t="shared" si="9"/>
        <v/>
      </c>
      <c r="HP7" s="20" t="str">
        <f t="shared" ref="HP7:KA7" si="10">IF(SUM(HP$8:HP$150), SUM(HP$8:HP$150), "")</f>
        <v/>
      </c>
      <c r="HQ7" s="20" t="str">
        <f t="shared" si="10"/>
        <v/>
      </c>
      <c r="HR7" s="20" t="str">
        <f t="shared" si="10"/>
        <v/>
      </c>
      <c r="HS7" s="20" t="str">
        <f t="shared" si="10"/>
        <v/>
      </c>
      <c r="HT7" s="20" t="str">
        <f t="shared" si="10"/>
        <v/>
      </c>
      <c r="HU7" s="20" t="str">
        <f t="shared" si="10"/>
        <v/>
      </c>
      <c r="HV7" s="20" t="str">
        <f t="shared" si="10"/>
        <v/>
      </c>
      <c r="HW7" s="20" t="str">
        <f t="shared" si="10"/>
        <v/>
      </c>
      <c r="HX7" s="20" t="str">
        <f t="shared" si="10"/>
        <v/>
      </c>
      <c r="HY7" s="20" t="str">
        <f t="shared" si="10"/>
        <v/>
      </c>
      <c r="HZ7" s="20" t="str">
        <f t="shared" si="10"/>
        <v/>
      </c>
      <c r="IA7" s="20" t="str">
        <f t="shared" si="10"/>
        <v/>
      </c>
      <c r="IB7" s="20" t="str">
        <f t="shared" si="10"/>
        <v/>
      </c>
      <c r="IC7" s="20" t="str">
        <f t="shared" si="10"/>
        <v/>
      </c>
      <c r="ID7" s="20" t="str">
        <f t="shared" si="10"/>
        <v/>
      </c>
      <c r="IE7" s="20" t="str">
        <f t="shared" si="10"/>
        <v/>
      </c>
      <c r="IF7" s="20" t="str">
        <f t="shared" si="10"/>
        <v/>
      </c>
      <c r="IG7" s="20" t="str">
        <f t="shared" si="10"/>
        <v/>
      </c>
      <c r="IH7" s="20" t="str">
        <f t="shared" si="10"/>
        <v/>
      </c>
      <c r="II7" s="20" t="str">
        <f t="shared" si="10"/>
        <v/>
      </c>
      <c r="IJ7" s="20" t="str">
        <f t="shared" si="10"/>
        <v/>
      </c>
      <c r="IK7" s="20" t="str">
        <f t="shared" si="10"/>
        <v/>
      </c>
      <c r="IL7" s="20" t="str">
        <f t="shared" si="10"/>
        <v/>
      </c>
      <c r="IM7" s="20" t="str">
        <f t="shared" si="10"/>
        <v/>
      </c>
      <c r="IN7" s="20" t="str">
        <f t="shared" si="10"/>
        <v/>
      </c>
      <c r="IO7" s="20" t="str">
        <f t="shared" si="10"/>
        <v/>
      </c>
      <c r="IP7" s="20" t="str">
        <f t="shared" si="10"/>
        <v/>
      </c>
      <c r="IQ7" s="20" t="str">
        <f t="shared" si="10"/>
        <v/>
      </c>
      <c r="IR7" s="20" t="str">
        <f t="shared" si="10"/>
        <v/>
      </c>
      <c r="IS7" s="20" t="str">
        <f t="shared" si="10"/>
        <v/>
      </c>
      <c r="IT7" s="20" t="str">
        <f t="shared" si="10"/>
        <v/>
      </c>
      <c r="IU7" s="20" t="str">
        <f t="shared" si="10"/>
        <v/>
      </c>
      <c r="IV7" s="20" t="str">
        <f t="shared" si="10"/>
        <v/>
      </c>
      <c r="IW7" s="20" t="str">
        <f t="shared" si="10"/>
        <v/>
      </c>
      <c r="IX7" s="20" t="str">
        <f t="shared" si="10"/>
        <v/>
      </c>
      <c r="IY7" s="20" t="str">
        <f t="shared" si="10"/>
        <v/>
      </c>
      <c r="IZ7" s="20" t="str">
        <f t="shared" si="10"/>
        <v/>
      </c>
      <c r="JA7" s="20" t="str">
        <f t="shared" si="10"/>
        <v/>
      </c>
      <c r="JB7" s="20" t="str">
        <f t="shared" si="10"/>
        <v/>
      </c>
      <c r="JC7" s="20" t="str">
        <f t="shared" si="10"/>
        <v/>
      </c>
      <c r="JD7" s="20" t="str">
        <f t="shared" si="10"/>
        <v/>
      </c>
      <c r="JE7" s="20" t="str">
        <f t="shared" si="10"/>
        <v/>
      </c>
      <c r="JF7" s="20" t="str">
        <f t="shared" si="10"/>
        <v/>
      </c>
      <c r="JG7" s="20" t="str">
        <f t="shared" si="10"/>
        <v/>
      </c>
      <c r="JH7" s="20" t="str">
        <f t="shared" si="10"/>
        <v/>
      </c>
      <c r="JI7" s="20" t="str">
        <f t="shared" si="10"/>
        <v/>
      </c>
      <c r="JJ7" s="20" t="str">
        <f t="shared" si="10"/>
        <v/>
      </c>
      <c r="JK7" s="20" t="str">
        <f t="shared" si="10"/>
        <v/>
      </c>
      <c r="JL7" s="20" t="str">
        <f t="shared" si="10"/>
        <v/>
      </c>
      <c r="JM7" s="20" t="str">
        <f t="shared" si="10"/>
        <v/>
      </c>
      <c r="JN7" s="20" t="str">
        <f t="shared" si="10"/>
        <v/>
      </c>
      <c r="JO7" s="20" t="str">
        <f t="shared" si="10"/>
        <v/>
      </c>
      <c r="JP7" s="20" t="str">
        <f t="shared" si="10"/>
        <v/>
      </c>
      <c r="JQ7" s="20" t="str">
        <f t="shared" si="10"/>
        <v/>
      </c>
      <c r="JR7" s="20" t="str">
        <f t="shared" si="10"/>
        <v/>
      </c>
      <c r="JS7" s="20" t="str">
        <f t="shared" si="10"/>
        <v/>
      </c>
      <c r="JT7" s="20" t="str">
        <f t="shared" si="10"/>
        <v/>
      </c>
      <c r="JU7" s="20" t="str">
        <f t="shared" si="10"/>
        <v/>
      </c>
      <c r="JV7" s="20" t="str">
        <f t="shared" si="10"/>
        <v/>
      </c>
      <c r="JW7" s="20" t="str">
        <f t="shared" si="10"/>
        <v/>
      </c>
      <c r="JX7" s="20" t="str">
        <f t="shared" si="10"/>
        <v/>
      </c>
      <c r="JY7" s="20" t="str">
        <f t="shared" si="10"/>
        <v/>
      </c>
      <c r="JZ7" s="20" t="str">
        <f t="shared" si="10"/>
        <v/>
      </c>
      <c r="KA7" s="20" t="str">
        <f t="shared" si="10"/>
        <v/>
      </c>
      <c r="KB7" s="20" t="str">
        <f t="shared" ref="KB7:MM7" si="11">IF(SUM(KB$8:KB$150), SUM(KB$8:KB$150), "")</f>
        <v/>
      </c>
      <c r="KC7" s="20" t="str">
        <f t="shared" si="11"/>
        <v/>
      </c>
      <c r="KD7" s="20" t="str">
        <f t="shared" si="11"/>
        <v/>
      </c>
      <c r="KE7" s="20" t="str">
        <f t="shared" si="11"/>
        <v/>
      </c>
      <c r="KF7" s="20" t="str">
        <f t="shared" si="11"/>
        <v/>
      </c>
      <c r="KG7" s="20" t="str">
        <f t="shared" si="11"/>
        <v/>
      </c>
      <c r="KH7" s="20" t="str">
        <f t="shared" si="11"/>
        <v/>
      </c>
      <c r="KI7" s="20" t="str">
        <f t="shared" si="11"/>
        <v/>
      </c>
      <c r="KJ7" s="20" t="str">
        <f t="shared" si="11"/>
        <v/>
      </c>
      <c r="KK7" s="20" t="str">
        <f t="shared" si="11"/>
        <v/>
      </c>
      <c r="KL7" s="20" t="str">
        <f t="shared" si="11"/>
        <v/>
      </c>
      <c r="KM7" s="20" t="str">
        <f t="shared" si="11"/>
        <v/>
      </c>
      <c r="KN7" s="20" t="str">
        <f t="shared" si="11"/>
        <v/>
      </c>
      <c r="KO7" s="20" t="str">
        <f t="shared" si="11"/>
        <v/>
      </c>
      <c r="KP7" s="20" t="str">
        <f t="shared" si="11"/>
        <v/>
      </c>
      <c r="KQ7" s="20" t="str">
        <f t="shared" si="11"/>
        <v/>
      </c>
      <c r="KR7" s="20" t="str">
        <f t="shared" si="11"/>
        <v/>
      </c>
      <c r="KS7" s="20" t="str">
        <f t="shared" si="11"/>
        <v/>
      </c>
      <c r="KT7" s="20" t="str">
        <f t="shared" si="11"/>
        <v/>
      </c>
      <c r="KU7" s="20" t="str">
        <f t="shared" si="11"/>
        <v/>
      </c>
      <c r="KV7" s="20" t="str">
        <f t="shared" si="11"/>
        <v/>
      </c>
      <c r="KW7" s="20" t="str">
        <f t="shared" si="11"/>
        <v/>
      </c>
      <c r="KX7" s="20" t="str">
        <f t="shared" si="11"/>
        <v/>
      </c>
      <c r="KY7" s="20" t="str">
        <f t="shared" si="11"/>
        <v/>
      </c>
      <c r="KZ7" s="20" t="str">
        <f t="shared" si="11"/>
        <v/>
      </c>
      <c r="LA7" s="20" t="str">
        <f t="shared" si="11"/>
        <v/>
      </c>
      <c r="LB7" s="20" t="str">
        <f t="shared" si="11"/>
        <v/>
      </c>
      <c r="LC7" s="20" t="str">
        <f t="shared" si="11"/>
        <v/>
      </c>
      <c r="LD7" s="20" t="str">
        <f t="shared" si="11"/>
        <v/>
      </c>
      <c r="LE7" s="20" t="str">
        <f t="shared" si="11"/>
        <v/>
      </c>
      <c r="LF7" s="20" t="str">
        <f t="shared" si="11"/>
        <v/>
      </c>
      <c r="LG7" s="20" t="str">
        <f t="shared" si="11"/>
        <v/>
      </c>
      <c r="LH7" s="20" t="str">
        <f t="shared" si="11"/>
        <v/>
      </c>
      <c r="LI7" s="20" t="str">
        <f t="shared" si="11"/>
        <v/>
      </c>
      <c r="LJ7" s="20" t="str">
        <f t="shared" si="11"/>
        <v/>
      </c>
      <c r="LK7" s="20" t="str">
        <f t="shared" si="11"/>
        <v/>
      </c>
      <c r="LL7" s="20" t="str">
        <f t="shared" si="11"/>
        <v/>
      </c>
      <c r="LM7" s="20" t="str">
        <f t="shared" si="11"/>
        <v/>
      </c>
      <c r="LN7" s="20" t="str">
        <f t="shared" si="11"/>
        <v/>
      </c>
      <c r="LO7" s="20" t="str">
        <f t="shared" si="11"/>
        <v/>
      </c>
      <c r="LP7" s="20" t="str">
        <f t="shared" si="11"/>
        <v/>
      </c>
      <c r="LQ7" s="20" t="str">
        <f t="shared" si="11"/>
        <v/>
      </c>
      <c r="LR7" s="20" t="str">
        <f t="shared" si="11"/>
        <v/>
      </c>
      <c r="LS7" s="20" t="str">
        <f t="shared" si="11"/>
        <v/>
      </c>
      <c r="LT7" s="20" t="str">
        <f t="shared" si="11"/>
        <v/>
      </c>
      <c r="LU7" s="20" t="str">
        <f t="shared" si="11"/>
        <v/>
      </c>
      <c r="LV7" s="20" t="str">
        <f t="shared" si="11"/>
        <v/>
      </c>
      <c r="LW7" s="20" t="str">
        <f t="shared" si="11"/>
        <v/>
      </c>
      <c r="LX7" s="20" t="str">
        <f t="shared" si="11"/>
        <v/>
      </c>
      <c r="LY7" s="20" t="str">
        <f t="shared" si="11"/>
        <v/>
      </c>
      <c r="LZ7" s="20" t="str">
        <f t="shared" si="11"/>
        <v/>
      </c>
      <c r="MA7" s="20" t="str">
        <f t="shared" si="11"/>
        <v/>
      </c>
      <c r="MB7" s="20" t="str">
        <f t="shared" si="11"/>
        <v/>
      </c>
      <c r="MC7" s="20" t="str">
        <f t="shared" si="11"/>
        <v/>
      </c>
      <c r="MD7" s="20" t="str">
        <f t="shared" si="11"/>
        <v/>
      </c>
      <c r="ME7" s="20" t="str">
        <f t="shared" si="11"/>
        <v/>
      </c>
      <c r="MF7" s="20" t="str">
        <f t="shared" si="11"/>
        <v/>
      </c>
      <c r="MG7" s="20" t="str">
        <f t="shared" si="11"/>
        <v/>
      </c>
      <c r="MH7" s="20" t="str">
        <f t="shared" si="11"/>
        <v/>
      </c>
      <c r="MI7" s="20" t="str">
        <f t="shared" si="11"/>
        <v/>
      </c>
      <c r="MJ7" s="20" t="str">
        <f t="shared" si="11"/>
        <v/>
      </c>
      <c r="MK7" s="20" t="str">
        <f t="shared" si="11"/>
        <v/>
      </c>
      <c r="ML7" s="20" t="str">
        <f t="shared" si="11"/>
        <v/>
      </c>
      <c r="MM7" s="20" t="str">
        <f t="shared" si="11"/>
        <v/>
      </c>
      <c r="MN7" s="20" t="str">
        <f t="shared" ref="MN7:OE7" si="12">IF(SUM(MN$8:MN$150), SUM(MN$8:MN$150), "")</f>
        <v/>
      </c>
      <c r="MO7" s="20" t="str">
        <f t="shared" si="12"/>
        <v/>
      </c>
      <c r="MP7" s="20" t="str">
        <f t="shared" si="12"/>
        <v/>
      </c>
      <c r="MQ7" s="20" t="str">
        <f t="shared" si="12"/>
        <v/>
      </c>
      <c r="MR7" s="20" t="str">
        <f t="shared" si="12"/>
        <v/>
      </c>
      <c r="MS7" s="20" t="str">
        <f t="shared" si="12"/>
        <v/>
      </c>
      <c r="MT7" s="20" t="str">
        <f t="shared" si="12"/>
        <v/>
      </c>
      <c r="MU7" s="20" t="str">
        <f t="shared" si="12"/>
        <v/>
      </c>
      <c r="MV7" s="20" t="str">
        <f t="shared" si="12"/>
        <v/>
      </c>
      <c r="MW7" s="20" t="str">
        <f t="shared" si="12"/>
        <v/>
      </c>
      <c r="MX7" s="20" t="str">
        <f t="shared" si="12"/>
        <v/>
      </c>
      <c r="MY7" s="20" t="str">
        <f t="shared" si="12"/>
        <v/>
      </c>
      <c r="MZ7" s="20" t="str">
        <f t="shared" si="12"/>
        <v/>
      </c>
      <c r="NA7" s="20" t="str">
        <f t="shared" si="12"/>
        <v/>
      </c>
      <c r="NB7" s="20" t="str">
        <f t="shared" si="12"/>
        <v/>
      </c>
      <c r="NC7" s="20" t="str">
        <f t="shared" si="12"/>
        <v/>
      </c>
      <c r="ND7" s="20" t="str">
        <f t="shared" si="12"/>
        <v/>
      </c>
      <c r="NE7" s="20" t="str">
        <f t="shared" si="12"/>
        <v/>
      </c>
      <c r="NF7" s="20" t="str">
        <f t="shared" si="12"/>
        <v/>
      </c>
      <c r="NG7" s="20" t="str">
        <f t="shared" si="12"/>
        <v/>
      </c>
      <c r="NH7" s="20" t="str">
        <f t="shared" si="12"/>
        <v/>
      </c>
      <c r="NI7" s="20" t="str">
        <f t="shared" si="12"/>
        <v/>
      </c>
      <c r="NJ7" s="20" t="str">
        <f t="shared" si="12"/>
        <v/>
      </c>
      <c r="NK7" s="20" t="str">
        <f t="shared" si="12"/>
        <v/>
      </c>
      <c r="NL7" s="20" t="str">
        <f t="shared" si="12"/>
        <v/>
      </c>
      <c r="NM7" s="20" t="str">
        <f t="shared" si="12"/>
        <v/>
      </c>
      <c r="NN7" s="20" t="str">
        <f t="shared" si="12"/>
        <v/>
      </c>
      <c r="NO7" s="20" t="str">
        <f t="shared" si="12"/>
        <v/>
      </c>
      <c r="NP7" s="20" t="str">
        <f t="shared" si="12"/>
        <v/>
      </c>
      <c r="NQ7" s="20" t="str">
        <f t="shared" si="12"/>
        <v/>
      </c>
      <c r="NR7" s="20" t="str">
        <f t="shared" si="12"/>
        <v/>
      </c>
      <c r="NS7" s="20" t="str">
        <f t="shared" si="12"/>
        <v/>
      </c>
      <c r="NT7" s="20" t="str">
        <f t="shared" si="12"/>
        <v/>
      </c>
      <c r="NU7" s="20" t="str">
        <f t="shared" si="12"/>
        <v/>
      </c>
      <c r="NV7" s="20" t="str">
        <f t="shared" si="12"/>
        <v/>
      </c>
      <c r="NW7" s="20" t="str">
        <f t="shared" si="12"/>
        <v/>
      </c>
      <c r="NX7" s="20" t="str">
        <f t="shared" si="12"/>
        <v/>
      </c>
      <c r="NY7" s="20" t="str">
        <f t="shared" si="12"/>
        <v/>
      </c>
      <c r="NZ7" s="20" t="str">
        <f t="shared" si="12"/>
        <v/>
      </c>
      <c r="OA7" s="20" t="str">
        <f t="shared" si="12"/>
        <v/>
      </c>
      <c r="OB7" s="20" t="str">
        <f t="shared" si="12"/>
        <v/>
      </c>
      <c r="OC7" s="20" t="str">
        <f t="shared" si="12"/>
        <v/>
      </c>
      <c r="OD7" s="20" t="str">
        <f t="shared" si="12"/>
        <v/>
      </c>
      <c r="OE7" s="117" t="str">
        <f t="shared" si="12"/>
        <v/>
      </c>
    </row>
    <row r="8" spans="1:395">
      <c r="A8" s="31" t="s">
        <v>76</v>
      </c>
      <c r="B8" s="14" t="s">
        <v>77</v>
      </c>
      <c r="C8" s="15"/>
      <c r="D8" s="22"/>
      <c r="E8" s="16" t="str">
        <f>IF(SUM($G8,$I8,$K8,$M8,$O8,$Q8,$S8,$U8,$W8,$Y8,$AA8,$AC8), SUM($G8,$I8,$K8,$M8,$O8,$Q8,$S8,$U8,$W8,$Y8,$AA8,$AC8), "")</f>
        <v/>
      </c>
      <c r="F8" s="16">
        <f>SUM($H8,$J8,$L8,$N8,$P8,$R8,$T8,$V8,$X8,$Z8,$AB8,$AD8)</f>
        <v>0</v>
      </c>
      <c r="G8" s="13"/>
      <c r="H8" s="13" cm="1">
        <f t="array" ref="H8">SUMPRODUCT((TEXT($AE$5:$OE$5, "mmm")=LOWER(G$3))*$AE8:$OE8)</f>
        <v>0</v>
      </c>
      <c r="I8" s="13"/>
      <c r="J8" s="13" cm="1">
        <f t="array" ref="J8">SUMPRODUCT((TEXT($AE$5:$OE$5, "mmm")=LOWER(I$3))*$AE8:$OE8)</f>
        <v>0</v>
      </c>
      <c r="K8" s="13"/>
      <c r="L8" s="13" cm="1">
        <f t="array" ref="L8">SUMPRODUCT((TEXT($AE$5:$OE$5, "mmm")=LOWER(K$3))*$AE8:$OE8)</f>
        <v>0</v>
      </c>
      <c r="M8" s="13"/>
      <c r="N8" s="13" cm="1">
        <f t="array" ref="N8">SUMPRODUCT((TEXT($AE$5:$OE$5, "mmm")=LOWER(M$3))*$AE8:$OE8)</f>
        <v>0</v>
      </c>
      <c r="O8" s="13"/>
      <c r="P8" s="13" cm="1">
        <f t="array" ref="P8">SUMPRODUCT((TEXT($AE$5:$OE$5, "mmm")=LOWER(O$3))*$AE8:$OE8)</f>
        <v>0</v>
      </c>
      <c r="Q8" s="13"/>
      <c r="R8" s="13" cm="1">
        <f t="array" ref="R8">SUMPRODUCT((TEXT($AE$5:$OE$5, "mmm")=LOWER(Q$3))*$AE8:$OE8)</f>
        <v>0</v>
      </c>
      <c r="S8" s="13"/>
      <c r="T8" s="13" cm="1">
        <f t="array" ref="T8">SUMPRODUCT((TEXT($AE$5:$OE$5, "mmm")=LOWER(S$3))*$AE8:$OE8)</f>
        <v>0</v>
      </c>
      <c r="U8" s="13"/>
      <c r="V8" s="13" cm="1">
        <f t="array" ref="V8">SUMPRODUCT((TEXT($AE$5:$OE$5, "mmm")=LOWER(U$3))*$AE8:$OE8)</f>
        <v>0</v>
      </c>
      <c r="W8" s="13"/>
      <c r="X8" s="13" cm="1">
        <f t="array" ref="X8">SUMPRODUCT((TEXT($AE$5:$OE$5, "mmm")=LOWER(W$3))*$AE8:$OE8)</f>
        <v>0</v>
      </c>
      <c r="Y8" s="13"/>
      <c r="Z8" s="13" cm="1">
        <f t="array" ref="Z8">SUMPRODUCT((TEXT($AE$5:$OE$5, "mmm")=LOWER(Y$3))*$AE8:$OE8)</f>
        <v>0</v>
      </c>
      <c r="AA8" s="13"/>
      <c r="AB8" s="13" cm="1">
        <f t="array" ref="AB8">SUMPRODUCT((TEXT($AE$5:$OE$5, "mmm")=LOWER(AA$3))*$AE8:$OE8)</f>
        <v>0</v>
      </c>
      <c r="AC8" s="13"/>
      <c r="AD8" s="17" cm="1">
        <f t="array" ref="AD8">SUMPRODUCT((TEXT($AE$5:$OE$5, "mmm")=LOWER(AC$3))*$AE8:$OE8)</f>
        <v>0</v>
      </c>
      <c r="AE8" s="23"/>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BX8" s="24"/>
      <c r="BY8" s="24"/>
      <c r="BZ8" s="24"/>
      <c r="CA8" s="24"/>
      <c r="CB8" s="24"/>
      <c r="CC8" s="24"/>
      <c r="CD8" s="24"/>
      <c r="CE8" s="24"/>
      <c r="CF8" s="24"/>
      <c r="CG8" s="24"/>
      <c r="CH8" s="24"/>
      <c r="CI8" s="24"/>
      <c r="CJ8" s="24"/>
      <c r="CK8" s="24"/>
      <c r="CL8" s="24"/>
      <c r="CM8" s="24"/>
      <c r="CN8" s="24"/>
      <c r="CO8" s="24"/>
      <c r="CP8" s="24"/>
      <c r="CQ8" s="24"/>
      <c r="CR8" s="24"/>
      <c r="CS8" s="24"/>
      <c r="CT8" s="24"/>
      <c r="CU8" s="24"/>
      <c r="CV8" s="24"/>
      <c r="CW8" s="24"/>
      <c r="CX8" s="24"/>
      <c r="CY8" s="24"/>
      <c r="CZ8" s="24"/>
      <c r="DA8" s="24"/>
      <c r="DB8" s="24"/>
      <c r="DC8" s="24"/>
      <c r="DD8" s="24"/>
      <c r="DE8" s="24"/>
      <c r="DF8" s="24"/>
      <c r="DG8" s="24"/>
      <c r="DH8" s="24"/>
      <c r="DI8" s="24"/>
      <c r="DJ8" s="24"/>
      <c r="DK8" s="24"/>
      <c r="DL8" s="24"/>
      <c r="DM8" s="24"/>
      <c r="DN8" s="24"/>
      <c r="DO8" s="24"/>
      <c r="DP8" s="24"/>
      <c r="DQ8" s="24"/>
      <c r="DR8" s="24"/>
      <c r="DS8" s="24"/>
      <c r="DT8" s="24"/>
      <c r="DU8" s="24"/>
      <c r="DV8" s="24"/>
      <c r="DW8" s="24"/>
      <c r="DX8" s="24"/>
      <c r="DY8" s="24"/>
      <c r="DZ8" s="24"/>
      <c r="EA8" s="24"/>
      <c r="EB8" s="24"/>
      <c r="EC8" s="24"/>
      <c r="ED8" s="24"/>
      <c r="EE8" s="24"/>
      <c r="EF8" s="24"/>
      <c r="EG8" s="24"/>
      <c r="EH8" s="24"/>
      <c r="EI8" s="24"/>
      <c r="EJ8" s="24"/>
      <c r="EK8" s="24"/>
      <c r="EL8" s="24"/>
      <c r="EM8" s="24"/>
      <c r="EN8" s="24"/>
      <c r="EO8" s="24"/>
      <c r="EP8" s="24"/>
      <c r="EQ8" s="24"/>
      <c r="ER8" s="24"/>
      <c r="ES8" s="24"/>
      <c r="ET8" s="24"/>
      <c r="EU8" s="24"/>
      <c r="EV8" s="24"/>
      <c r="EW8" s="24"/>
      <c r="EX8" s="24"/>
      <c r="EY8" s="24"/>
      <c r="EZ8" s="24"/>
      <c r="FA8" s="24"/>
      <c r="FB8" s="24"/>
      <c r="FC8" s="24"/>
      <c r="FD8" s="24"/>
      <c r="FE8" s="24"/>
      <c r="FF8" s="24"/>
      <c r="FG8" s="24"/>
      <c r="FH8" s="24"/>
      <c r="FI8" s="24"/>
      <c r="FJ8" s="24"/>
      <c r="FK8" s="24"/>
      <c r="FL8" s="24"/>
      <c r="FM8" s="24"/>
      <c r="FN8" s="24"/>
      <c r="FO8" s="24"/>
      <c r="FP8" s="24"/>
      <c r="FQ8" s="24"/>
      <c r="FR8" s="24"/>
      <c r="FS8" s="24"/>
      <c r="FT8" s="24"/>
      <c r="FU8" s="24"/>
      <c r="FV8" s="24"/>
      <c r="FW8" s="24"/>
      <c r="FX8" s="24"/>
      <c r="FY8" s="24"/>
      <c r="FZ8" s="24"/>
      <c r="GA8" s="24"/>
      <c r="GB8" s="24"/>
      <c r="GC8" s="24"/>
      <c r="GD8" s="24"/>
      <c r="GE8" s="24"/>
      <c r="GF8" s="24"/>
      <c r="GG8" s="24"/>
      <c r="GH8" s="24"/>
      <c r="GI8" s="24"/>
      <c r="GJ8" s="24"/>
      <c r="GK8" s="24"/>
      <c r="GL8" s="24"/>
      <c r="GM8" s="24"/>
      <c r="GN8" s="24"/>
      <c r="GO8" s="24"/>
      <c r="GP8" s="24"/>
      <c r="GQ8" s="24"/>
      <c r="GR8" s="24"/>
      <c r="GS8" s="24"/>
      <c r="GT8" s="24"/>
      <c r="GU8" s="24"/>
      <c r="GV8" s="24"/>
      <c r="GW8" s="24"/>
      <c r="GX8" s="24"/>
      <c r="GY8" s="24"/>
      <c r="GZ8" s="24"/>
      <c r="HA8" s="24"/>
      <c r="HB8" s="24"/>
      <c r="HC8" s="24"/>
      <c r="HD8" s="24"/>
      <c r="HE8" s="24"/>
      <c r="HF8" s="24"/>
      <c r="HG8" s="24"/>
      <c r="HH8" s="24"/>
      <c r="HI8" s="24"/>
      <c r="HJ8" s="24"/>
      <c r="HK8" s="24"/>
      <c r="HL8" s="24"/>
      <c r="HM8" s="24"/>
      <c r="HN8" s="24"/>
      <c r="HO8" s="24"/>
      <c r="HP8" s="24"/>
      <c r="HQ8" s="24"/>
      <c r="HR8" s="24"/>
      <c r="HS8" s="24"/>
      <c r="HT8" s="24"/>
      <c r="HU8" s="24"/>
      <c r="HV8" s="24"/>
      <c r="HW8" s="24"/>
      <c r="HX8" s="24"/>
      <c r="HY8" s="24"/>
      <c r="HZ8" s="24"/>
      <c r="IA8" s="24"/>
      <c r="IB8" s="24"/>
      <c r="IC8" s="24"/>
      <c r="ID8" s="24"/>
      <c r="IE8" s="24"/>
      <c r="IF8" s="24"/>
      <c r="IG8" s="24"/>
      <c r="IH8" s="24"/>
      <c r="II8" s="24"/>
      <c r="IJ8" s="24"/>
      <c r="IK8" s="24"/>
      <c r="IL8" s="24"/>
      <c r="IM8" s="24"/>
      <c r="IN8" s="24"/>
      <c r="IO8" s="24"/>
      <c r="IP8" s="24"/>
      <c r="IQ8" s="24"/>
      <c r="IR8" s="24"/>
      <c r="IS8" s="24"/>
      <c r="IT8" s="24"/>
      <c r="IU8" s="24"/>
      <c r="IV8" s="24"/>
      <c r="IW8" s="24"/>
      <c r="IX8" s="24"/>
      <c r="IY8" s="24"/>
      <c r="IZ8" s="24"/>
      <c r="JA8" s="24"/>
      <c r="JB8" s="24"/>
      <c r="JC8" s="24"/>
      <c r="JD8" s="24"/>
      <c r="JE8" s="24"/>
      <c r="JF8" s="24"/>
      <c r="JG8" s="24"/>
      <c r="JH8" s="24"/>
      <c r="JI8" s="24"/>
      <c r="JJ8" s="24"/>
      <c r="JK8" s="24"/>
      <c r="JL8" s="24"/>
      <c r="JM8" s="24"/>
      <c r="JN8" s="24"/>
      <c r="JO8" s="24"/>
      <c r="JP8" s="24"/>
      <c r="JQ8" s="24"/>
      <c r="JR8" s="24"/>
      <c r="JS8" s="24"/>
      <c r="JT8" s="24"/>
      <c r="JU8" s="24"/>
      <c r="JV8" s="24"/>
      <c r="JW8" s="24"/>
      <c r="JX8" s="24"/>
      <c r="JY8" s="24"/>
      <c r="JZ8" s="24"/>
      <c r="KA8" s="24"/>
      <c r="KB8" s="24"/>
      <c r="KC8" s="24"/>
      <c r="KD8" s="24"/>
      <c r="KE8" s="24"/>
      <c r="KF8" s="24"/>
      <c r="KG8" s="24"/>
      <c r="KH8" s="24"/>
      <c r="KI8" s="24"/>
      <c r="KJ8" s="24"/>
      <c r="KK8" s="24"/>
      <c r="KL8" s="24"/>
      <c r="KM8" s="24"/>
      <c r="KN8" s="24"/>
      <c r="KO8" s="24"/>
      <c r="KP8" s="24"/>
      <c r="KQ8" s="24"/>
      <c r="KR8" s="24"/>
      <c r="KS8" s="24"/>
      <c r="KT8" s="24"/>
      <c r="KU8" s="24"/>
      <c r="KV8" s="24"/>
      <c r="KW8" s="24"/>
      <c r="KX8" s="24"/>
      <c r="KY8" s="24"/>
      <c r="KZ8" s="24"/>
      <c r="LA8" s="24"/>
      <c r="LB8" s="24"/>
      <c r="LC8" s="24"/>
      <c r="LD8" s="24"/>
      <c r="LE8" s="24"/>
      <c r="LF8" s="24"/>
      <c r="LG8" s="24"/>
      <c r="LH8" s="24"/>
      <c r="LI8" s="24"/>
      <c r="LJ8" s="24"/>
      <c r="LK8" s="24"/>
      <c r="LL8" s="24"/>
      <c r="LM8" s="24"/>
      <c r="LN8" s="24"/>
      <c r="LO8" s="24"/>
      <c r="LP8" s="24"/>
      <c r="LQ8" s="24"/>
      <c r="LR8" s="24"/>
      <c r="LS8" s="24"/>
      <c r="LT8" s="24"/>
      <c r="LU8" s="24"/>
      <c r="LV8" s="24"/>
      <c r="LW8" s="24"/>
      <c r="LX8" s="24"/>
      <c r="LY8" s="24"/>
      <c r="LZ8" s="24"/>
      <c r="MA8" s="24"/>
      <c r="MB8" s="24"/>
      <c r="MC8" s="24"/>
      <c r="MD8" s="24"/>
      <c r="ME8" s="24"/>
      <c r="MF8" s="24"/>
      <c r="MG8" s="24"/>
      <c r="MH8" s="24"/>
      <c r="MI8" s="24"/>
      <c r="MJ8" s="24"/>
      <c r="MK8" s="24"/>
      <c r="ML8" s="24"/>
      <c r="MM8" s="24"/>
      <c r="MN8" s="24"/>
      <c r="MO8" s="24"/>
      <c r="MP8" s="24"/>
      <c r="MQ8" s="24"/>
      <c r="MR8" s="24"/>
      <c r="MS8" s="24"/>
      <c r="MT8" s="24"/>
      <c r="MU8" s="24"/>
      <c r="MV8" s="24"/>
      <c r="MW8" s="24"/>
      <c r="MX8" s="24"/>
      <c r="MY8" s="24"/>
      <c r="MZ8" s="24"/>
      <c r="NA8" s="24"/>
      <c r="NB8" s="24"/>
      <c r="NC8" s="24"/>
      <c r="ND8" s="24"/>
      <c r="NE8" s="24"/>
      <c r="NF8" s="24"/>
      <c r="NG8" s="24"/>
      <c r="NH8" s="24"/>
      <c r="NI8" s="24"/>
      <c r="NJ8" s="24"/>
      <c r="NK8" s="24"/>
      <c r="NL8" s="24"/>
      <c r="NM8" s="24"/>
      <c r="NN8" s="24"/>
      <c r="NO8" s="24"/>
      <c r="NP8" s="24"/>
      <c r="NQ8" s="24"/>
      <c r="NR8" s="24"/>
      <c r="NS8" s="24"/>
      <c r="NT8" s="24"/>
      <c r="NU8" s="24"/>
      <c r="NV8" s="24"/>
      <c r="NW8" s="24"/>
      <c r="NX8" s="24"/>
      <c r="NY8" s="24"/>
      <c r="NZ8" s="24"/>
      <c r="OA8" s="24"/>
      <c r="OB8" s="24"/>
      <c r="OC8" s="24"/>
      <c r="OD8" s="24"/>
      <c r="OE8" s="46"/>
    </row>
    <row r="9" spans="1:395">
      <c r="A9" s="31" t="s">
        <v>78</v>
      </c>
      <c r="B9" s="18" t="s">
        <v>79</v>
      </c>
      <c r="C9" s="19"/>
      <c r="D9" s="4"/>
      <c r="E9" s="16" t="str">
        <f t="shared" ref="E9:E11" si="13">IF(SUM($G9,$I9,$K9,$M9,$O9,$Q9,$S9,$U9,$W9,$Y9,$AA9,$AC9), SUM($G9,$I9,$K9,$M9,$O9,$Q9,$S9,$U9,$W9,$Y9,$AA9,$AC9), "")</f>
        <v/>
      </c>
      <c r="F9" s="16">
        <f t="shared" ref="F9:F15" si="14">SUM($H9,$J9,$L9,$N9,$P9,$R9,$T9,$V9,$X9,$Z9,$AB9,$AD9)</f>
        <v>0</v>
      </c>
      <c r="G9" s="13"/>
      <c r="H9" s="13" cm="1">
        <f t="array" ref="H9">SUMPRODUCT((TEXT($AE$5:$OE$5, "mmm")=LOWER(G$3))*$AE9:$OE9)</f>
        <v>0</v>
      </c>
      <c r="I9" s="13"/>
      <c r="J9" s="13" cm="1">
        <f t="array" ref="J9">SUMPRODUCT((TEXT($AE$5:$OE$5, "mmm")=LOWER(I$3))*$AE9:$OE9)</f>
        <v>0</v>
      </c>
      <c r="K9" s="13"/>
      <c r="L9" s="13" cm="1">
        <f t="array" ref="L9">SUMPRODUCT((TEXT($AE$5:$OE$5, "mmm")=LOWER(K$3))*$AE9:$OE9)</f>
        <v>0</v>
      </c>
      <c r="M9" s="13"/>
      <c r="N9" s="13" cm="1">
        <f t="array" ref="N9">SUMPRODUCT((TEXT($AE$5:$OE$5, "mmm")=LOWER(M$3))*$AE9:$OE9)</f>
        <v>0</v>
      </c>
      <c r="O9" s="13"/>
      <c r="P9" s="13" cm="1">
        <f t="array" ref="P9">SUMPRODUCT((TEXT($AE$5:$OE$5, "mmm")=LOWER(O$3))*$AE9:$OE9)</f>
        <v>0</v>
      </c>
      <c r="Q9" s="13"/>
      <c r="R9" s="13" cm="1">
        <f t="array" ref="R9">SUMPRODUCT((TEXT($AE$5:$OE$5, "mmm")=LOWER(Q$3))*$AE9:$OE9)</f>
        <v>0</v>
      </c>
      <c r="S9" s="13"/>
      <c r="T9" s="13" cm="1">
        <f t="array" ref="T9">SUMPRODUCT((TEXT($AE$5:$OE$5, "mmm")=LOWER(S$3))*$AE9:$OE9)</f>
        <v>0</v>
      </c>
      <c r="U9" s="13"/>
      <c r="V9" s="13" cm="1">
        <f t="array" ref="V9">SUMPRODUCT((TEXT($AE$5:$OE$5, "mmm")=LOWER(U$3))*$AE9:$OE9)</f>
        <v>0</v>
      </c>
      <c r="W9" s="13"/>
      <c r="X9" s="13" cm="1">
        <f t="array" ref="X9">SUMPRODUCT((TEXT($AE$5:$OE$5, "mmm")=LOWER(W$3))*$AE9:$OE9)</f>
        <v>0</v>
      </c>
      <c r="Y9" s="13"/>
      <c r="Z9" s="13" cm="1">
        <f t="array" ref="Z9">SUMPRODUCT((TEXT($AE$5:$OE$5, "mmm")=LOWER(Y$3))*$AE9:$OE9)</f>
        <v>0</v>
      </c>
      <c r="AA9" s="13"/>
      <c r="AB9" s="13" cm="1">
        <f t="array" ref="AB9">SUMPRODUCT((TEXT($AE$5:$OE$5, "mmm")=LOWER(AA$3))*$AE9:$OE9)</f>
        <v>0</v>
      </c>
      <c r="AC9" s="13"/>
      <c r="AD9" s="17" cm="1">
        <f t="array" ref="AD9">SUMPRODUCT((TEXT($AE$5:$OE$5, "mmm")=LOWER(AC$3))*$AE9:$OE9)</f>
        <v>0</v>
      </c>
      <c r="AE9" s="25"/>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c r="CA9" s="24"/>
      <c r="CB9" s="24"/>
      <c r="CC9" s="24"/>
      <c r="CD9" s="24"/>
      <c r="CE9" s="24"/>
      <c r="CF9" s="24"/>
      <c r="CG9" s="24"/>
      <c r="CH9" s="24"/>
      <c r="CI9" s="24"/>
      <c r="CJ9" s="24"/>
      <c r="CK9" s="24"/>
      <c r="CL9" s="24"/>
      <c r="CM9" s="24"/>
      <c r="CN9" s="24"/>
      <c r="CO9" s="24"/>
      <c r="CP9" s="24"/>
      <c r="CQ9" s="24"/>
      <c r="CR9" s="24"/>
      <c r="CS9" s="24"/>
      <c r="CT9" s="24"/>
      <c r="CU9" s="24"/>
      <c r="CV9" s="24"/>
      <c r="CW9" s="24"/>
      <c r="CX9" s="24"/>
      <c r="CY9" s="24"/>
      <c r="CZ9" s="24"/>
      <c r="DA9" s="24"/>
      <c r="DB9" s="24"/>
      <c r="DC9" s="24"/>
      <c r="DD9" s="24"/>
      <c r="DE9" s="24"/>
      <c r="DF9" s="24"/>
      <c r="DG9" s="24"/>
      <c r="DH9" s="24"/>
      <c r="DI9" s="24"/>
      <c r="DJ9" s="24"/>
      <c r="DK9" s="24"/>
      <c r="DL9" s="24"/>
      <c r="DM9" s="24"/>
      <c r="DN9" s="24"/>
      <c r="DO9" s="24"/>
      <c r="DP9" s="24"/>
      <c r="DQ9" s="24"/>
      <c r="DR9" s="24"/>
      <c r="DS9" s="24"/>
      <c r="DT9" s="24"/>
      <c r="DU9" s="24"/>
      <c r="DV9" s="24"/>
      <c r="DW9" s="24"/>
      <c r="DX9" s="24"/>
      <c r="DY9" s="24"/>
      <c r="DZ9" s="24"/>
      <c r="EA9" s="24"/>
      <c r="EB9" s="24"/>
      <c r="EC9" s="24"/>
      <c r="ED9" s="24"/>
      <c r="EE9" s="24"/>
      <c r="EF9" s="24"/>
      <c r="EG9" s="24"/>
      <c r="EH9" s="24"/>
      <c r="EI9" s="24"/>
      <c r="EJ9" s="24"/>
      <c r="EK9" s="24"/>
      <c r="EL9" s="24"/>
      <c r="EM9" s="24"/>
      <c r="EN9" s="24"/>
      <c r="EO9" s="24"/>
      <c r="EP9" s="24"/>
      <c r="EQ9" s="24"/>
      <c r="ER9" s="24"/>
      <c r="ES9" s="24"/>
      <c r="ET9" s="24"/>
      <c r="EU9" s="24"/>
      <c r="EV9" s="24"/>
      <c r="EW9" s="24"/>
      <c r="EX9" s="24"/>
      <c r="EY9" s="24"/>
      <c r="EZ9" s="24"/>
      <c r="FA9" s="24"/>
      <c r="FB9" s="24"/>
      <c r="FC9" s="24"/>
      <c r="FD9" s="24"/>
      <c r="FE9" s="24"/>
      <c r="FF9" s="24"/>
      <c r="FG9" s="24"/>
      <c r="FH9" s="24"/>
      <c r="FI9" s="24"/>
      <c r="FJ9" s="24"/>
      <c r="FK9" s="24"/>
      <c r="FL9" s="24"/>
      <c r="FM9" s="24"/>
      <c r="FN9" s="24"/>
      <c r="FO9" s="24"/>
      <c r="FP9" s="24"/>
      <c r="FQ9" s="24"/>
      <c r="FR9" s="24"/>
      <c r="FS9" s="24"/>
      <c r="FT9" s="24"/>
      <c r="FU9" s="24"/>
      <c r="FV9" s="24"/>
      <c r="FW9" s="24"/>
      <c r="FX9" s="24"/>
      <c r="FY9" s="24"/>
      <c r="FZ9" s="24"/>
      <c r="GA9" s="24"/>
      <c r="GB9" s="24"/>
      <c r="GC9" s="24"/>
      <c r="GD9" s="24"/>
      <c r="GE9" s="24"/>
      <c r="GF9" s="24"/>
      <c r="GG9" s="24"/>
      <c r="GH9" s="24"/>
      <c r="GI9" s="24"/>
      <c r="GJ9" s="24"/>
      <c r="GK9" s="24"/>
      <c r="GL9" s="24"/>
      <c r="GM9" s="24"/>
      <c r="GN9" s="24"/>
      <c r="GO9" s="24"/>
      <c r="GP9" s="24"/>
      <c r="GQ9" s="24"/>
      <c r="GR9" s="24"/>
      <c r="GS9" s="24"/>
      <c r="GT9" s="24"/>
      <c r="GU9" s="24"/>
      <c r="GV9" s="24"/>
      <c r="GW9" s="24"/>
      <c r="GX9" s="24"/>
      <c r="GY9" s="24"/>
      <c r="GZ9" s="24"/>
      <c r="HA9" s="24"/>
      <c r="HB9" s="24"/>
      <c r="HC9" s="24"/>
      <c r="HD9" s="24"/>
      <c r="HE9" s="24"/>
      <c r="HF9" s="24"/>
      <c r="HG9" s="24"/>
      <c r="HH9" s="24"/>
      <c r="HI9" s="24"/>
      <c r="HJ9" s="24"/>
      <c r="HK9" s="24"/>
      <c r="HL9" s="24"/>
      <c r="HM9" s="24"/>
      <c r="HN9" s="24"/>
      <c r="HO9" s="24"/>
      <c r="HP9" s="24"/>
      <c r="HQ9" s="24"/>
      <c r="HR9" s="24"/>
      <c r="HS9" s="24"/>
      <c r="HT9" s="24"/>
      <c r="HU9" s="24"/>
      <c r="HV9" s="24"/>
      <c r="HW9" s="24"/>
      <c r="HX9" s="24"/>
      <c r="HY9" s="24"/>
      <c r="HZ9" s="24"/>
      <c r="IA9" s="24"/>
      <c r="IB9" s="24"/>
      <c r="IC9" s="24"/>
      <c r="ID9" s="24"/>
      <c r="IE9" s="24"/>
      <c r="IF9" s="24"/>
      <c r="IG9" s="24"/>
      <c r="IH9" s="24"/>
      <c r="II9" s="24"/>
      <c r="IJ9" s="24"/>
      <c r="IK9" s="24"/>
      <c r="IL9" s="24"/>
      <c r="IM9" s="24"/>
      <c r="IN9" s="24"/>
      <c r="IO9" s="24"/>
      <c r="IP9" s="24"/>
      <c r="IQ9" s="24"/>
      <c r="IR9" s="24"/>
      <c r="IS9" s="24"/>
      <c r="IT9" s="24"/>
      <c r="IU9" s="24"/>
      <c r="IV9" s="24"/>
      <c r="IW9" s="24"/>
      <c r="IX9" s="24"/>
      <c r="IY9" s="24"/>
      <c r="IZ9" s="24"/>
      <c r="JA9" s="24"/>
      <c r="JB9" s="24"/>
      <c r="JC9" s="24"/>
      <c r="JD9" s="24"/>
      <c r="JE9" s="24"/>
      <c r="JF9" s="24"/>
      <c r="JG9" s="24"/>
      <c r="JH9" s="24"/>
      <c r="JI9" s="24"/>
      <c r="JJ9" s="24"/>
      <c r="JK9" s="24"/>
      <c r="JL9" s="24"/>
      <c r="JM9" s="24"/>
      <c r="JN9" s="24"/>
      <c r="JO9" s="24"/>
      <c r="JP9" s="24"/>
      <c r="JQ9" s="24"/>
      <c r="JR9" s="24"/>
      <c r="JS9" s="24"/>
      <c r="JT9" s="24"/>
      <c r="JU9" s="24"/>
      <c r="JV9" s="24"/>
      <c r="JW9" s="24"/>
      <c r="JX9" s="24"/>
      <c r="JY9" s="24"/>
      <c r="JZ9" s="24"/>
      <c r="KA9" s="24"/>
      <c r="KB9" s="24"/>
      <c r="KC9" s="24"/>
      <c r="KD9" s="24"/>
      <c r="KE9" s="24"/>
      <c r="KF9" s="24"/>
      <c r="KG9" s="24"/>
      <c r="KH9" s="24"/>
      <c r="KI9" s="24"/>
      <c r="KJ9" s="24"/>
      <c r="KK9" s="24"/>
      <c r="KL9" s="24"/>
      <c r="KM9" s="24"/>
      <c r="KN9" s="24"/>
      <c r="KO9" s="24"/>
      <c r="KP9" s="24"/>
      <c r="KQ9" s="24"/>
      <c r="KR9" s="24"/>
      <c r="KS9" s="24"/>
      <c r="KT9" s="24"/>
      <c r="KU9" s="24"/>
      <c r="KV9" s="24"/>
      <c r="KW9" s="24"/>
      <c r="KX9" s="24"/>
      <c r="KY9" s="24"/>
      <c r="KZ9" s="24"/>
      <c r="LA9" s="24"/>
      <c r="LB9" s="24"/>
      <c r="LC9" s="24"/>
      <c r="LD9" s="24"/>
      <c r="LE9" s="24"/>
      <c r="LF9" s="24"/>
      <c r="LG9" s="24"/>
      <c r="LH9" s="24"/>
      <c r="LI9" s="24"/>
      <c r="LJ9" s="24"/>
      <c r="LK9" s="24"/>
      <c r="LL9" s="24"/>
      <c r="LM9" s="24"/>
      <c r="LN9" s="24"/>
      <c r="LO9" s="24"/>
      <c r="LP9" s="24"/>
      <c r="LQ9" s="24"/>
      <c r="LR9" s="24"/>
      <c r="LS9" s="24"/>
      <c r="LT9" s="24"/>
      <c r="LU9" s="24"/>
      <c r="LV9" s="24"/>
      <c r="LW9" s="24"/>
      <c r="LX9" s="24"/>
      <c r="LY9" s="24"/>
      <c r="LZ9" s="24"/>
      <c r="MA9" s="24"/>
      <c r="MB9" s="24"/>
      <c r="MC9" s="24"/>
      <c r="MD9" s="24"/>
      <c r="ME9" s="24"/>
      <c r="MF9" s="24"/>
      <c r="MG9" s="24"/>
      <c r="MH9" s="24"/>
      <c r="MI9" s="24"/>
      <c r="MJ9" s="24"/>
      <c r="MK9" s="24"/>
      <c r="ML9" s="24"/>
      <c r="MM9" s="24"/>
      <c r="MN9" s="24"/>
      <c r="MO9" s="24"/>
      <c r="MP9" s="24"/>
      <c r="MQ9" s="24"/>
      <c r="MR9" s="24"/>
      <c r="MS9" s="24"/>
      <c r="MT9" s="24"/>
      <c r="MU9" s="24"/>
      <c r="MV9" s="24"/>
      <c r="MW9" s="24"/>
      <c r="MX9" s="24"/>
      <c r="MY9" s="24"/>
      <c r="MZ9" s="24"/>
      <c r="NA9" s="24"/>
      <c r="NB9" s="24"/>
      <c r="NC9" s="24"/>
      <c r="ND9" s="24"/>
      <c r="NE9" s="24"/>
      <c r="NF9" s="24"/>
      <c r="NG9" s="24"/>
      <c r="NH9" s="24"/>
      <c r="NI9" s="24"/>
      <c r="NJ9" s="24"/>
      <c r="NK9" s="24"/>
      <c r="NL9" s="24"/>
      <c r="NM9" s="24"/>
      <c r="NN9" s="24"/>
      <c r="NO9" s="24"/>
      <c r="NP9" s="24"/>
      <c r="NQ9" s="24"/>
      <c r="NR9" s="24"/>
      <c r="NS9" s="24"/>
      <c r="NT9" s="24"/>
      <c r="NU9" s="24"/>
      <c r="NV9" s="24"/>
      <c r="NW9" s="24"/>
      <c r="NX9" s="24"/>
      <c r="NY9" s="24"/>
      <c r="NZ9" s="24"/>
      <c r="OA9" s="24"/>
      <c r="OB9" s="24"/>
      <c r="OC9" s="24"/>
      <c r="OD9" s="24"/>
      <c r="OE9" s="46"/>
    </row>
    <row r="10" spans="1:395">
      <c r="A10" s="32" t="s">
        <v>80</v>
      </c>
      <c r="B10" s="18" t="s">
        <v>81</v>
      </c>
      <c r="C10" s="19"/>
      <c r="D10" s="4"/>
      <c r="E10" s="16" t="str">
        <f t="shared" si="13"/>
        <v/>
      </c>
      <c r="F10" s="16">
        <f t="shared" si="14"/>
        <v>0</v>
      </c>
      <c r="G10" s="13"/>
      <c r="H10" s="13" cm="1">
        <f t="array" ref="H10">SUMPRODUCT((TEXT($AE$5:$OE$5, "mmm")=LOWER(G$3))*$AE10:$OE10)</f>
        <v>0</v>
      </c>
      <c r="I10" s="13"/>
      <c r="J10" s="13" cm="1">
        <f t="array" ref="J10">SUMPRODUCT((TEXT($AE$5:$OE$5, "mmm")=LOWER(I$3))*$AE10:$OE10)</f>
        <v>0</v>
      </c>
      <c r="K10" s="13"/>
      <c r="L10" s="13" cm="1">
        <f t="array" ref="L10">SUMPRODUCT((TEXT($AE$5:$OE$5, "mmm")=LOWER(K$3))*$AE10:$OE10)</f>
        <v>0</v>
      </c>
      <c r="M10" s="13"/>
      <c r="N10" s="13" cm="1">
        <f t="array" ref="N10">SUMPRODUCT((TEXT($AE$5:$OE$5, "mmm")=LOWER(M$3))*$AE10:$OE10)</f>
        <v>0</v>
      </c>
      <c r="O10" s="13"/>
      <c r="P10" s="13" cm="1">
        <f t="array" ref="P10">SUMPRODUCT((TEXT($AE$5:$OE$5, "mmm")=LOWER(O$3))*$AE10:$OE10)</f>
        <v>0</v>
      </c>
      <c r="Q10" s="13"/>
      <c r="R10" s="13" cm="1">
        <f t="array" ref="R10">SUMPRODUCT((TEXT($AE$5:$OE$5, "mmm")=LOWER(Q$3))*$AE10:$OE10)</f>
        <v>0</v>
      </c>
      <c r="S10" s="13"/>
      <c r="T10" s="13" cm="1">
        <f t="array" ref="T10">SUMPRODUCT((TEXT($AE$5:$OE$5, "mmm")=LOWER(S$3))*$AE10:$OE10)</f>
        <v>0</v>
      </c>
      <c r="U10" s="13"/>
      <c r="V10" s="13" cm="1">
        <f t="array" ref="V10">SUMPRODUCT((TEXT($AE$5:$OE$5, "mmm")=LOWER(U$3))*$AE10:$OE10)</f>
        <v>0</v>
      </c>
      <c r="W10" s="13"/>
      <c r="X10" s="13" cm="1">
        <f t="array" ref="X10">SUMPRODUCT((TEXT($AE$5:$OE$5, "mmm")=LOWER(W$3))*$AE10:$OE10)</f>
        <v>0</v>
      </c>
      <c r="Y10" s="13"/>
      <c r="Z10" s="13" cm="1">
        <f t="array" ref="Z10">SUMPRODUCT((TEXT($AE$5:$OE$5, "mmm")=LOWER(Y$3))*$AE10:$OE10)</f>
        <v>0</v>
      </c>
      <c r="AA10" s="13"/>
      <c r="AB10" s="13" cm="1">
        <f t="array" ref="AB10">SUMPRODUCT((TEXT($AE$5:$OE$5, "mmm")=LOWER(AA$3))*$AE10:$OE10)</f>
        <v>0</v>
      </c>
      <c r="AC10" s="13"/>
      <c r="AD10" s="17" cm="1">
        <f t="array" ref="AD10">SUMPRODUCT((TEXT($AE$5:$OE$5, "mmm")=LOWER(AC$3))*$AE10:$OE10)</f>
        <v>0</v>
      </c>
      <c r="AE10" s="23"/>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BX10" s="24"/>
      <c r="BY10" s="24"/>
      <c r="BZ10" s="24"/>
      <c r="CA10" s="24"/>
      <c r="CB10" s="24"/>
      <c r="CC10" s="24"/>
      <c r="CD10" s="24"/>
      <c r="CE10" s="24"/>
      <c r="CF10" s="24"/>
      <c r="CG10" s="24"/>
      <c r="CH10" s="24"/>
      <c r="CI10" s="24"/>
      <c r="CJ10" s="24"/>
      <c r="CK10" s="24"/>
      <c r="CL10" s="24"/>
      <c r="CM10" s="24"/>
      <c r="CN10" s="24"/>
      <c r="CO10" s="24"/>
      <c r="CP10" s="24"/>
      <c r="CQ10" s="24"/>
      <c r="CR10" s="24"/>
      <c r="CS10" s="24"/>
      <c r="CT10" s="24"/>
      <c r="CU10" s="24"/>
      <c r="CV10" s="24"/>
      <c r="CW10" s="24"/>
      <c r="CX10" s="24"/>
      <c r="CY10" s="24"/>
      <c r="CZ10" s="24"/>
      <c r="DA10" s="24"/>
      <c r="DB10" s="24"/>
      <c r="DC10" s="24"/>
      <c r="DD10" s="24"/>
      <c r="DE10" s="24"/>
      <c r="DF10" s="24"/>
      <c r="DG10" s="24"/>
      <c r="DH10" s="24"/>
      <c r="DI10" s="24"/>
      <c r="DJ10" s="24"/>
      <c r="DK10" s="24"/>
      <c r="DL10" s="24"/>
      <c r="DM10" s="24"/>
      <c r="DN10" s="24"/>
      <c r="DO10" s="24"/>
      <c r="DP10" s="24"/>
      <c r="DQ10" s="24"/>
      <c r="DR10" s="24"/>
      <c r="DS10" s="24"/>
      <c r="DT10" s="24"/>
      <c r="DU10" s="24"/>
      <c r="DV10" s="24"/>
      <c r="DW10" s="24"/>
      <c r="DX10" s="24"/>
      <c r="DY10" s="24"/>
      <c r="DZ10" s="24"/>
      <c r="EA10" s="24"/>
      <c r="EB10" s="24"/>
      <c r="EC10" s="24"/>
      <c r="ED10" s="24"/>
      <c r="EE10" s="24"/>
      <c r="EF10" s="24"/>
      <c r="EG10" s="24"/>
      <c r="EH10" s="24"/>
      <c r="EI10" s="24"/>
      <c r="EJ10" s="24"/>
      <c r="EK10" s="24"/>
      <c r="EL10" s="24"/>
      <c r="EM10" s="24"/>
      <c r="EN10" s="24"/>
      <c r="EO10" s="24"/>
      <c r="EP10" s="24"/>
      <c r="EQ10" s="24"/>
      <c r="ER10" s="24"/>
      <c r="ES10" s="24"/>
      <c r="ET10" s="24"/>
      <c r="EU10" s="24"/>
      <c r="EV10" s="24"/>
      <c r="EW10" s="24"/>
      <c r="EX10" s="24"/>
      <c r="EY10" s="24"/>
      <c r="EZ10" s="24"/>
      <c r="FA10" s="24"/>
      <c r="FB10" s="24"/>
      <c r="FC10" s="24"/>
      <c r="FD10" s="24"/>
      <c r="FE10" s="24"/>
      <c r="FF10" s="24"/>
      <c r="FG10" s="24"/>
      <c r="FH10" s="24"/>
      <c r="FI10" s="24"/>
      <c r="FJ10" s="24"/>
      <c r="FK10" s="24"/>
      <c r="FL10" s="24"/>
      <c r="FM10" s="24"/>
      <c r="FN10" s="24"/>
      <c r="FO10" s="24"/>
      <c r="FP10" s="24"/>
      <c r="FQ10" s="24"/>
      <c r="FR10" s="24"/>
      <c r="FS10" s="24"/>
      <c r="FT10" s="24"/>
      <c r="FU10" s="24"/>
      <c r="FV10" s="24"/>
      <c r="FW10" s="24"/>
      <c r="FX10" s="24"/>
      <c r="FY10" s="24"/>
      <c r="FZ10" s="24"/>
      <c r="GA10" s="24"/>
      <c r="GB10" s="24"/>
      <c r="GC10" s="24"/>
      <c r="GD10" s="24"/>
      <c r="GE10" s="24"/>
      <c r="GF10" s="24"/>
      <c r="GG10" s="24"/>
      <c r="GH10" s="24"/>
      <c r="GI10" s="24"/>
      <c r="GJ10" s="24"/>
      <c r="GK10" s="24"/>
      <c r="GL10" s="24"/>
      <c r="GM10" s="24"/>
      <c r="GN10" s="24"/>
      <c r="GO10" s="24"/>
      <c r="GP10" s="24"/>
      <c r="GQ10" s="24"/>
      <c r="GR10" s="24"/>
      <c r="GS10" s="24"/>
      <c r="GT10" s="24"/>
      <c r="GU10" s="24"/>
      <c r="GV10" s="24"/>
      <c r="GW10" s="24"/>
      <c r="GX10" s="24"/>
      <c r="GY10" s="24"/>
      <c r="GZ10" s="24"/>
      <c r="HA10" s="24"/>
      <c r="HB10" s="24"/>
      <c r="HC10" s="24"/>
      <c r="HD10" s="24"/>
      <c r="HE10" s="24"/>
      <c r="HF10" s="24"/>
      <c r="HG10" s="24"/>
      <c r="HH10" s="24"/>
      <c r="HI10" s="24"/>
      <c r="HJ10" s="24"/>
      <c r="HK10" s="24"/>
      <c r="HL10" s="24"/>
      <c r="HM10" s="24"/>
      <c r="HN10" s="24"/>
      <c r="HO10" s="24"/>
      <c r="HP10" s="24"/>
      <c r="HQ10" s="24"/>
      <c r="HR10" s="24"/>
      <c r="HS10" s="24"/>
      <c r="HT10" s="24"/>
      <c r="HU10" s="24"/>
      <c r="HV10" s="24"/>
      <c r="HW10" s="24"/>
      <c r="HX10" s="24"/>
      <c r="HY10" s="24"/>
      <c r="HZ10" s="24"/>
      <c r="IA10" s="24"/>
      <c r="IB10" s="24"/>
      <c r="IC10" s="24"/>
      <c r="ID10" s="24"/>
      <c r="IE10" s="24"/>
      <c r="IF10" s="24"/>
      <c r="IG10" s="24"/>
      <c r="IH10" s="24"/>
      <c r="II10" s="24"/>
      <c r="IJ10" s="24"/>
      <c r="IK10" s="24"/>
      <c r="IL10" s="24"/>
      <c r="IM10" s="24"/>
      <c r="IN10" s="24"/>
      <c r="IO10" s="24"/>
      <c r="IP10" s="24"/>
      <c r="IQ10" s="24"/>
      <c r="IR10" s="24"/>
      <c r="IS10" s="24"/>
      <c r="IT10" s="24"/>
      <c r="IU10" s="24"/>
      <c r="IV10" s="24"/>
      <c r="IW10" s="24"/>
      <c r="IX10" s="24"/>
      <c r="IY10" s="24"/>
      <c r="IZ10" s="24"/>
      <c r="JA10" s="24"/>
      <c r="JB10" s="24"/>
      <c r="JC10" s="24"/>
      <c r="JD10" s="24"/>
      <c r="JE10" s="24"/>
      <c r="JF10" s="24"/>
      <c r="JG10" s="24"/>
      <c r="JH10" s="24"/>
      <c r="JI10" s="24"/>
      <c r="JJ10" s="24"/>
      <c r="JK10" s="24"/>
      <c r="JL10" s="24"/>
      <c r="JM10" s="24"/>
      <c r="JN10" s="24"/>
      <c r="JO10" s="24"/>
      <c r="JP10" s="24"/>
      <c r="JQ10" s="24"/>
      <c r="JR10" s="24"/>
      <c r="JS10" s="24"/>
      <c r="JT10" s="24"/>
      <c r="JU10" s="24"/>
      <c r="JV10" s="24"/>
      <c r="JW10" s="24"/>
      <c r="JX10" s="24"/>
      <c r="JY10" s="24"/>
      <c r="JZ10" s="24"/>
      <c r="KA10" s="24"/>
      <c r="KB10" s="24"/>
      <c r="KC10" s="24"/>
      <c r="KD10" s="24"/>
      <c r="KE10" s="24"/>
      <c r="KF10" s="24"/>
      <c r="KG10" s="24"/>
      <c r="KH10" s="24"/>
      <c r="KI10" s="24"/>
      <c r="KJ10" s="24"/>
      <c r="KK10" s="24"/>
      <c r="KL10" s="24"/>
      <c r="KM10" s="24"/>
      <c r="KN10" s="24"/>
      <c r="KO10" s="24"/>
      <c r="KP10" s="24"/>
      <c r="KQ10" s="24"/>
      <c r="KR10" s="24"/>
      <c r="KS10" s="24"/>
      <c r="KT10" s="24"/>
      <c r="KU10" s="24"/>
      <c r="KV10" s="24"/>
      <c r="KW10" s="24"/>
      <c r="KX10" s="24"/>
      <c r="KY10" s="24"/>
      <c r="KZ10" s="24"/>
      <c r="LA10" s="24"/>
      <c r="LB10" s="24"/>
      <c r="LC10" s="24"/>
      <c r="LD10" s="24"/>
      <c r="LE10" s="24"/>
      <c r="LF10" s="24"/>
      <c r="LG10" s="24"/>
      <c r="LH10" s="24"/>
      <c r="LI10" s="24"/>
      <c r="LJ10" s="24"/>
      <c r="LK10" s="24"/>
      <c r="LL10" s="24"/>
      <c r="LM10" s="24"/>
      <c r="LN10" s="24"/>
      <c r="LO10" s="24"/>
      <c r="LP10" s="24"/>
      <c r="LQ10" s="24"/>
      <c r="LR10" s="24"/>
      <c r="LS10" s="24"/>
      <c r="LT10" s="24"/>
      <c r="LU10" s="24"/>
      <c r="LV10" s="24"/>
      <c r="LW10" s="24"/>
      <c r="LX10" s="24"/>
      <c r="LY10" s="24"/>
      <c r="LZ10" s="24"/>
      <c r="MA10" s="24"/>
      <c r="MB10" s="24"/>
      <c r="MC10" s="24"/>
      <c r="MD10" s="24"/>
      <c r="ME10" s="24"/>
      <c r="MF10" s="24"/>
      <c r="MG10" s="24"/>
      <c r="MH10" s="24"/>
      <c r="MI10" s="24"/>
      <c r="MJ10" s="24"/>
      <c r="MK10" s="24"/>
      <c r="ML10" s="24"/>
      <c r="MM10" s="24"/>
      <c r="MN10" s="24"/>
      <c r="MO10" s="24"/>
      <c r="MP10" s="24"/>
      <c r="MQ10" s="24"/>
      <c r="MR10" s="24"/>
      <c r="MS10" s="24"/>
      <c r="MT10" s="24"/>
      <c r="MU10" s="24"/>
      <c r="MV10" s="24"/>
      <c r="MW10" s="24"/>
      <c r="MX10" s="24"/>
      <c r="MY10" s="24"/>
      <c r="MZ10" s="24"/>
      <c r="NA10" s="24"/>
      <c r="NB10" s="24"/>
      <c r="NC10" s="24"/>
      <c r="ND10" s="24"/>
      <c r="NE10" s="24"/>
      <c r="NF10" s="24"/>
      <c r="NG10" s="24"/>
      <c r="NH10" s="24"/>
      <c r="NI10" s="24"/>
      <c r="NJ10" s="24"/>
      <c r="NK10" s="24"/>
      <c r="NL10" s="24"/>
      <c r="NM10" s="24"/>
      <c r="NN10" s="24"/>
      <c r="NO10" s="24"/>
      <c r="NP10" s="24"/>
      <c r="NQ10" s="24"/>
      <c r="NR10" s="24"/>
      <c r="NS10" s="24"/>
      <c r="NT10" s="24"/>
      <c r="NU10" s="24"/>
      <c r="NV10" s="24"/>
      <c r="NW10" s="24"/>
      <c r="NX10" s="24"/>
      <c r="NY10" s="24"/>
      <c r="NZ10" s="24"/>
      <c r="OA10" s="24"/>
      <c r="OB10" s="24"/>
      <c r="OC10" s="24"/>
      <c r="OD10" s="24"/>
      <c r="OE10" s="46"/>
    </row>
    <row r="11" spans="1:395">
      <c r="A11" s="32" t="s">
        <v>82</v>
      </c>
      <c r="B11" s="18" t="s">
        <v>83</v>
      </c>
      <c r="C11" s="19"/>
      <c r="D11" s="4"/>
      <c r="E11" s="16" t="str">
        <f t="shared" si="13"/>
        <v/>
      </c>
      <c r="F11" s="16">
        <f t="shared" si="14"/>
        <v>0</v>
      </c>
      <c r="G11" s="13"/>
      <c r="H11" s="13" cm="1">
        <f t="array" ref="H11">SUMPRODUCT((TEXT($AE$5:$OE$5, "mmm")=LOWER(G$3))*$AE11:$OE11)</f>
        <v>0</v>
      </c>
      <c r="I11" s="13"/>
      <c r="J11" s="13" cm="1">
        <f t="array" ref="J11">SUMPRODUCT((TEXT($AE$5:$OE$5, "mmm")=LOWER(I$3))*$AE11:$OE11)</f>
        <v>0</v>
      </c>
      <c r="K11" s="13"/>
      <c r="L11" s="13" cm="1">
        <f t="array" ref="L11">SUMPRODUCT((TEXT($AE$5:$OE$5, "mmm")=LOWER(K$3))*$AE11:$OE11)</f>
        <v>0</v>
      </c>
      <c r="M11" s="13"/>
      <c r="N11" s="13" cm="1">
        <f t="array" ref="N11">SUMPRODUCT((TEXT($AE$5:$OE$5, "mmm")=LOWER(M$3))*$AE11:$OE11)</f>
        <v>0</v>
      </c>
      <c r="O11" s="13"/>
      <c r="P11" s="13" cm="1">
        <f t="array" ref="P11">SUMPRODUCT((TEXT($AE$5:$OE$5, "mmm")=LOWER(O$3))*$AE11:$OE11)</f>
        <v>0</v>
      </c>
      <c r="Q11" s="13"/>
      <c r="R11" s="13" cm="1">
        <f t="array" ref="R11">SUMPRODUCT((TEXT($AE$5:$OE$5, "mmm")=LOWER(Q$3))*$AE11:$OE11)</f>
        <v>0</v>
      </c>
      <c r="S11" s="13"/>
      <c r="T11" s="13" cm="1">
        <f t="array" ref="T11">SUMPRODUCT((TEXT($AE$5:$OE$5, "mmm")=LOWER(S$3))*$AE11:$OE11)</f>
        <v>0</v>
      </c>
      <c r="U11" s="13"/>
      <c r="V11" s="13" cm="1">
        <f t="array" ref="V11">SUMPRODUCT((TEXT($AE$5:$OE$5, "mmm")=LOWER(U$3))*$AE11:$OE11)</f>
        <v>0</v>
      </c>
      <c r="W11" s="13"/>
      <c r="X11" s="13" cm="1">
        <f t="array" ref="X11">SUMPRODUCT((TEXT($AE$5:$OE$5, "mmm")=LOWER(W$3))*$AE11:$OE11)</f>
        <v>0</v>
      </c>
      <c r="Y11" s="13"/>
      <c r="Z11" s="13" cm="1">
        <f t="array" ref="Z11">SUMPRODUCT((TEXT($AE$5:$OE$5, "mmm")=LOWER(Y$3))*$AE11:$OE11)</f>
        <v>0</v>
      </c>
      <c r="AA11" s="13"/>
      <c r="AB11" s="13" cm="1">
        <f t="array" ref="AB11">SUMPRODUCT((TEXT($AE$5:$OE$5, "mmm")=LOWER(AA$3))*$AE11:$OE11)</f>
        <v>0</v>
      </c>
      <c r="AC11" s="13"/>
      <c r="AD11" s="17" cm="1">
        <f t="array" ref="AD11">SUMPRODUCT((TEXT($AE$5:$OE$5, "mmm")=LOWER(AC$3))*$AE11:$OE11)</f>
        <v>0</v>
      </c>
      <c r="AE11" s="23"/>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46"/>
    </row>
    <row r="12" spans="1:395">
      <c r="A12" s="32" t="s">
        <v>84</v>
      </c>
      <c r="B12" s="18" t="s">
        <v>85</v>
      </c>
      <c r="C12" s="19"/>
      <c r="D12" s="4"/>
      <c r="E12" s="16">
        <v>40</v>
      </c>
      <c r="F12" s="16">
        <f t="shared" si="14"/>
        <v>50.5</v>
      </c>
      <c r="G12" s="13"/>
      <c r="H12" s="13" cm="1">
        <f t="array" ref="H12">SUMPRODUCT((TEXT($AE$5:$OE$5, "mmm")=LOWER(G$3))*$AE12:$OE12)</f>
        <v>0</v>
      </c>
      <c r="I12" s="13"/>
      <c r="J12" s="13" cm="1">
        <f t="array" ref="J12">SUMPRODUCT((TEXT($AE$5:$OE$5, "mmm")=LOWER(I$3))*$AE12:$OE12)</f>
        <v>0</v>
      </c>
      <c r="K12" s="13"/>
      <c r="L12" s="13" cm="1">
        <f t="array" ref="L12">SUMPRODUCT((TEXT($AE$5:$OE$5, "mmm")=LOWER(K$3))*$AE12:$OE12)</f>
        <v>45</v>
      </c>
      <c r="M12" s="13"/>
      <c r="N12" s="13" cm="1">
        <f t="array" ref="N12">SUMPRODUCT((TEXT($AE$5:$OE$5, "mmm")=LOWER(M$3))*$AE12:$OE12)</f>
        <v>5.5</v>
      </c>
      <c r="O12" s="13"/>
      <c r="P12" s="13" cm="1">
        <f t="array" ref="P12">SUMPRODUCT((TEXT($AE$5:$OE$5, "mmm")=LOWER(O$3))*$AE12:$OE12)</f>
        <v>0</v>
      </c>
      <c r="Q12" s="13"/>
      <c r="R12" s="13" cm="1">
        <f t="array" ref="R12">SUMPRODUCT((TEXT($AE$5:$OE$5, "mmm")=LOWER(Q$3))*$AE12:$OE12)</f>
        <v>0</v>
      </c>
      <c r="S12" s="13"/>
      <c r="T12" s="13" cm="1">
        <f t="array" ref="T12">SUMPRODUCT((TEXT($AE$5:$OE$5, "mmm")=LOWER(S$3))*$AE12:$OE12)</f>
        <v>0</v>
      </c>
      <c r="U12" s="13"/>
      <c r="V12" s="13" cm="1">
        <f t="array" ref="V12">SUMPRODUCT((TEXT($AE$5:$OE$5, "mmm")=LOWER(U$3))*$AE12:$OE12)</f>
        <v>0</v>
      </c>
      <c r="W12" s="13"/>
      <c r="X12" s="13" cm="1">
        <f t="array" ref="X12">SUMPRODUCT((TEXT($AE$5:$OE$5, "mmm")=LOWER(W$3))*$AE12:$OE12)</f>
        <v>0</v>
      </c>
      <c r="Y12" s="13"/>
      <c r="Z12" s="13" cm="1">
        <f t="array" ref="Z12">SUMPRODUCT((TEXT($AE$5:$OE$5, "mmm")=LOWER(Y$3))*$AE12:$OE12)</f>
        <v>0</v>
      </c>
      <c r="AA12" s="13"/>
      <c r="AB12" s="13" cm="1">
        <f t="array" ref="AB12">SUMPRODUCT((TEXT($AE$5:$OE$5, "mmm")=LOWER(AA$3))*$AE12:$OE12)</f>
        <v>0</v>
      </c>
      <c r="AC12" s="13"/>
      <c r="AD12" s="17" cm="1">
        <f t="array" ref="AD12">SUMPRODUCT((TEXT($AE$5:$OE$5, "mmm")=LOWER(AC$3))*$AE12:$OE12)</f>
        <v>0</v>
      </c>
      <c r="AE12" s="23"/>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c r="CD12" s="24"/>
      <c r="CE12" s="24"/>
      <c r="CF12" s="24"/>
      <c r="CG12" s="24"/>
      <c r="CH12" s="24"/>
      <c r="CI12" s="24"/>
      <c r="CJ12" s="24"/>
      <c r="CK12" s="24"/>
      <c r="CL12" s="24"/>
      <c r="CM12" s="24"/>
      <c r="CN12" s="24"/>
      <c r="CO12" s="24"/>
      <c r="CP12" s="24"/>
      <c r="CQ12" s="24"/>
      <c r="CR12" s="24"/>
      <c r="CS12" s="24"/>
      <c r="CT12" s="24"/>
      <c r="CU12" s="24"/>
      <c r="CV12" s="24"/>
      <c r="CW12" s="24"/>
      <c r="CX12" s="24"/>
      <c r="CY12" s="24"/>
      <c r="CZ12" s="24"/>
      <c r="DA12" s="24">
        <v>9</v>
      </c>
      <c r="DB12" s="24">
        <v>9</v>
      </c>
      <c r="DC12" s="24">
        <v>9</v>
      </c>
      <c r="DD12" s="24">
        <v>9</v>
      </c>
      <c r="DE12" s="24">
        <v>9</v>
      </c>
      <c r="DF12" s="24"/>
      <c r="DG12" s="24"/>
      <c r="DH12" s="24"/>
      <c r="DI12" s="24"/>
      <c r="DJ12" s="24"/>
      <c r="DK12" s="24"/>
      <c r="DL12" s="24"/>
      <c r="DM12" s="24"/>
      <c r="DN12" s="24"/>
      <c r="DO12" s="24"/>
      <c r="DP12" s="24"/>
      <c r="DQ12" s="24">
        <v>3.5</v>
      </c>
      <c r="DR12" s="24">
        <v>2</v>
      </c>
      <c r="DS12" s="24"/>
      <c r="DT12" s="24"/>
      <c r="DU12" s="24"/>
      <c r="DV12" s="24"/>
      <c r="DW12" s="24"/>
      <c r="DX12" s="24"/>
      <c r="DY12" s="24"/>
      <c r="DZ12" s="24"/>
      <c r="EA12" s="24"/>
      <c r="EB12" s="24"/>
      <c r="EC12" s="24"/>
      <c r="ED12" s="24"/>
      <c r="EE12" s="24"/>
      <c r="EF12" s="24"/>
      <c r="EG12" s="24"/>
      <c r="EH12" s="24"/>
      <c r="EI12" s="24"/>
      <c r="EJ12" s="24"/>
      <c r="EK12" s="24"/>
      <c r="EL12" s="24"/>
      <c r="EM12" s="24"/>
      <c r="EN12" s="24"/>
      <c r="EO12" s="24"/>
      <c r="EP12" s="24"/>
      <c r="EQ12" s="24"/>
      <c r="ER12" s="24"/>
      <c r="ES12" s="24"/>
      <c r="ET12" s="24"/>
      <c r="EU12" s="24"/>
      <c r="EV12" s="24"/>
      <c r="EW12" s="24"/>
      <c r="EX12" s="24"/>
      <c r="EY12" s="24"/>
      <c r="EZ12" s="24"/>
      <c r="FA12" s="24"/>
      <c r="FB12" s="24"/>
      <c r="FC12" s="24"/>
      <c r="FD12" s="24"/>
      <c r="FE12" s="24"/>
      <c r="FF12" s="24"/>
      <c r="FG12" s="24"/>
      <c r="FH12" s="24"/>
      <c r="FI12" s="24"/>
      <c r="FJ12" s="24"/>
      <c r="FK12" s="24"/>
      <c r="FL12" s="24"/>
      <c r="FM12" s="24"/>
      <c r="FN12" s="24"/>
      <c r="FO12" s="24"/>
      <c r="FP12" s="24"/>
      <c r="FQ12" s="24"/>
      <c r="FR12" s="24"/>
      <c r="FS12" s="24"/>
      <c r="FT12" s="24"/>
      <c r="FU12" s="24"/>
      <c r="FV12" s="24"/>
      <c r="FW12" s="24"/>
      <c r="FX12" s="24"/>
      <c r="FY12" s="24"/>
      <c r="FZ12" s="24"/>
      <c r="GA12" s="24"/>
      <c r="GB12" s="24"/>
      <c r="GC12" s="24"/>
      <c r="GD12" s="24"/>
      <c r="GE12" s="24"/>
      <c r="GF12" s="24"/>
      <c r="GG12" s="24"/>
      <c r="GH12" s="24"/>
      <c r="GI12" s="24"/>
      <c r="GJ12" s="24"/>
      <c r="GK12" s="24"/>
      <c r="GL12" s="24"/>
      <c r="GM12" s="24"/>
      <c r="GN12" s="24"/>
      <c r="GO12" s="24"/>
      <c r="GP12" s="24"/>
      <c r="GQ12" s="24"/>
      <c r="GR12" s="24"/>
      <c r="GS12" s="24"/>
      <c r="GT12" s="24"/>
      <c r="GU12" s="24"/>
      <c r="GV12" s="24"/>
      <c r="GW12" s="24"/>
      <c r="GX12" s="24"/>
      <c r="GY12" s="24"/>
      <c r="GZ12" s="24"/>
      <c r="HA12" s="24"/>
      <c r="HB12" s="24"/>
      <c r="HC12" s="24"/>
      <c r="HD12" s="24"/>
      <c r="HE12" s="24"/>
      <c r="HF12" s="24"/>
      <c r="HG12" s="24"/>
      <c r="HH12" s="24"/>
      <c r="HI12" s="24"/>
      <c r="HJ12" s="24"/>
      <c r="HK12" s="24"/>
      <c r="HL12" s="24"/>
      <c r="HM12" s="24"/>
      <c r="HN12" s="24"/>
      <c r="HO12" s="24"/>
      <c r="HP12" s="24"/>
      <c r="HQ12" s="24"/>
      <c r="HR12" s="24"/>
      <c r="HS12" s="24"/>
      <c r="HT12" s="24"/>
      <c r="HU12" s="24"/>
      <c r="HV12" s="24"/>
      <c r="HW12" s="24"/>
      <c r="HX12" s="24"/>
      <c r="HY12" s="24"/>
      <c r="HZ12" s="24"/>
      <c r="IA12" s="24"/>
      <c r="IB12" s="24"/>
      <c r="IC12" s="24"/>
      <c r="ID12" s="24"/>
      <c r="IE12" s="24"/>
      <c r="IF12" s="24"/>
      <c r="IG12" s="24"/>
      <c r="IH12" s="24"/>
      <c r="II12" s="24"/>
      <c r="IJ12" s="24"/>
      <c r="IK12" s="24"/>
      <c r="IL12" s="24"/>
      <c r="IM12" s="24"/>
      <c r="IN12" s="24"/>
      <c r="IO12" s="24"/>
      <c r="IP12" s="24"/>
      <c r="IQ12" s="24"/>
      <c r="IR12" s="24"/>
      <c r="IS12" s="24"/>
      <c r="IT12" s="24"/>
      <c r="IU12" s="24"/>
      <c r="IV12" s="24"/>
      <c r="IW12" s="24"/>
      <c r="IX12" s="24"/>
      <c r="IY12" s="24"/>
      <c r="IZ12" s="24"/>
      <c r="JA12" s="24"/>
      <c r="JB12" s="24"/>
      <c r="JC12" s="24"/>
      <c r="JD12" s="24"/>
      <c r="JE12" s="24"/>
      <c r="JF12" s="24"/>
      <c r="JG12" s="24"/>
      <c r="JH12" s="24"/>
      <c r="JI12" s="24"/>
      <c r="JJ12" s="24"/>
      <c r="JK12" s="24"/>
      <c r="JL12" s="24"/>
      <c r="JM12" s="24"/>
      <c r="JN12" s="24"/>
      <c r="JO12" s="24"/>
      <c r="JP12" s="24"/>
      <c r="JQ12" s="24"/>
      <c r="JR12" s="24"/>
      <c r="JS12" s="24"/>
      <c r="JT12" s="24"/>
      <c r="JU12" s="24"/>
      <c r="JV12" s="24"/>
      <c r="JW12" s="24"/>
      <c r="JX12" s="24"/>
      <c r="JY12" s="24"/>
      <c r="JZ12" s="24"/>
      <c r="KA12" s="24"/>
      <c r="KB12" s="24"/>
      <c r="KC12" s="24"/>
      <c r="KD12" s="24"/>
      <c r="KE12" s="24"/>
      <c r="KF12" s="24"/>
      <c r="KG12" s="24"/>
      <c r="KH12" s="24"/>
      <c r="KI12" s="24"/>
      <c r="KJ12" s="24"/>
      <c r="KK12" s="24"/>
      <c r="KL12" s="24"/>
      <c r="KM12" s="24"/>
      <c r="KN12" s="24"/>
      <c r="KO12" s="24"/>
      <c r="KP12" s="24"/>
      <c r="KQ12" s="24"/>
      <c r="KR12" s="24"/>
      <c r="KS12" s="24"/>
      <c r="KT12" s="24"/>
      <c r="KU12" s="24"/>
      <c r="KV12" s="24"/>
      <c r="KW12" s="24"/>
      <c r="KX12" s="24"/>
      <c r="KY12" s="24"/>
      <c r="KZ12" s="24"/>
      <c r="LA12" s="24"/>
      <c r="LB12" s="24"/>
      <c r="LC12" s="24"/>
      <c r="LD12" s="24"/>
      <c r="LE12" s="24"/>
      <c r="LF12" s="24"/>
      <c r="LG12" s="24"/>
      <c r="LH12" s="24"/>
      <c r="LI12" s="24"/>
      <c r="LJ12" s="24"/>
      <c r="LK12" s="24"/>
      <c r="LL12" s="24"/>
      <c r="LM12" s="24"/>
      <c r="LN12" s="24"/>
      <c r="LO12" s="24"/>
      <c r="LP12" s="24"/>
      <c r="LQ12" s="24"/>
      <c r="LR12" s="24"/>
      <c r="LS12" s="24"/>
      <c r="LT12" s="24"/>
      <c r="LU12" s="24"/>
      <c r="LV12" s="24"/>
      <c r="LW12" s="24"/>
      <c r="LX12" s="24"/>
      <c r="LY12" s="24"/>
      <c r="LZ12" s="24"/>
      <c r="MA12" s="24"/>
      <c r="MB12" s="24"/>
      <c r="MC12" s="24"/>
      <c r="MD12" s="24"/>
      <c r="ME12" s="24"/>
      <c r="MF12" s="24"/>
      <c r="MG12" s="24"/>
      <c r="MH12" s="24"/>
      <c r="MI12" s="24"/>
      <c r="MJ12" s="24"/>
      <c r="MK12" s="24"/>
      <c r="ML12" s="24"/>
      <c r="MM12" s="24"/>
      <c r="MN12" s="24"/>
      <c r="MO12" s="24"/>
      <c r="MP12" s="24"/>
      <c r="MQ12" s="24"/>
      <c r="MR12" s="24"/>
      <c r="MS12" s="24"/>
      <c r="MT12" s="24"/>
      <c r="MU12" s="24"/>
      <c r="MV12" s="24"/>
      <c r="MW12" s="24"/>
      <c r="MX12" s="24"/>
      <c r="MY12" s="24"/>
      <c r="MZ12" s="24"/>
      <c r="NA12" s="24"/>
      <c r="NB12" s="24"/>
      <c r="NC12" s="24"/>
      <c r="ND12" s="24"/>
      <c r="NE12" s="24"/>
      <c r="NF12" s="24"/>
      <c r="NG12" s="24"/>
      <c r="NH12" s="24"/>
      <c r="NI12" s="24"/>
      <c r="NJ12" s="24"/>
      <c r="NK12" s="24"/>
      <c r="NL12" s="24"/>
      <c r="NM12" s="24"/>
      <c r="NN12" s="24"/>
      <c r="NO12" s="24"/>
      <c r="NP12" s="24"/>
      <c r="NQ12" s="24"/>
      <c r="NR12" s="24"/>
      <c r="NS12" s="24"/>
      <c r="NT12" s="24"/>
      <c r="NU12" s="24"/>
      <c r="NV12" s="24"/>
      <c r="NW12" s="24"/>
      <c r="NX12" s="24"/>
      <c r="NY12" s="24"/>
      <c r="NZ12" s="24"/>
      <c r="OA12" s="24"/>
      <c r="OB12" s="24"/>
      <c r="OC12" s="24"/>
      <c r="OD12" s="24"/>
      <c r="OE12" s="46"/>
    </row>
    <row r="13" spans="1:395">
      <c r="A13" s="32" t="s">
        <v>80</v>
      </c>
      <c r="B13" s="18" t="s">
        <v>86</v>
      </c>
      <c r="C13" s="19"/>
      <c r="D13" s="4"/>
      <c r="E13" s="16" t="str">
        <f t="shared" ref="E13" si="15">IF(SUM($G13,$I13,$K13,$M13,$O13,$Q13,$S13,$U13,$W13,$Y13,$AA13,$AC13), SUM($G13,$I13,$K13,$M13,$O13,$Q13,$S13,$U13,$W13,$Y13,$AA13,$AC13), "")</f>
        <v/>
      </c>
      <c r="F13" s="16">
        <f t="shared" si="14"/>
        <v>0</v>
      </c>
      <c r="G13" s="13"/>
      <c r="H13" s="13" cm="1">
        <f t="array" ref="H13">SUMPRODUCT((TEXT($AE$5:$OE$5, "mmm")=LOWER(G$3))*$AE13:$OE13)</f>
        <v>0</v>
      </c>
      <c r="I13" s="13"/>
      <c r="J13" s="13" cm="1">
        <f t="array" ref="J13">SUMPRODUCT((TEXT($AE$5:$OE$5, "mmm")=LOWER(I$3))*$AE13:$OE13)</f>
        <v>0</v>
      </c>
      <c r="K13" s="13"/>
      <c r="L13" s="13" cm="1">
        <f t="array" ref="L13">SUMPRODUCT((TEXT($AE$5:$OE$5, "mmm")=LOWER(K$3))*$AE13:$OE13)</f>
        <v>0</v>
      </c>
      <c r="M13" s="13"/>
      <c r="N13" s="13" cm="1">
        <f t="array" ref="N13">SUMPRODUCT((TEXT($AE$5:$OE$5, "mmm")=LOWER(M$3))*$AE13:$OE13)</f>
        <v>0</v>
      </c>
      <c r="O13" s="13"/>
      <c r="P13" s="13" cm="1">
        <f t="array" ref="P13">SUMPRODUCT((TEXT($AE$5:$OE$5, "mmm")=LOWER(O$3))*$AE13:$OE13)</f>
        <v>0</v>
      </c>
      <c r="Q13" s="13"/>
      <c r="R13" s="13" cm="1">
        <f t="array" ref="R13">SUMPRODUCT((TEXT($AE$5:$OE$5, "mmm")=LOWER(Q$3))*$AE13:$OE13)</f>
        <v>0</v>
      </c>
      <c r="S13" s="13"/>
      <c r="T13" s="13" cm="1">
        <f t="array" ref="T13">SUMPRODUCT((TEXT($AE$5:$OE$5, "mmm")=LOWER(S$3))*$AE13:$OE13)</f>
        <v>0</v>
      </c>
      <c r="U13" s="13"/>
      <c r="V13" s="13" cm="1">
        <f t="array" ref="V13">SUMPRODUCT((TEXT($AE$5:$OE$5, "mmm")=LOWER(U$3))*$AE13:$OE13)</f>
        <v>0</v>
      </c>
      <c r="W13" s="13"/>
      <c r="X13" s="13" cm="1">
        <f t="array" ref="X13">SUMPRODUCT((TEXT($AE$5:$OE$5, "mmm")=LOWER(W$3))*$AE13:$OE13)</f>
        <v>0</v>
      </c>
      <c r="Y13" s="13"/>
      <c r="Z13" s="13" cm="1">
        <f t="array" ref="Z13">SUMPRODUCT((TEXT($AE$5:$OE$5, "mmm")=LOWER(Y$3))*$AE13:$OE13)</f>
        <v>0</v>
      </c>
      <c r="AA13" s="13"/>
      <c r="AB13" s="13" cm="1">
        <f t="array" ref="AB13">SUMPRODUCT((TEXT($AE$5:$OE$5, "mmm")=LOWER(AA$3))*$AE13:$OE13)</f>
        <v>0</v>
      </c>
      <c r="AC13" s="13"/>
      <c r="AD13" s="17" cm="1">
        <f t="array" ref="AD13">SUMPRODUCT((TEXT($AE$5:$OE$5, "mmm")=LOWER(AC$3))*$AE13:$OE13)</f>
        <v>0</v>
      </c>
      <c r="AE13" s="23"/>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c r="CD13" s="24"/>
      <c r="CE13" s="24"/>
      <c r="CF13" s="24"/>
      <c r="CG13" s="24"/>
      <c r="CH13" s="24"/>
      <c r="CI13" s="24"/>
      <c r="CJ13" s="24"/>
      <c r="CK13" s="24"/>
      <c r="CL13" s="24"/>
      <c r="CM13" s="24"/>
      <c r="CN13" s="24"/>
      <c r="CO13" s="24"/>
      <c r="CP13" s="24"/>
      <c r="CQ13" s="24"/>
      <c r="CR13" s="24"/>
      <c r="CS13" s="24"/>
      <c r="CT13" s="24"/>
      <c r="CU13" s="24"/>
      <c r="CV13" s="24"/>
      <c r="CW13" s="24"/>
      <c r="CX13" s="24"/>
      <c r="CY13" s="24"/>
      <c r="CZ13" s="24"/>
      <c r="DA13" s="24"/>
      <c r="DB13" s="24"/>
      <c r="DC13" s="24"/>
      <c r="DD13" s="24"/>
      <c r="DE13" s="24"/>
      <c r="DF13" s="24"/>
      <c r="DG13" s="24"/>
      <c r="DH13" s="24"/>
      <c r="DI13" s="24"/>
      <c r="DJ13" s="24"/>
      <c r="DK13" s="24"/>
      <c r="DL13" s="24"/>
      <c r="DM13" s="24"/>
      <c r="DN13" s="24"/>
      <c r="DO13" s="24"/>
      <c r="DP13" s="24"/>
      <c r="DQ13" s="24"/>
      <c r="DR13" s="24"/>
      <c r="DS13" s="24"/>
      <c r="DT13" s="24"/>
      <c r="DU13" s="24"/>
      <c r="DV13" s="24"/>
      <c r="DW13" s="24"/>
      <c r="DX13" s="24"/>
      <c r="DY13" s="24"/>
      <c r="DZ13" s="24"/>
      <c r="EA13" s="24"/>
      <c r="EB13" s="24"/>
      <c r="EC13" s="24"/>
      <c r="ED13" s="24"/>
      <c r="EE13" s="24"/>
      <c r="EF13" s="24"/>
      <c r="EG13" s="24"/>
      <c r="EH13" s="24"/>
      <c r="EI13" s="24"/>
      <c r="EJ13" s="24"/>
      <c r="EK13" s="24"/>
      <c r="EL13" s="24"/>
      <c r="EM13" s="24"/>
      <c r="EN13" s="24"/>
      <c r="EO13" s="24"/>
      <c r="EP13" s="24"/>
      <c r="EQ13" s="24"/>
      <c r="ER13" s="24"/>
      <c r="ES13" s="24"/>
      <c r="ET13" s="24"/>
      <c r="EU13" s="24"/>
      <c r="EV13" s="24"/>
      <c r="EW13" s="24"/>
      <c r="EX13" s="24"/>
      <c r="EY13" s="24"/>
      <c r="EZ13" s="24"/>
      <c r="FA13" s="24"/>
      <c r="FB13" s="24"/>
      <c r="FC13" s="24"/>
      <c r="FD13" s="24"/>
      <c r="FE13" s="24"/>
      <c r="FF13" s="24"/>
      <c r="FG13" s="24"/>
      <c r="FH13" s="24"/>
      <c r="FI13" s="24"/>
      <c r="FJ13" s="24"/>
      <c r="FK13" s="24"/>
      <c r="FL13" s="24"/>
      <c r="FM13" s="24"/>
      <c r="FN13" s="24"/>
      <c r="FO13" s="24"/>
      <c r="FP13" s="24"/>
      <c r="FQ13" s="24"/>
      <c r="FR13" s="24"/>
      <c r="FS13" s="24"/>
      <c r="FT13" s="24"/>
      <c r="FU13" s="24"/>
      <c r="FV13" s="24"/>
      <c r="FW13" s="24"/>
      <c r="FX13" s="24"/>
      <c r="FY13" s="24"/>
      <c r="FZ13" s="24"/>
      <c r="GA13" s="24"/>
      <c r="GB13" s="24"/>
      <c r="GC13" s="24"/>
      <c r="GD13" s="24"/>
      <c r="GE13" s="24"/>
      <c r="GF13" s="24"/>
      <c r="GG13" s="24"/>
      <c r="GH13" s="24"/>
      <c r="GI13" s="24"/>
      <c r="GJ13" s="24"/>
      <c r="GK13" s="24"/>
      <c r="GL13" s="24"/>
      <c r="GM13" s="24"/>
      <c r="GN13" s="24"/>
      <c r="GO13" s="24"/>
      <c r="GP13" s="24"/>
      <c r="GQ13" s="24"/>
      <c r="GR13" s="24"/>
      <c r="GS13" s="24"/>
      <c r="GT13" s="24"/>
      <c r="GU13" s="24"/>
      <c r="GV13" s="24"/>
      <c r="GW13" s="24"/>
      <c r="GX13" s="24"/>
      <c r="GY13" s="24"/>
      <c r="GZ13" s="24"/>
      <c r="HA13" s="24"/>
      <c r="HB13" s="24"/>
      <c r="HC13" s="24"/>
      <c r="HD13" s="24"/>
      <c r="HE13" s="24"/>
      <c r="HF13" s="24"/>
      <c r="HG13" s="24"/>
      <c r="HH13" s="24"/>
      <c r="HI13" s="24"/>
      <c r="HJ13" s="24"/>
      <c r="HK13" s="24"/>
      <c r="HL13" s="24"/>
      <c r="HM13" s="24"/>
      <c r="HN13" s="24"/>
      <c r="HO13" s="24"/>
      <c r="HP13" s="24"/>
      <c r="HQ13" s="24"/>
      <c r="HR13" s="24"/>
      <c r="HS13" s="24"/>
      <c r="HT13" s="24"/>
      <c r="HU13" s="24"/>
      <c r="HV13" s="24"/>
      <c r="HW13" s="24"/>
      <c r="HX13" s="24"/>
      <c r="HY13" s="24"/>
      <c r="HZ13" s="24"/>
      <c r="IA13" s="24"/>
      <c r="IB13" s="24"/>
      <c r="IC13" s="24"/>
      <c r="ID13" s="24"/>
      <c r="IE13" s="24"/>
      <c r="IF13" s="24"/>
      <c r="IG13" s="24"/>
      <c r="IH13" s="24"/>
      <c r="II13" s="24"/>
      <c r="IJ13" s="24"/>
      <c r="IK13" s="24"/>
      <c r="IL13" s="24"/>
      <c r="IM13" s="24"/>
      <c r="IN13" s="24"/>
      <c r="IO13" s="24"/>
      <c r="IP13" s="24"/>
      <c r="IQ13" s="24"/>
      <c r="IR13" s="24"/>
      <c r="IS13" s="24"/>
      <c r="IT13" s="24"/>
      <c r="IU13" s="24"/>
      <c r="IV13" s="24"/>
      <c r="IW13" s="24"/>
      <c r="IX13" s="24"/>
      <c r="IY13" s="24"/>
      <c r="IZ13" s="24"/>
      <c r="JA13" s="24"/>
      <c r="JB13" s="24"/>
      <c r="JC13" s="24"/>
      <c r="JD13" s="24"/>
      <c r="JE13" s="24"/>
      <c r="JF13" s="24"/>
      <c r="JG13" s="24"/>
      <c r="JH13" s="24"/>
      <c r="JI13" s="24"/>
      <c r="JJ13" s="24"/>
      <c r="JK13" s="24"/>
      <c r="JL13" s="24"/>
      <c r="JM13" s="24"/>
      <c r="JN13" s="24"/>
      <c r="JO13" s="24"/>
      <c r="JP13" s="24"/>
      <c r="JQ13" s="24"/>
      <c r="JR13" s="24"/>
      <c r="JS13" s="24"/>
      <c r="JT13" s="24"/>
      <c r="JU13" s="24"/>
      <c r="JV13" s="24"/>
      <c r="JW13" s="24"/>
      <c r="JX13" s="24"/>
      <c r="JY13" s="24"/>
      <c r="JZ13" s="24"/>
      <c r="KA13" s="24"/>
      <c r="KB13" s="24"/>
      <c r="KC13" s="24"/>
      <c r="KD13" s="24"/>
      <c r="KE13" s="24"/>
      <c r="KF13" s="24"/>
      <c r="KG13" s="24"/>
      <c r="KH13" s="24"/>
      <c r="KI13" s="24"/>
      <c r="KJ13" s="24"/>
      <c r="KK13" s="24"/>
      <c r="KL13" s="24"/>
      <c r="KM13" s="24"/>
      <c r="KN13" s="24"/>
      <c r="KO13" s="24"/>
      <c r="KP13" s="24"/>
      <c r="KQ13" s="24"/>
      <c r="KR13" s="24"/>
      <c r="KS13" s="24"/>
      <c r="KT13" s="24"/>
      <c r="KU13" s="24"/>
      <c r="KV13" s="24"/>
      <c r="KW13" s="24"/>
      <c r="KX13" s="24"/>
      <c r="KY13" s="24"/>
      <c r="KZ13" s="24"/>
      <c r="LA13" s="24"/>
      <c r="LB13" s="24"/>
      <c r="LC13" s="24"/>
      <c r="LD13" s="24"/>
      <c r="LE13" s="24"/>
      <c r="LF13" s="24"/>
      <c r="LG13" s="24"/>
      <c r="LH13" s="24"/>
      <c r="LI13" s="24"/>
      <c r="LJ13" s="24"/>
      <c r="LK13" s="24"/>
      <c r="LL13" s="24"/>
      <c r="LM13" s="24"/>
      <c r="LN13" s="24"/>
      <c r="LO13" s="24"/>
      <c r="LP13" s="24"/>
      <c r="LQ13" s="24"/>
      <c r="LR13" s="24"/>
      <c r="LS13" s="24"/>
      <c r="LT13" s="24"/>
      <c r="LU13" s="24"/>
      <c r="LV13" s="24"/>
      <c r="LW13" s="24"/>
      <c r="LX13" s="24"/>
      <c r="LY13" s="24"/>
      <c r="LZ13" s="24"/>
      <c r="MA13" s="24"/>
      <c r="MB13" s="24"/>
      <c r="MC13" s="24"/>
      <c r="MD13" s="24"/>
      <c r="ME13" s="24"/>
      <c r="MF13" s="24"/>
      <c r="MG13" s="24"/>
      <c r="MH13" s="24"/>
      <c r="MI13" s="24"/>
      <c r="MJ13" s="24"/>
      <c r="MK13" s="24"/>
      <c r="ML13" s="24"/>
      <c r="MM13" s="24"/>
      <c r="MN13" s="24"/>
      <c r="MO13" s="24"/>
      <c r="MP13" s="24"/>
      <c r="MQ13" s="24"/>
      <c r="MR13" s="24"/>
      <c r="MS13" s="24"/>
      <c r="MT13" s="24"/>
      <c r="MU13" s="24"/>
      <c r="MV13" s="24"/>
      <c r="MW13" s="24"/>
      <c r="MX13" s="24"/>
      <c r="MY13" s="24"/>
      <c r="MZ13" s="24"/>
      <c r="NA13" s="24"/>
      <c r="NB13" s="24"/>
      <c r="NC13" s="24"/>
      <c r="ND13" s="24"/>
      <c r="NE13" s="24"/>
      <c r="NF13" s="24"/>
      <c r="NG13" s="24"/>
      <c r="NH13" s="24"/>
      <c r="NI13" s="24"/>
      <c r="NJ13" s="24"/>
      <c r="NK13" s="24"/>
      <c r="NL13" s="24"/>
      <c r="NM13" s="24"/>
      <c r="NN13" s="24"/>
      <c r="NO13" s="24"/>
      <c r="NP13" s="24"/>
      <c r="NQ13" s="24"/>
      <c r="NR13" s="24"/>
      <c r="NS13" s="24"/>
      <c r="NT13" s="24"/>
      <c r="NU13" s="24"/>
      <c r="NV13" s="24"/>
      <c r="NW13" s="24"/>
      <c r="NX13" s="24"/>
      <c r="NY13" s="24"/>
      <c r="NZ13" s="24"/>
      <c r="OA13" s="24"/>
      <c r="OB13" s="24"/>
      <c r="OC13" s="24"/>
      <c r="OD13" s="24"/>
      <c r="OE13" s="46"/>
    </row>
    <row r="14" spans="1:395" s="1" customFormat="1" ht="39" customHeight="1">
      <c r="A14" s="33">
        <v>1</v>
      </c>
      <c r="B14" s="27" t="s">
        <v>42</v>
      </c>
      <c r="C14" s="2" t="str">
        <f>IF(ISBLANK($B14),"",_xlfn.XLOOKUP($B14,Task_No,Project!$C$3:$C$144,"INVALID TASK"))</f>
        <v>Setup Dotnet development environment</v>
      </c>
      <c r="D14" s="27" t="s">
        <v>87</v>
      </c>
      <c r="E14" s="7">
        <v>25.5</v>
      </c>
      <c r="F14" s="16">
        <f t="shared" si="14"/>
        <v>0</v>
      </c>
      <c r="G14" s="34"/>
      <c r="H14" s="34" cm="1">
        <f t="array" ref="H14">IF($C14="","",SUMPRODUCT((TEXT($AE$5:$OE$5, "mmm")=LOWER(G$3))*$AE14:$OE14))</f>
        <v>0</v>
      </c>
      <c r="I14" s="34"/>
      <c r="J14" s="34" cm="1">
        <f t="array" ref="J14">IF($C14="","",SUMPRODUCT((TEXT($AE$5:$OE$5, "mmm")=LOWER(I$3))*$AE14:$OE14))</f>
        <v>0</v>
      </c>
      <c r="K14" s="34"/>
      <c r="L14" s="34"/>
      <c r="M14" s="34"/>
      <c r="N14" s="34" cm="1">
        <f t="array" ref="N14">IF($C14="","",SUMPRODUCT((TEXT($AE$5:$OE$5, "mmm")=LOWER(M$3))*$AE14:$OE14))</f>
        <v>0</v>
      </c>
      <c r="O14" s="34"/>
      <c r="P14" s="34" cm="1">
        <f t="array" ref="P14">IF($C14="","",SUMPRODUCT((TEXT($AE$5:$OE$5, "mmm")=LOWER(O$3))*$AE14:$OE14))</f>
        <v>0</v>
      </c>
      <c r="Q14" s="34"/>
      <c r="R14" s="34" cm="1">
        <f t="array" ref="R14">IF($C14="","",SUMPRODUCT((TEXT($AE$5:$OE$5, "mmm")=LOWER(Q$3))*$AE14:$OE14))</f>
        <v>0</v>
      </c>
      <c r="S14" s="34"/>
      <c r="T14" s="34" cm="1">
        <f t="array" ref="T14">IF($C14="","",SUMPRODUCT((TEXT($AE$5:$OE$5, "mmm")=LOWER(S$3))*$AE14:$OE14))</f>
        <v>0</v>
      </c>
      <c r="U14" s="34"/>
      <c r="V14" s="34" cm="1">
        <f t="array" ref="V14">IF($C14="","",SUMPRODUCT((TEXT($AE$5:$OE$5, "mmm")=LOWER(U$3))*$AE14:$OE14))</f>
        <v>0</v>
      </c>
      <c r="W14" s="34"/>
      <c r="X14" s="34" cm="1">
        <f t="array" ref="X14">IF($C14="","",SUMPRODUCT((TEXT($AE$5:$OE$5, "mmm")=LOWER(W$3))*$AE14:$OE14))</f>
        <v>0</v>
      </c>
      <c r="Y14" s="34"/>
      <c r="Z14" s="34" cm="1">
        <f t="array" ref="Z14">IF($C14="","",SUMPRODUCT((TEXT($AE$5:$OE$5, "mmm")=LOWER(Y$3))*$AE14:$OE14))</f>
        <v>0</v>
      </c>
      <c r="AA14" s="34"/>
      <c r="AB14" s="34" cm="1">
        <f t="array" ref="AB14">IF($C14="","",SUMPRODUCT((TEXT($AE$5:$OE$5, "mmm")=LOWER(AA$3))*$AE14:$OE14))</f>
        <v>0</v>
      </c>
      <c r="AC14" s="34"/>
      <c r="AD14" s="34" cm="1">
        <f t="array" ref="AD14">IF($C14="","",SUMPRODUCT((TEXT($AE$5:$OE$5, "mmm")=LOWER(AC$3))*$AE14:$OE14))</f>
        <v>0</v>
      </c>
      <c r="AE14" s="47"/>
      <c r="AF14" s="47"/>
      <c r="AG14" s="47"/>
      <c r="AH14" s="47"/>
      <c r="AI14" s="47"/>
      <c r="AJ14" s="47"/>
      <c r="AK14" s="47"/>
      <c r="AL14" s="47"/>
      <c r="AM14" s="47"/>
      <c r="AN14" s="47"/>
      <c r="AO14" s="47"/>
      <c r="AP14" s="47"/>
      <c r="AQ14" s="47"/>
      <c r="AR14" s="47"/>
      <c r="AS14" s="47"/>
      <c r="AT14" s="47"/>
      <c r="AU14" s="47"/>
      <c r="AV14" s="47"/>
      <c r="AW14" s="47"/>
      <c r="AX14" s="47"/>
      <c r="AY14" s="47"/>
      <c r="AZ14" s="47"/>
      <c r="BA14" s="47"/>
      <c r="BB14" s="47"/>
      <c r="BC14" s="47"/>
      <c r="BD14" s="47"/>
      <c r="BE14" s="47"/>
      <c r="BF14" s="47"/>
      <c r="BG14" s="47"/>
      <c r="BH14" s="47"/>
      <c r="BI14" s="47"/>
      <c r="BJ14" s="47"/>
      <c r="BK14" s="47"/>
      <c r="BL14" s="47"/>
      <c r="BM14" s="47"/>
      <c r="BN14" s="47"/>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47"/>
      <c r="CR14" s="47"/>
      <c r="CS14" s="47"/>
      <c r="CT14" s="47"/>
      <c r="CU14" s="47"/>
      <c r="CV14" s="47"/>
      <c r="CW14" s="47"/>
      <c r="CX14" s="47"/>
      <c r="CY14" s="47"/>
      <c r="CZ14" s="47"/>
      <c r="DA14" s="47"/>
      <c r="DB14" s="47"/>
      <c r="DC14" s="47"/>
      <c r="DD14" s="47"/>
      <c r="DE14" s="47"/>
      <c r="DF14" s="47"/>
      <c r="DG14" s="47"/>
      <c r="DH14" s="47">
        <v>9</v>
      </c>
      <c r="DI14" s="47">
        <v>9</v>
      </c>
      <c r="DJ14" s="47">
        <v>7</v>
      </c>
      <c r="DK14" s="47"/>
      <c r="DL14" s="47"/>
      <c r="DM14" s="47"/>
      <c r="DN14" s="47"/>
      <c r="DO14" s="47"/>
      <c r="DP14" s="47"/>
      <c r="DQ14" s="47"/>
      <c r="DR14" s="47"/>
      <c r="DS14" s="47"/>
      <c r="DT14" s="47"/>
      <c r="DU14" s="47"/>
      <c r="DV14" s="47"/>
      <c r="DW14" s="47"/>
      <c r="DX14" s="47"/>
      <c r="DY14" s="47"/>
      <c r="DZ14" s="47"/>
      <c r="EA14" s="47"/>
      <c r="EB14" s="47"/>
      <c r="EC14" s="47"/>
      <c r="ED14" s="47"/>
      <c r="EE14" s="47"/>
      <c r="EF14" s="47"/>
      <c r="EG14" s="47"/>
      <c r="EH14" s="47"/>
      <c r="EI14" s="47"/>
      <c r="EJ14" s="47"/>
      <c r="EK14" s="47"/>
      <c r="EL14" s="47"/>
      <c r="EM14" s="47"/>
      <c r="EN14" s="47"/>
      <c r="EO14" s="47"/>
      <c r="EP14" s="47"/>
      <c r="EQ14" s="47"/>
      <c r="ER14" s="47"/>
      <c r="ES14" s="47"/>
      <c r="ET14" s="47"/>
      <c r="EU14" s="47"/>
      <c r="EV14" s="47"/>
      <c r="EW14" s="47"/>
      <c r="EX14" s="47"/>
      <c r="EY14" s="47"/>
      <c r="EZ14" s="47"/>
      <c r="FA14" s="47"/>
      <c r="FB14" s="47"/>
      <c r="FC14" s="47"/>
      <c r="FD14" s="47"/>
      <c r="FE14" s="47"/>
      <c r="FF14" s="47"/>
      <c r="FG14" s="47"/>
      <c r="FH14" s="47"/>
      <c r="FI14" s="47"/>
      <c r="FJ14" s="47"/>
      <c r="FK14" s="47"/>
      <c r="FL14" s="47"/>
      <c r="FM14" s="47"/>
      <c r="FN14" s="47"/>
      <c r="FO14" s="47"/>
      <c r="FP14" s="47"/>
      <c r="FQ14" s="47"/>
      <c r="FR14" s="47"/>
      <c r="FS14" s="47"/>
      <c r="FT14" s="47"/>
      <c r="FU14" s="47"/>
      <c r="FV14" s="47"/>
      <c r="FW14" s="47"/>
      <c r="FX14" s="47"/>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HZ14" s="47"/>
      <c r="IA14" s="47"/>
      <c r="IB14" s="47"/>
      <c r="IC14" s="47"/>
      <c r="ID14" s="47"/>
      <c r="IE14" s="47"/>
      <c r="IF14" s="47"/>
      <c r="IG14" s="47"/>
      <c r="IH14" s="47"/>
      <c r="II14" s="47"/>
      <c r="IJ14" s="47"/>
      <c r="IK14" s="47"/>
      <c r="IL14" s="47"/>
      <c r="IM14" s="47"/>
      <c r="IN14" s="47"/>
      <c r="IO14" s="47"/>
      <c r="IP14" s="47"/>
      <c r="IQ14" s="47"/>
      <c r="IR14" s="47"/>
      <c r="IS14" s="47"/>
      <c r="IT14" s="47"/>
      <c r="IU14" s="47"/>
      <c r="IV14" s="47"/>
      <c r="IW14" s="47"/>
      <c r="IX14" s="47"/>
      <c r="IY14" s="47"/>
      <c r="IZ14" s="47"/>
      <c r="JA14" s="47"/>
      <c r="JB14" s="47"/>
      <c r="JC14" s="47"/>
      <c r="JD14" s="47"/>
      <c r="JE14" s="47"/>
      <c r="JF14" s="47"/>
      <c r="JG14" s="47"/>
      <c r="JH14" s="47"/>
      <c r="JI14" s="47"/>
      <c r="JJ14" s="47"/>
      <c r="JK14" s="47"/>
      <c r="JL14" s="47"/>
      <c r="JM14" s="47"/>
      <c r="JN14" s="47"/>
      <c r="JO14" s="47"/>
      <c r="JP14" s="47"/>
      <c r="JQ14" s="47"/>
      <c r="JR14" s="47"/>
      <c r="JS14" s="47"/>
      <c r="JT14" s="47"/>
      <c r="JU14" s="47"/>
      <c r="JV14" s="47"/>
      <c r="JW14" s="47"/>
      <c r="JX14" s="47"/>
      <c r="JY14" s="47"/>
      <c r="JZ14" s="47"/>
      <c r="KA14" s="47"/>
      <c r="KB14" s="47"/>
      <c r="KC14" s="47"/>
      <c r="KD14" s="47"/>
      <c r="KE14" s="47"/>
      <c r="KF14" s="47"/>
      <c r="KG14" s="47"/>
      <c r="KH14" s="47"/>
      <c r="KI14" s="47"/>
      <c r="KJ14" s="47"/>
      <c r="KK14" s="47"/>
      <c r="KL14" s="47"/>
      <c r="KM14" s="47"/>
      <c r="KN14" s="47"/>
      <c r="KO14" s="47"/>
      <c r="KP14" s="47"/>
      <c r="KQ14" s="47"/>
      <c r="KR14" s="47"/>
      <c r="KS14" s="47"/>
      <c r="KT14" s="47"/>
      <c r="KU14" s="47"/>
      <c r="KV14" s="47"/>
      <c r="KW14" s="47"/>
      <c r="KX14" s="47"/>
      <c r="KY14" s="47"/>
      <c r="KZ14" s="47"/>
      <c r="LA14" s="47"/>
      <c r="LB14" s="47"/>
      <c r="LC14" s="47"/>
      <c r="LD14" s="47"/>
      <c r="LE14" s="47"/>
      <c r="LF14" s="47"/>
      <c r="LG14" s="47"/>
      <c r="LH14" s="47"/>
      <c r="LI14" s="47"/>
      <c r="LJ14" s="47"/>
      <c r="LK14" s="47"/>
      <c r="LL14" s="47"/>
      <c r="LM14" s="47"/>
      <c r="LN14" s="47"/>
      <c r="LO14" s="47"/>
      <c r="LP14" s="47"/>
      <c r="LQ14" s="47"/>
      <c r="LR14" s="47"/>
      <c r="LS14" s="47"/>
      <c r="LT14" s="47"/>
      <c r="LU14" s="47"/>
      <c r="LV14" s="47"/>
      <c r="LW14" s="47"/>
      <c r="LX14" s="47"/>
      <c r="LY14" s="47"/>
      <c r="LZ14" s="47"/>
      <c r="MA14" s="47"/>
      <c r="MB14" s="47"/>
      <c r="MC14" s="47"/>
      <c r="MD14" s="47"/>
      <c r="ME14" s="47"/>
      <c r="MF14" s="47"/>
      <c r="MG14" s="47"/>
      <c r="MH14" s="47"/>
      <c r="MI14" s="47"/>
      <c r="MJ14" s="47"/>
      <c r="MK14" s="47"/>
      <c r="ML14" s="47"/>
      <c r="MM14" s="47"/>
      <c r="MN14" s="47"/>
      <c r="MO14" s="47"/>
      <c r="MP14" s="47"/>
      <c r="MQ14" s="47"/>
      <c r="MR14" s="47"/>
      <c r="MS14" s="47"/>
      <c r="MT14" s="47"/>
      <c r="MU14" s="47"/>
      <c r="MV14" s="47"/>
      <c r="MW14" s="47"/>
      <c r="MX14" s="47"/>
      <c r="MY14" s="47"/>
      <c r="MZ14" s="47"/>
      <c r="NA14" s="47"/>
      <c r="NB14" s="47"/>
      <c r="NC14" s="47"/>
      <c r="ND14" s="47"/>
      <c r="NE14" s="47"/>
      <c r="NF14" s="47"/>
      <c r="NG14" s="47"/>
      <c r="NH14" s="47"/>
      <c r="NI14" s="47"/>
      <c r="NJ14" s="47"/>
      <c r="NK14" s="47"/>
      <c r="NL14" s="47"/>
      <c r="NM14" s="47"/>
      <c r="NN14" s="47"/>
      <c r="NO14" s="47"/>
      <c r="NP14" s="47"/>
      <c r="NQ14" s="47"/>
      <c r="NR14" s="47"/>
      <c r="NS14" s="47"/>
      <c r="NT14" s="47"/>
      <c r="NU14" s="47"/>
      <c r="NV14" s="47"/>
      <c r="NW14" s="47"/>
      <c r="NX14" s="47"/>
      <c r="NY14" s="47"/>
      <c r="NZ14" s="47"/>
      <c r="OA14" s="47"/>
      <c r="OB14" s="47"/>
      <c r="OC14" s="47"/>
      <c r="OD14" s="47"/>
      <c r="OE14" s="48"/>
    </row>
    <row r="15" spans="1:395">
      <c r="A15" s="33">
        <f t="shared" ref="A15:A47" si="16">IF(NOT(ISBLANK(B15)),A14+1, "")</f>
        <v>2</v>
      </c>
      <c r="B15" s="27" t="s">
        <v>47</v>
      </c>
      <c r="C15" s="2" t="str">
        <f>IF(ISBLANK($B15),"",_xlfn.XLOOKUP($B15,Task_No,Project!$C$3:$C$144,"INVALID TASK"))</f>
        <v>SprintaIOT console application development</v>
      </c>
      <c r="D15" s="27" t="s">
        <v>87</v>
      </c>
      <c r="F15" s="16">
        <f t="shared" si="14"/>
        <v>131.5</v>
      </c>
      <c r="G15" s="34"/>
      <c r="H15" s="34" cm="1">
        <f t="array" ref="H15">IF($C15="","",SUMPRODUCT((TEXT($AE$5:$OE$5, "mmm")=LOWER(G$3))*$AE15:$OE15))</f>
        <v>0</v>
      </c>
      <c r="I15" s="34"/>
      <c r="J15" s="34" cm="1">
        <f t="array" ref="J15">IF($C15="","",SUMPRODUCT((TEXT($AE$5:$OE$5, "mmm")=LOWER(I$3))*$AE15:$OE15))</f>
        <v>0</v>
      </c>
      <c r="K15" s="34"/>
      <c r="L15" s="34" cm="1">
        <f t="array" ref="L15">IF($C15="","",SUMPRODUCT((TEXT($AE$5:$OE$5, "mmm")=LOWER(K$3))*$AE15:$OE15))</f>
        <v>38</v>
      </c>
      <c r="M15" s="34"/>
      <c r="N15" s="34" cm="1">
        <f t="array" ref="N15">IF($C15="","",SUMPRODUCT((TEXT($AE$5:$OE$5, "mmm")=LOWER(M$3))*$AE15:$OE15))</f>
        <v>93.5</v>
      </c>
      <c r="O15" s="34"/>
      <c r="P15" s="34" cm="1">
        <f t="array" ref="P15">IF($C15="","",SUMPRODUCT((TEXT($AE$5:$OE$5, "mmm")=LOWER(O$3))*$AE15:$OE15))</f>
        <v>0</v>
      </c>
      <c r="Q15" s="34"/>
      <c r="R15" s="34" cm="1">
        <f t="array" ref="R15">IF($C15="","",SUMPRODUCT((TEXT($AE$5:$OE$5, "mmm")=LOWER(Q$3))*$AE15:$OE15))</f>
        <v>0</v>
      </c>
      <c r="S15" s="34"/>
      <c r="T15" s="34" cm="1">
        <f t="array" ref="T15">IF($C15="","",SUMPRODUCT((TEXT($AE$5:$OE$5, "mmm")=LOWER(S$3))*$AE15:$OE15))</f>
        <v>0</v>
      </c>
      <c r="U15" s="34"/>
      <c r="V15" s="34" cm="1">
        <f t="array" ref="V15">IF($C15="","",SUMPRODUCT((TEXT($AE$5:$OE$5, "mmm")=LOWER(U$3))*$AE15:$OE15))</f>
        <v>0</v>
      </c>
      <c r="W15" s="34"/>
      <c r="X15" s="34" cm="1">
        <f t="array" ref="X15">IF($C15="","",SUMPRODUCT((TEXT($AE$5:$OE$5, "mmm")=LOWER(W$3))*$AE15:$OE15))</f>
        <v>0</v>
      </c>
      <c r="Y15" s="34"/>
      <c r="Z15" s="34" cm="1">
        <f t="array" ref="Z15">IF($C15="","",SUMPRODUCT((TEXT($AE$5:$OE$5, "mmm")=LOWER(Y$3))*$AE15:$OE15))</f>
        <v>0</v>
      </c>
      <c r="AA15" s="34"/>
      <c r="AB15" s="34" cm="1">
        <f t="array" ref="AB15">IF($C15="","",SUMPRODUCT((TEXT($AE$5:$OE$5, "mmm")=LOWER(AA$3))*$AE15:$OE15))</f>
        <v>0</v>
      </c>
      <c r="AC15" s="34"/>
      <c r="AD15" s="34" cm="1">
        <f t="array" ref="AD15">IF($C15="","",SUMPRODUCT((TEXT($AE$5:$OE$5, "mmm")=LOWER(AC$3))*$AE15:$OE15))</f>
        <v>0</v>
      </c>
      <c r="AE15" s="47"/>
      <c r="AF15" s="47"/>
      <c r="AG15" s="47"/>
      <c r="AH15" s="47"/>
      <c r="AI15" s="47"/>
      <c r="AJ15" s="47"/>
      <c r="AK15" s="47"/>
      <c r="AL15" s="47"/>
      <c r="AM15" s="47"/>
      <c r="AN15" s="47"/>
      <c r="AO15" s="47"/>
      <c r="AP15" s="47"/>
      <c r="AQ15" s="47"/>
      <c r="AR15" s="47"/>
      <c r="AS15" s="47"/>
      <c r="AT15" s="47"/>
      <c r="AU15" s="47"/>
      <c r="AV15" s="47"/>
      <c r="AW15" s="47"/>
      <c r="AX15" s="47"/>
      <c r="AY15" s="47"/>
      <c r="AZ15" s="47"/>
      <c r="BA15" s="47"/>
      <c r="BB15" s="47"/>
      <c r="BC15" s="47"/>
      <c r="BD15" s="47"/>
      <c r="BE15" s="47"/>
      <c r="BF15" s="47"/>
      <c r="BG15" s="47"/>
      <c r="BH15" s="47"/>
      <c r="BI15" s="47"/>
      <c r="BJ15" s="47"/>
      <c r="BK15" s="47"/>
      <c r="BL15" s="47"/>
      <c r="BM15" s="47"/>
      <c r="BN15" s="47"/>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47"/>
      <c r="CR15" s="47"/>
      <c r="CS15" s="47"/>
      <c r="CT15" s="47"/>
      <c r="CU15" s="47"/>
      <c r="CV15" s="47"/>
      <c r="CW15" s="47"/>
      <c r="CX15" s="47"/>
      <c r="CY15" s="47"/>
      <c r="CZ15" s="47"/>
      <c r="DA15" s="47"/>
      <c r="DB15" s="47"/>
      <c r="DC15" s="47"/>
      <c r="DD15" s="47"/>
      <c r="DE15" s="47"/>
      <c r="DF15" s="47"/>
      <c r="DG15" s="47"/>
      <c r="DH15" s="47"/>
      <c r="DI15" s="47"/>
      <c r="DJ15" s="47">
        <v>2</v>
      </c>
      <c r="DK15" s="47">
        <v>9</v>
      </c>
      <c r="DL15" s="47">
        <v>9</v>
      </c>
      <c r="DM15" s="47"/>
      <c r="DN15" s="47"/>
      <c r="DO15" s="47">
        <v>9</v>
      </c>
      <c r="DP15" s="47">
        <v>9</v>
      </c>
      <c r="DQ15" s="47">
        <v>5.5</v>
      </c>
      <c r="DR15" s="47">
        <v>7</v>
      </c>
      <c r="DS15" s="47"/>
      <c r="DT15" s="47"/>
      <c r="DU15" s="47"/>
      <c r="DV15" s="47">
        <v>9</v>
      </c>
      <c r="DW15" s="47">
        <v>9</v>
      </c>
      <c r="DX15" s="47">
        <v>9</v>
      </c>
      <c r="DY15" s="47">
        <v>9</v>
      </c>
      <c r="DZ15" s="47">
        <v>9</v>
      </c>
      <c r="EA15" s="47"/>
      <c r="EB15" s="47"/>
      <c r="EC15" s="47">
        <v>9</v>
      </c>
      <c r="ED15" s="47"/>
      <c r="EE15" s="47">
        <v>9</v>
      </c>
      <c r="EF15" s="47">
        <v>9</v>
      </c>
      <c r="EG15" s="47">
        <v>9</v>
      </c>
      <c r="EH15" s="47"/>
      <c r="EI15" s="47"/>
      <c r="EJ15" s="47"/>
      <c r="EK15" s="47"/>
      <c r="EL15" s="47"/>
      <c r="EM15" s="47"/>
      <c r="EN15" s="47"/>
      <c r="EO15" s="47"/>
      <c r="EP15" s="47"/>
      <c r="EQ15" s="47"/>
      <c r="ER15" s="47"/>
      <c r="ES15" s="47"/>
      <c r="ET15" s="47"/>
      <c r="EU15" s="47"/>
      <c r="EV15" s="47"/>
      <c r="EW15" s="47"/>
      <c r="EX15" s="47"/>
      <c r="EY15" s="47"/>
      <c r="EZ15" s="47"/>
      <c r="FA15" s="47"/>
      <c r="FB15" s="47"/>
      <c r="FC15" s="47"/>
      <c r="FD15" s="47"/>
      <c r="FE15" s="47"/>
      <c r="FF15" s="47"/>
      <c r="FG15" s="47"/>
      <c r="FH15" s="47"/>
      <c r="FI15" s="47"/>
      <c r="FJ15" s="47"/>
      <c r="FK15" s="47"/>
      <c r="FL15" s="47"/>
      <c r="FM15" s="47"/>
      <c r="FN15" s="47"/>
      <c r="FO15" s="47"/>
      <c r="FP15" s="47"/>
      <c r="FQ15" s="47"/>
      <c r="FR15" s="47"/>
      <c r="FS15" s="47"/>
      <c r="FT15" s="47"/>
      <c r="FU15" s="47"/>
      <c r="FV15" s="47"/>
      <c r="FW15" s="47"/>
      <c r="FX15" s="47"/>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HZ15" s="47"/>
      <c r="IA15" s="47"/>
      <c r="IB15" s="47"/>
      <c r="IC15" s="47"/>
      <c r="ID15" s="47"/>
      <c r="IE15" s="47"/>
      <c r="IF15" s="47"/>
      <c r="IG15" s="47"/>
      <c r="IH15" s="47"/>
      <c r="II15" s="47"/>
      <c r="IJ15" s="47"/>
      <c r="IK15" s="47"/>
      <c r="IL15" s="47"/>
      <c r="IM15" s="47"/>
      <c r="IN15" s="47"/>
      <c r="IO15" s="47"/>
      <c r="IP15" s="47"/>
      <c r="IQ15" s="47"/>
      <c r="IR15" s="47"/>
      <c r="IS15" s="47"/>
      <c r="IT15" s="47"/>
      <c r="IU15" s="47"/>
      <c r="IV15" s="47"/>
      <c r="IW15" s="47"/>
      <c r="IX15" s="47"/>
      <c r="IY15" s="47"/>
      <c r="IZ15" s="47"/>
      <c r="JA15" s="47"/>
      <c r="JB15" s="47"/>
      <c r="JC15" s="47"/>
      <c r="JD15" s="47"/>
      <c r="JE15" s="47"/>
      <c r="JF15" s="47"/>
      <c r="JG15" s="47"/>
      <c r="JH15" s="47"/>
      <c r="JI15" s="47"/>
      <c r="JJ15" s="47"/>
      <c r="JK15" s="47"/>
      <c r="JL15" s="47"/>
      <c r="JM15" s="47"/>
      <c r="JN15" s="47"/>
      <c r="JO15" s="47"/>
      <c r="JP15" s="47"/>
      <c r="JQ15" s="47"/>
      <c r="JR15" s="47"/>
      <c r="JS15" s="47"/>
      <c r="JT15" s="47"/>
      <c r="JU15" s="47"/>
      <c r="JV15" s="47"/>
      <c r="JW15" s="47"/>
      <c r="JX15" s="47"/>
      <c r="JY15" s="47"/>
      <c r="JZ15" s="47"/>
      <c r="KA15" s="47"/>
      <c r="KB15" s="47"/>
      <c r="KC15" s="47"/>
      <c r="KD15" s="47"/>
      <c r="KE15" s="47"/>
      <c r="KF15" s="47"/>
      <c r="KG15" s="47"/>
      <c r="KH15" s="47"/>
      <c r="KI15" s="47"/>
      <c r="KJ15" s="47"/>
      <c r="KK15" s="47"/>
      <c r="KL15" s="47"/>
      <c r="KM15" s="47"/>
      <c r="KN15" s="47"/>
      <c r="KO15" s="47"/>
      <c r="KP15" s="47"/>
      <c r="KQ15" s="47"/>
      <c r="KR15" s="47"/>
      <c r="KS15" s="47"/>
      <c r="KT15" s="47"/>
      <c r="KU15" s="47"/>
      <c r="KV15" s="47"/>
      <c r="KW15" s="47"/>
      <c r="KX15" s="47"/>
      <c r="KY15" s="47"/>
      <c r="KZ15" s="47"/>
      <c r="LA15" s="47"/>
      <c r="LB15" s="47"/>
      <c r="LC15" s="47"/>
      <c r="LD15" s="47"/>
      <c r="LE15" s="47"/>
      <c r="LF15" s="47"/>
      <c r="LG15" s="47"/>
      <c r="LH15" s="47"/>
      <c r="LI15" s="47"/>
      <c r="LJ15" s="47"/>
      <c r="LK15" s="47"/>
      <c r="LL15" s="47"/>
      <c r="LM15" s="47"/>
      <c r="LN15" s="47"/>
      <c r="LO15" s="47"/>
      <c r="LP15" s="47"/>
      <c r="LQ15" s="47"/>
      <c r="LR15" s="47"/>
      <c r="LS15" s="47"/>
      <c r="LT15" s="47"/>
      <c r="LU15" s="47"/>
      <c r="LV15" s="47"/>
      <c r="LW15" s="47"/>
      <c r="LX15" s="47"/>
      <c r="LY15" s="47"/>
      <c r="LZ15" s="47"/>
      <c r="MA15" s="47"/>
      <c r="MB15" s="47"/>
      <c r="MC15" s="47"/>
      <c r="MD15" s="47"/>
      <c r="ME15" s="47"/>
      <c r="MF15" s="47"/>
      <c r="MG15" s="47"/>
      <c r="MH15" s="47"/>
      <c r="MI15" s="47"/>
      <c r="MJ15" s="47"/>
      <c r="MK15" s="47"/>
      <c r="ML15" s="47"/>
      <c r="MM15" s="47"/>
      <c r="MN15" s="47"/>
      <c r="MO15" s="47"/>
      <c r="MP15" s="47"/>
      <c r="MQ15" s="47"/>
      <c r="MR15" s="47"/>
      <c r="MS15" s="47"/>
      <c r="MT15" s="47"/>
      <c r="MU15" s="47"/>
      <c r="MV15" s="47"/>
      <c r="MW15" s="47"/>
      <c r="MX15" s="47"/>
      <c r="MY15" s="47"/>
      <c r="MZ15" s="47"/>
      <c r="NA15" s="47"/>
      <c r="NB15" s="47"/>
      <c r="NC15" s="47"/>
      <c r="ND15" s="47"/>
      <c r="NE15" s="47"/>
      <c r="NF15" s="47"/>
      <c r="NG15" s="47"/>
      <c r="NH15" s="47"/>
      <c r="NI15" s="47"/>
      <c r="NJ15" s="47"/>
      <c r="NK15" s="47"/>
      <c r="NL15" s="47"/>
      <c r="NM15" s="47"/>
      <c r="NN15" s="47"/>
      <c r="NO15" s="47"/>
      <c r="NP15" s="47"/>
      <c r="NQ15" s="47"/>
      <c r="NR15" s="47"/>
      <c r="NS15" s="47"/>
      <c r="NT15" s="47"/>
      <c r="NU15" s="47"/>
      <c r="NV15" s="47"/>
      <c r="NW15" s="47"/>
      <c r="NX15" s="47"/>
      <c r="NY15" s="47"/>
      <c r="NZ15" s="47"/>
      <c r="OA15" s="47"/>
      <c r="OB15" s="47"/>
      <c r="OC15" s="47"/>
      <c r="OD15" s="47"/>
      <c r="OE15" s="48"/>
    </row>
    <row r="16" spans="1:395">
      <c r="A16" s="33" t="str">
        <f t="shared" si="16"/>
        <v/>
      </c>
      <c r="B16" s="186"/>
      <c r="C16" s="2" t="str">
        <f>IF(ISBLANK($B16),"",_xlfn.XLOOKUP($B16,Task_No,Project!$C$3:$C$144,"INVALID TASK"))</f>
        <v/>
      </c>
      <c r="D16" s="27"/>
      <c r="F16" s="7" t="str">
        <f t="shared" ref="F16:F79" si="17">IF(C16 = "", "", SUM($H16,$J16,$L16,$N16,$P16,$R16,$T16,$V16,$X16,$Z16,$AB16,$AD16))</f>
        <v/>
      </c>
      <c r="G16" s="34"/>
      <c r="H16" s="34" t="str" cm="1">
        <f t="array" ref="H16">IF($C16="","",SUMPRODUCT((TEXT($AE$5:$OE$5, "mmm")=LOWER(G$3))*$AE16:$OE16))</f>
        <v/>
      </c>
      <c r="I16" s="34"/>
      <c r="J16" s="34" t="str" cm="1">
        <f t="array" ref="J16">IF($C16="","",SUMPRODUCT((TEXT($AE$5:$OE$5, "mmm")=LOWER(I$3))*$AE16:$OE16))</f>
        <v/>
      </c>
      <c r="K16" s="34"/>
      <c r="L16" s="34" t="str" cm="1">
        <f t="array" ref="L16">IF($C16="","",SUMPRODUCT((TEXT($AE$5:$OE$5, "mmm")=LOWER(K$3))*$AE16:$OE16))</f>
        <v/>
      </c>
      <c r="M16" s="34"/>
      <c r="N16" s="34" t="str" cm="1">
        <f t="array" ref="N16">IF($C16="","",SUMPRODUCT((TEXT($AE$5:$OE$5, "mmm")=LOWER(M$3))*$AE16:$OE16))</f>
        <v/>
      </c>
      <c r="O16" s="34"/>
      <c r="P16" s="34" t="str" cm="1">
        <f t="array" ref="P16">IF($C16="","",SUMPRODUCT((TEXT($AE$5:$OE$5, "mmm")=LOWER(O$3))*$AE16:$OE16))</f>
        <v/>
      </c>
      <c r="Q16" s="34"/>
      <c r="R16" s="34" t="str" cm="1">
        <f t="array" ref="R16">IF($C16="","",SUMPRODUCT((TEXT($AE$5:$OE$5, "mmm")=LOWER(Q$3))*$AE16:$OE16))</f>
        <v/>
      </c>
      <c r="S16" s="34"/>
      <c r="T16" s="34" t="str" cm="1">
        <f t="array" ref="T16">IF($C16="","",SUMPRODUCT((TEXT($AE$5:$OE$5, "mmm")=LOWER(S$3))*$AE16:$OE16))</f>
        <v/>
      </c>
      <c r="U16" s="34"/>
      <c r="V16" s="34" t="str" cm="1">
        <f t="array" ref="V16">IF($C16="","",SUMPRODUCT((TEXT($AE$5:$OE$5, "mmm")=LOWER(U$3))*$AE16:$OE16))</f>
        <v/>
      </c>
      <c r="W16" s="34"/>
      <c r="X16" s="34" t="str" cm="1">
        <f t="array" ref="X16">IF($C16="","",SUMPRODUCT((TEXT($AE$5:$OE$5, "mmm")=LOWER(W$3))*$AE16:$OE16))</f>
        <v/>
      </c>
      <c r="Y16" s="34"/>
      <c r="Z16" s="34" t="str" cm="1">
        <f t="array" ref="Z16">IF($C16="","",SUMPRODUCT((TEXT($AE$5:$OE$5, "mmm")=LOWER(Y$3))*$AE16:$OE16))</f>
        <v/>
      </c>
      <c r="AA16" s="34"/>
      <c r="AB16" s="34" t="str" cm="1">
        <f t="array" ref="AB16">IF($C16="","",SUMPRODUCT((TEXT($AE$5:$OE$5, "mmm")=LOWER(AA$3))*$AE16:$OE16))</f>
        <v/>
      </c>
      <c r="AC16" s="34"/>
      <c r="AD16" s="34" t="str" cm="1">
        <f t="array" ref="AD16">IF($C16="","",SUMPRODUCT((TEXT($AE$5:$OE$5, "mmm")=LOWER(AC$3))*$AE16:$OE16))</f>
        <v/>
      </c>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7"/>
      <c r="BC16" s="47"/>
      <c r="BD16" s="47"/>
      <c r="BE16" s="47"/>
      <c r="BF16" s="47"/>
      <c r="BG16" s="47"/>
      <c r="BH16" s="47"/>
      <c r="BI16" s="47"/>
      <c r="BJ16" s="47"/>
      <c r="BK16" s="47"/>
      <c r="BL16" s="47"/>
      <c r="BM16" s="47"/>
      <c r="BN16" s="47"/>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47"/>
      <c r="CR16" s="47"/>
      <c r="CS16" s="47"/>
      <c r="CT16" s="47"/>
      <c r="CU16" s="47"/>
      <c r="CV16" s="47"/>
      <c r="CW16" s="47"/>
      <c r="CX16" s="47"/>
      <c r="CY16" s="47"/>
      <c r="CZ16" s="47"/>
      <c r="DA16" s="47"/>
      <c r="DB16" s="47"/>
      <c r="DC16" s="47"/>
      <c r="DD16" s="47"/>
      <c r="DE16" s="47"/>
      <c r="DF16" s="47"/>
      <c r="DG16" s="47"/>
      <c r="DH16" s="47"/>
      <c r="DI16" s="47"/>
      <c r="DJ16" s="47"/>
      <c r="DK16" s="47"/>
      <c r="DL16" s="47"/>
      <c r="DM16" s="47"/>
      <c r="DN16" s="47"/>
      <c r="DO16" s="47"/>
      <c r="DP16" s="47"/>
      <c r="DQ16" s="47"/>
      <c r="DR16" s="47"/>
      <c r="DS16" s="47"/>
      <c r="DT16" s="47"/>
      <c r="DU16" s="47"/>
      <c r="DV16" s="47"/>
      <c r="DW16" s="47"/>
      <c r="DX16" s="47"/>
      <c r="DY16" s="47"/>
      <c r="DZ16" s="47"/>
      <c r="EA16" s="47"/>
      <c r="EB16" s="47"/>
      <c r="EC16" s="47"/>
      <c r="ED16" s="47"/>
      <c r="EE16" s="47"/>
      <c r="EF16" s="47"/>
      <c r="EG16" s="47"/>
      <c r="EH16" s="47"/>
      <c r="EI16" s="47"/>
      <c r="EJ16" s="47"/>
      <c r="EK16" s="47"/>
      <c r="EL16" s="47"/>
      <c r="EM16" s="47"/>
      <c r="EN16" s="47"/>
      <c r="EO16" s="47"/>
      <c r="EP16" s="47"/>
      <c r="EQ16" s="47"/>
      <c r="ER16" s="47"/>
      <c r="ES16" s="47"/>
      <c r="ET16" s="47"/>
      <c r="EU16" s="47"/>
      <c r="EV16" s="47"/>
      <c r="EW16" s="47"/>
      <c r="EX16" s="47"/>
      <c r="EY16" s="47"/>
      <c r="EZ16" s="47"/>
      <c r="FA16" s="47"/>
      <c r="FB16" s="47"/>
      <c r="FC16" s="47"/>
      <c r="FD16" s="47"/>
      <c r="FE16" s="47"/>
      <c r="FF16" s="47"/>
      <c r="FG16" s="47"/>
      <c r="FH16" s="47"/>
      <c r="FI16" s="47"/>
      <c r="FJ16" s="47"/>
      <c r="FK16" s="47"/>
      <c r="FL16" s="47"/>
      <c r="FM16" s="47"/>
      <c r="FN16" s="47"/>
      <c r="FO16" s="47"/>
      <c r="FP16" s="47"/>
      <c r="FQ16" s="47"/>
      <c r="FR16" s="47"/>
      <c r="FS16" s="47"/>
      <c r="FT16" s="47"/>
      <c r="FU16" s="47"/>
      <c r="FV16" s="47"/>
      <c r="FW16" s="47"/>
      <c r="FX16" s="47"/>
      <c r="FY16" s="47"/>
      <c r="FZ16" s="47"/>
      <c r="GA16" s="47"/>
      <c r="GB16" s="47"/>
      <c r="GC16" s="47"/>
      <c r="GD16" s="47"/>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HZ16" s="47"/>
      <c r="IA16" s="47"/>
      <c r="IB16" s="47"/>
      <c r="IC16" s="47"/>
      <c r="ID16" s="47"/>
      <c r="IE16" s="47"/>
      <c r="IF16" s="47"/>
      <c r="IG16" s="47"/>
      <c r="IH16" s="47"/>
      <c r="II16" s="47"/>
      <c r="IJ16" s="47"/>
      <c r="IK16" s="47"/>
      <c r="IL16" s="47"/>
      <c r="IM16" s="47"/>
      <c r="IN16" s="47"/>
      <c r="IO16" s="47"/>
      <c r="IP16" s="47"/>
      <c r="IQ16" s="47"/>
      <c r="IR16" s="47"/>
      <c r="IS16" s="47"/>
      <c r="IT16" s="47"/>
      <c r="IU16" s="47"/>
      <c r="IV16" s="47"/>
      <c r="IW16" s="47"/>
      <c r="IX16" s="47"/>
      <c r="IY16" s="47"/>
      <c r="IZ16" s="47"/>
      <c r="JA16" s="47"/>
      <c r="JB16" s="47"/>
      <c r="JC16" s="47"/>
      <c r="JD16" s="47"/>
      <c r="JE16" s="47"/>
      <c r="JF16" s="47"/>
      <c r="JG16" s="47"/>
      <c r="JH16" s="47"/>
      <c r="JI16" s="47"/>
      <c r="JJ16" s="47"/>
      <c r="JK16" s="47"/>
      <c r="JL16" s="47"/>
      <c r="JM16" s="47"/>
      <c r="JN16" s="47"/>
      <c r="JO16" s="47"/>
      <c r="JP16" s="47"/>
      <c r="JQ16" s="47"/>
      <c r="JR16" s="47"/>
      <c r="JS16" s="47"/>
      <c r="JT16" s="47"/>
      <c r="JU16" s="47"/>
      <c r="JV16" s="47"/>
      <c r="JW16" s="47"/>
      <c r="JX16" s="47"/>
      <c r="JY16" s="47"/>
      <c r="JZ16" s="47"/>
      <c r="KA16" s="47"/>
      <c r="KB16" s="47"/>
      <c r="KC16" s="47"/>
      <c r="KD16" s="47"/>
      <c r="KE16" s="47"/>
      <c r="KF16" s="47"/>
      <c r="KG16" s="47"/>
      <c r="KH16" s="47"/>
      <c r="KI16" s="47"/>
      <c r="KJ16" s="47"/>
      <c r="KK16" s="47"/>
      <c r="KL16" s="47"/>
      <c r="KM16" s="47"/>
      <c r="KN16" s="47"/>
      <c r="KO16" s="47"/>
      <c r="KP16" s="47"/>
      <c r="KQ16" s="47"/>
      <c r="KR16" s="47"/>
      <c r="KS16" s="47"/>
      <c r="KT16" s="47"/>
      <c r="KU16" s="47"/>
      <c r="KV16" s="47"/>
      <c r="KW16" s="47"/>
      <c r="KX16" s="47"/>
      <c r="KY16" s="47"/>
      <c r="KZ16" s="47"/>
      <c r="LA16" s="47"/>
      <c r="LB16" s="47"/>
      <c r="LC16" s="47"/>
      <c r="LD16" s="47"/>
      <c r="LE16" s="47"/>
      <c r="LF16" s="47"/>
      <c r="LG16" s="47"/>
      <c r="LH16" s="47"/>
      <c r="LI16" s="47"/>
      <c r="LJ16" s="47"/>
      <c r="LK16" s="47"/>
      <c r="LL16" s="47"/>
      <c r="LM16" s="47"/>
      <c r="LN16" s="47"/>
      <c r="LO16" s="47"/>
      <c r="LP16" s="47"/>
      <c r="LQ16" s="47"/>
      <c r="LR16" s="47"/>
      <c r="LS16" s="47"/>
      <c r="LT16" s="47"/>
      <c r="LU16" s="47"/>
      <c r="LV16" s="47"/>
      <c r="LW16" s="47"/>
      <c r="LX16" s="47"/>
      <c r="LY16" s="47"/>
      <c r="LZ16" s="47"/>
      <c r="MA16" s="47"/>
      <c r="MB16" s="47"/>
      <c r="MC16" s="47"/>
      <c r="MD16" s="47"/>
      <c r="ME16" s="47"/>
      <c r="MF16" s="47"/>
      <c r="MG16" s="47"/>
      <c r="MH16" s="47"/>
      <c r="MI16" s="47"/>
      <c r="MJ16" s="47"/>
      <c r="MK16" s="47"/>
      <c r="ML16" s="47"/>
      <c r="MM16" s="47"/>
      <c r="MN16" s="47"/>
      <c r="MO16" s="47"/>
      <c r="MP16" s="47"/>
      <c r="MQ16" s="47"/>
      <c r="MR16" s="47"/>
      <c r="MS16" s="47"/>
      <c r="MT16" s="47"/>
      <c r="MU16" s="47"/>
      <c r="MV16" s="47"/>
      <c r="MW16" s="47"/>
      <c r="MX16" s="47"/>
      <c r="MY16" s="47"/>
      <c r="MZ16" s="47"/>
      <c r="NA16" s="47"/>
      <c r="NB16" s="47"/>
      <c r="NC16" s="47"/>
      <c r="ND16" s="47"/>
      <c r="NE16" s="47"/>
      <c r="NF16" s="47"/>
      <c r="NG16" s="47"/>
      <c r="NH16" s="47"/>
      <c r="NI16" s="47"/>
      <c r="NJ16" s="47"/>
      <c r="NK16" s="47"/>
      <c r="NL16" s="47"/>
      <c r="NM16" s="47"/>
      <c r="NN16" s="47"/>
      <c r="NO16" s="47"/>
      <c r="NP16" s="47"/>
      <c r="NQ16" s="47"/>
      <c r="NR16" s="47"/>
      <c r="NS16" s="47"/>
      <c r="NT16" s="47"/>
      <c r="NU16" s="47"/>
      <c r="NV16" s="47"/>
      <c r="NW16" s="47"/>
      <c r="NX16" s="47"/>
      <c r="NY16" s="47"/>
      <c r="NZ16" s="47"/>
      <c r="OA16" s="47"/>
      <c r="OB16" s="47"/>
      <c r="OC16" s="47"/>
      <c r="OD16" s="47"/>
      <c r="OE16" s="48"/>
    </row>
    <row r="17" spans="1:395">
      <c r="A17" s="33" t="str">
        <f t="shared" si="16"/>
        <v/>
      </c>
      <c r="C17" s="2" t="str">
        <f>IF(ISBLANK($B17),"",_xlfn.XLOOKUP($B17,Task_No,Project!$C$3:$C$144,"INVALID TASK"))</f>
        <v/>
      </c>
      <c r="D17" s="27"/>
      <c r="F17" s="7" t="str">
        <f t="shared" si="17"/>
        <v/>
      </c>
      <c r="G17" s="34"/>
      <c r="H17" s="34" t="str" cm="1">
        <f t="array" ref="H17">IF($C17="","",SUMPRODUCT((TEXT($AE$5:$OE$5, "mmm")=LOWER(G$3))*$AE17:$OE17))</f>
        <v/>
      </c>
      <c r="I17" s="34"/>
      <c r="J17" s="34" t="str" cm="1">
        <f t="array" ref="J17">IF($C17="","",SUMPRODUCT((TEXT($AE$5:$OE$5, "mmm")=LOWER(I$3))*$AE17:$OE17))</f>
        <v/>
      </c>
      <c r="K17" s="34"/>
      <c r="L17" s="34" t="str" cm="1">
        <f t="array" ref="L17">IF($C17="","",SUMPRODUCT((TEXT($AE$5:$OE$5, "mmm")=LOWER(K$3))*$AE17:$OE17))</f>
        <v/>
      </c>
      <c r="M17" s="34"/>
      <c r="N17" s="34" t="str" cm="1">
        <f t="array" ref="N17">IF($C17="","",SUMPRODUCT((TEXT($AE$5:$OE$5, "mmm")=LOWER(M$3))*$AE17:$OE17))</f>
        <v/>
      </c>
      <c r="O17" s="34"/>
      <c r="P17" s="34" t="str" cm="1">
        <f t="array" ref="P17">IF($C17="","",SUMPRODUCT((TEXT($AE$5:$OE$5, "mmm")=LOWER(O$3))*$AE17:$OE17))</f>
        <v/>
      </c>
      <c r="Q17" s="34"/>
      <c r="R17" s="34" t="str" cm="1">
        <f t="array" ref="R17">IF($C17="","",SUMPRODUCT((TEXT($AE$5:$OE$5, "mmm")=LOWER(Q$3))*$AE17:$OE17))</f>
        <v/>
      </c>
      <c r="S17" s="34"/>
      <c r="T17" s="34" t="str" cm="1">
        <f t="array" ref="T17">IF($C17="","",SUMPRODUCT((TEXT($AE$5:$OE$5, "mmm")=LOWER(S$3))*$AE17:$OE17))</f>
        <v/>
      </c>
      <c r="U17" s="34"/>
      <c r="V17" s="34" t="str" cm="1">
        <f t="array" ref="V17">IF($C17="","",SUMPRODUCT((TEXT($AE$5:$OE$5, "mmm")=LOWER(U$3))*$AE17:$OE17))</f>
        <v/>
      </c>
      <c r="W17" s="34"/>
      <c r="X17" s="34" t="str" cm="1">
        <f t="array" ref="X17">IF($C17="","",SUMPRODUCT((TEXT($AE$5:$OE$5, "mmm")=LOWER(W$3))*$AE17:$OE17))</f>
        <v/>
      </c>
      <c r="Y17" s="34"/>
      <c r="Z17" s="34" t="str" cm="1">
        <f t="array" ref="Z17">IF($C17="","",SUMPRODUCT((TEXT($AE$5:$OE$5, "mmm")=LOWER(Y$3))*$AE17:$OE17))</f>
        <v/>
      </c>
      <c r="AA17" s="34"/>
      <c r="AB17" s="34" t="str" cm="1">
        <f t="array" ref="AB17">IF($C17="","",SUMPRODUCT((TEXT($AE$5:$OE$5, "mmm")=LOWER(AA$3))*$AE17:$OE17))</f>
        <v/>
      </c>
      <c r="AC17" s="34"/>
      <c r="AD17" s="34" t="str" cm="1">
        <f t="array" ref="AD17">IF($C17="","",SUMPRODUCT((TEXT($AE$5:$OE$5, "mmm")=LOWER(AC$3))*$AE17:$OE17))</f>
        <v/>
      </c>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c r="BJ17" s="47"/>
      <c r="BK17" s="47"/>
      <c r="BL17" s="47"/>
      <c r="BM17" s="47"/>
      <c r="BN17" s="47"/>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47"/>
      <c r="CR17" s="47"/>
      <c r="CS17" s="47"/>
      <c r="CT17" s="47"/>
      <c r="CU17" s="47"/>
      <c r="CV17" s="47"/>
      <c r="CW17" s="47"/>
      <c r="CX17" s="47"/>
      <c r="CY17" s="47"/>
      <c r="CZ17" s="47"/>
      <c r="DA17" s="47"/>
      <c r="DB17" s="47"/>
      <c r="DC17" s="47"/>
      <c r="DD17" s="47"/>
      <c r="DE17" s="47"/>
      <c r="DF17" s="47"/>
      <c r="DG17" s="47"/>
      <c r="DH17" s="47"/>
      <c r="DI17" s="47"/>
      <c r="DJ17" s="47"/>
      <c r="DK17" s="47"/>
      <c r="DL17" s="47"/>
      <c r="DM17" s="47"/>
      <c r="DN17" s="47"/>
      <c r="DO17" s="47"/>
      <c r="DP17" s="47"/>
      <c r="DQ17" s="47"/>
      <c r="DR17" s="47"/>
      <c r="DS17" s="47"/>
      <c r="DT17" s="47"/>
      <c r="DU17" s="47"/>
      <c r="DV17" s="47"/>
      <c r="DW17" s="47"/>
      <c r="DX17" s="47"/>
      <c r="DY17" s="47"/>
      <c r="DZ17" s="47"/>
      <c r="EA17" s="47"/>
      <c r="EB17" s="47"/>
      <c r="EC17" s="47"/>
      <c r="ED17" s="47"/>
      <c r="EE17" s="47"/>
      <c r="EF17" s="47"/>
      <c r="EG17" s="47"/>
      <c r="EH17" s="47"/>
      <c r="EI17" s="47"/>
      <c r="EJ17" s="47"/>
      <c r="EK17" s="47"/>
      <c r="EL17" s="47"/>
      <c r="EM17" s="47"/>
      <c r="EN17" s="47"/>
      <c r="EO17" s="47"/>
      <c r="EP17" s="47"/>
      <c r="EQ17" s="47"/>
      <c r="ER17" s="47"/>
      <c r="ES17" s="47"/>
      <c r="ET17" s="47"/>
      <c r="EU17" s="47"/>
      <c r="EV17" s="47"/>
      <c r="EW17" s="47"/>
      <c r="EX17" s="47"/>
      <c r="EY17" s="47"/>
      <c r="EZ17" s="47"/>
      <c r="FA17" s="47"/>
      <c r="FB17" s="47"/>
      <c r="FC17" s="47"/>
      <c r="FD17" s="47"/>
      <c r="FE17" s="47"/>
      <c r="FF17" s="47"/>
      <c r="FG17" s="47"/>
      <c r="FH17" s="47"/>
      <c r="FI17" s="47"/>
      <c r="FJ17" s="47"/>
      <c r="FK17" s="47"/>
      <c r="FL17" s="47"/>
      <c r="FM17" s="47"/>
      <c r="FN17" s="47"/>
      <c r="FO17" s="47"/>
      <c r="FP17" s="47"/>
      <c r="FQ17" s="47"/>
      <c r="FR17" s="47"/>
      <c r="FS17" s="47"/>
      <c r="FT17" s="47"/>
      <c r="FU17" s="47"/>
      <c r="FV17" s="47"/>
      <c r="FW17" s="47"/>
      <c r="FX17" s="47"/>
      <c r="FY17" s="47"/>
      <c r="FZ17" s="47"/>
      <c r="GA17" s="47"/>
      <c r="GB17" s="47"/>
      <c r="GC17" s="47"/>
      <c r="GD17" s="47"/>
      <c r="GE17" s="47"/>
      <c r="GF17" s="47"/>
      <c r="GG17" s="47"/>
      <c r="GH17" s="47"/>
      <c r="GI17" s="47"/>
      <c r="GJ17" s="47"/>
      <c r="GK17" s="47"/>
      <c r="GL17" s="47"/>
      <c r="GM17" s="47"/>
      <c r="GN17" s="47"/>
      <c r="GO17" s="47"/>
      <c r="GP17" s="47"/>
      <c r="GQ17" s="47"/>
      <c r="GR17" s="47"/>
      <c r="GS17" s="47"/>
      <c r="GT17" s="47"/>
      <c r="GU17" s="47"/>
      <c r="GV17" s="47"/>
      <c r="GW17" s="47"/>
      <c r="GX17" s="47"/>
      <c r="GY17" s="47"/>
      <c r="GZ17" s="47"/>
      <c r="HA17" s="47"/>
      <c r="HB17" s="47"/>
      <c r="HC17" s="47"/>
      <c r="HD17" s="47"/>
      <c r="HE17" s="47"/>
      <c r="HF17" s="47"/>
      <c r="HG17" s="47"/>
      <c r="HH17" s="47"/>
      <c r="HI17" s="47"/>
      <c r="HJ17" s="47"/>
      <c r="HK17" s="47"/>
      <c r="HL17" s="47"/>
      <c r="HM17" s="47"/>
      <c r="HN17" s="47"/>
      <c r="HO17" s="47"/>
      <c r="HP17" s="47"/>
      <c r="HQ17" s="47"/>
      <c r="HR17" s="47"/>
      <c r="HS17" s="47"/>
      <c r="HT17" s="47"/>
      <c r="HU17" s="47"/>
      <c r="HV17" s="47"/>
      <c r="HW17" s="47"/>
      <c r="HX17" s="47"/>
      <c r="HY17" s="47"/>
      <c r="HZ17" s="47"/>
      <c r="IA17" s="47"/>
      <c r="IB17" s="47"/>
      <c r="IC17" s="47"/>
      <c r="ID17" s="47"/>
      <c r="IE17" s="47"/>
      <c r="IF17" s="47"/>
      <c r="IG17" s="47"/>
      <c r="IH17" s="47"/>
      <c r="II17" s="47"/>
      <c r="IJ17" s="47"/>
      <c r="IK17" s="47"/>
      <c r="IL17" s="47"/>
      <c r="IM17" s="47"/>
      <c r="IN17" s="47"/>
      <c r="IO17" s="47"/>
      <c r="IP17" s="47"/>
      <c r="IQ17" s="47"/>
      <c r="IR17" s="47"/>
      <c r="IS17" s="47"/>
      <c r="IT17" s="47"/>
      <c r="IU17" s="47"/>
      <c r="IV17" s="47"/>
      <c r="IW17" s="47"/>
      <c r="IX17" s="47"/>
      <c r="IY17" s="47"/>
      <c r="IZ17" s="47"/>
      <c r="JA17" s="47"/>
      <c r="JB17" s="47"/>
      <c r="JC17" s="47"/>
      <c r="JD17" s="47"/>
      <c r="JE17" s="47"/>
      <c r="JF17" s="47"/>
      <c r="JG17" s="47"/>
      <c r="JH17" s="47"/>
      <c r="JI17" s="47"/>
      <c r="JJ17" s="47"/>
      <c r="JK17" s="47"/>
      <c r="JL17" s="47"/>
      <c r="JM17" s="47"/>
      <c r="JN17" s="47"/>
      <c r="JO17" s="47"/>
      <c r="JP17" s="47"/>
      <c r="JQ17" s="47"/>
      <c r="JR17" s="47"/>
      <c r="JS17" s="47"/>
      <c r="JT17" s="47"/>
      <c r="JU17" s="47"/>
      <c r="JV17" s="47"/>
      <c r="JW17" s="47"/>
      <c r="JX17" s="47"/>
      <c r="JY17" s="47"/>
      <c r="JZ17" s="47"/>
      <c r="KA17" s="47"/>
      <c r="KB17" s="47"/>
      <c r="KC17" s="47"/>
      <c r="KD17" s="47"/>
      <c r="KE17" s="47"/>
      <c r="KF17" s="47"/>
      <c r="KG17" s="47"/>
      <c r="KH17" s="47"/>
      <c r="KI17" s="47"/>
      <c r="KJ17" s="47"/>
      <c r="KK17" s="47"/>
      <c r="KL17" s="47"/>
      <c r="KM17" s="47"/>
      <c r="KN17" s="47"/>
      <c r="KO17" s="47"/>
      <c r="KP17" s="47"/>
      <c r="KQ17" s="47"/>
      <c r="KR17" s="47"/>
      <c r="KS17" s="47"/>
      <c r="KT17" s="47"/>
      <c r="KU17" s="47"/>
      <c r="KV17" s="47"/>
      <c r="KW17" s="47"/>
      <c r="KX17" s="47"/>
      <c r="KY17" s="47"/>
      <c r="KZ17" s="47"/>
      <c r="LA17" s="47"/>
      <c r="LB17" s="47"/>
      <c r="LC17" s="47"/>
      <c r="LD17" s="47"/>
      <c r="LE17" s="47"/>
      <c r="LF17" s="47"/>
      <c r="LG17" s="47"/>
      <c r="LH17" s="47"/>
      <c r="LI17" s="47"/>
      <c r="LJ17" s="47"/>
      <c r="LK17" s="47"/>
      <c r="LL17" s="47"/>
      <c r="LM17" s="47"/>
      <c r="LN17" s="47"/>
      <c r="LO17" s="47"/>
      <c r="LP17" s="47"/>
      <c r="LQ17" s="47"/>
      <c r="LR17" s="47"/>
      <c r="LS17" s="47"/>
      <c r="LT17" s="47"/>
      <c r="LU17" s="47"/>
      <c r="LV17" s="47"/>
      <c r="LW17" s="47"/>
      <c r="LX17" s="47"/>
      <c r="LY17" s="47"/>
      <c r="LZ17" s="47"/>
      <c r="MA17" s="47"/>
      <c r="MB17" s="47"/>
      <c r="MC17" s="47"/>
      <c r="MD17" s="47"/>
      <c r="ME17" s="47"/>
      <c r="MF17" s="47"/>
      <c r="MG17" s="47"/>
      <c r="MH17" s="47"/>
      <c r="MI17" s="47"/>
      <c r="MJ17" s="47"/>
      <c r="MK17" s="47"/>
      <c r="ML17" s="47"/>
      <c r="MM17" s="47"/>
      <c r="MN17" s="47"/>
      <c r="MO17" s="47"/>
      <c r="MP17" s="47"/>
      <c r="MQ17" s="47"/>
      <c r="MR17" s="47"/>
      <c r="MS17" s="47"/>
      <c r="MT17" s="47"/>
      <c r="MU17" s="47"/>
      <c r="MV17" s="47"/>
      <c r="MW17" s="47"/>
      <c r="MX17" s="47"/>
      <c r="MY17" s="47"/>
      <c r="MZ17" s="47"/>
      <c r="NA17" s="47"/>
      <c r="NB17" s="47"/>
      <c r="NC17" s="47"/>
      <c r="ND17" s="47"/>
      <c r="NE17" s="47"/>
      <c r="NF17" s="47"/>
      <c r="NG17" s="47"/>
      <c r="NH17" s="47"/>
      <c r="NI17" s="47"/>
      <c r="NJ17" s="47"/>
      <c r="NK17" s="47"/>
      <c r="NL17" s="47"/>
      <c r="NM17" s="47"/>
      <c r="NN17" s="47"/>
      <c r="NO17" s="47"/>
      <c r="NP17" s="47"/>
      <c r="NQ17" s="47"/>
      <c r="NR17" s="47"/>
      <c r="NS17" s="47"/>
      <c r="NT17" s="47"/>
      <c r="NU17" s="47"/>
      <c r="NV17" s="47"/>
      <c r="NW17" s="47"/>
      <c r="NX17" s="47"/>
      <c r="NY17" s="47"/>
      <c r="NZ17" s="47"/>
      <c r="OA17" s="47"/>
      <c r="OB17" s="47"/>
      <c r="OC17" s="47"/>
      <c r="OD17" s="47"/>
      <c r="OE17" s="48"/>
    </row>
    <row r="18" spans="1:395">
      <c r="A18" s="33" t="str">
        <f t="shared" si="16"/>
        <v/>
      </c>
      <c r="C18" s="2" t="str">
        <f>IF(ISBLANK($B18),"",_xlfn.XLOOKUP($B18,Task_No,Project!$C$3:$C$144,"INVALID TASK"))</f>
        <v/>
      </c>
      <c r="D18" s="27"/>
      <c r="F18" s="7" t="str">
        <f t="shared" si="17"/>
        <v/>
      </c>
      <c r="G18" s="34"/>
      <c r="H18" s="34" t="str" cm="1">
        <f t="array" ref="H18">IF($C18="","",SUMPRODUCT((TEXT($AE$5:$OE$5, "mmm")=LOWER(G$3))*$AE18:$OE18))</f>
        <v/>
      </c>
      <c r="I18" s="34"/>
      <c r="J18" s="34" t="str" cm="1">
        <f t="array" ref="J18">IF($C18="","",SUMPRODUCT((TEXT($AE$5:$OE$5, "mmm")=LOWER(I$3))*$AE18:$OE18))</f>
        <v/>
      </c>
      <c r="K18" s="34"/>
      <c r="L18" s="34" t="str" cm="1">
        <f t="array" ref="L18">IF($C18="","",SUMPRODUCT((TEXT($AE$5:$OE$5, "mmm")=LOWER(K$3))*$AE18:$OE18))</f>
        <v/>
      </c>
      <c r="M18" s="34"/>
      <c r="N18" s="34" t="str" cm="1">
        <f t="array" ref="N18">IF($C18="","",SUMPRODUCT((TEXT($AE$5:$OE$5, "mmm")=LOWER(M$3))*$AE18:$OE18))</f>
        <v/>
      </c>
      <c r="O18" s="34"/>
      <c r="P18" s="34" t="str" cm="1">
        <f t="array" ref="P18">IF($C18="","",SUMPRODUCT((TEXT($AE$5:$OE$5, "mmm")=LOWER(O$3))*$AE18:$OE18))</f>
        <v/>
      </c>
      <c r="Q18" s="34"/>
      <c r="R18" s="34" t="str" cm="1">
        <f t="array" ref="R18">IF($C18="","",SUMPRODUCT((TEXT($AE$5:$OE$5, "mmm")=LOWER(Q$3))*$AE18:$OE18))</f>
        <v/>
      </c>
      <c r="S18" s="34"/>
      <c r="T18" s="34" t="str" cm="1">
        <f t="array" ref="T18">IF($C18="","",SUMPRODUCT((TEXT($AE$5:$OE$5, "mmm")=LOWER(S$3))*$AE18:$OE18))</f>
        <v/>
      </c>
      <c r="U18" s="34"/>
      <c r="V18" s="34" t="str" cm="1">
        <f t="array" ref="V18">IF($C18="","",SUMPRODUCT((TEXT($AE$5:$OE$5, "mmm")=LOWER(U$3))*$AE18:$OE18))</f>
        <v/>
      </c>
      <c r="W18" s="34"/>
      <c r="X18" s="34" t="str" cm="1">
        <f t="array" ref="X18">IF($C18="","",SUMPRODUCT((TEXT($AE$5:$OE$5, "mmm")=LOWER(W$3))*$AE18:$OE18))</f>
        <v/>
      </c>
      <c r="Y18" s="34"/>
      <c r="Z18" s="34" t="str" cm="1">
        <f t="array" ref="Z18">IF($C18="","",SUMPRODUCT((TEXT($AE$5:$OE$5, "mmm")=LOWER(Y$3))*$AE18:$OE18))</f>
        <v/>
      </c>
      <c r="AA18" s="34"/>
      <c r="AB18" s="34" t="str" cm="1">
        <f t="array" ref="AB18">IF($C18="","",SUMPRODUCT((TEXT($AE$5:$OE$5, "mmm")=LOWER(AA$3))*$AE18:$OE18))</f>
        <v/>
      </c>
      <c r="AC18" s="34"/>
      <c r="AD18" s="34" t="str" cm="1">
        <f t="array" ref="AD18">IF($C18="","",SUMPRODUCT((TEXT($AE$5:$OE$5, "mmm")=LOWER(AC$3))*$AE18:$OE18))</f>
        <v/>
      </c>
      <c r="AE18" s="47"/>
      <c r="AF18" s="47"/>
      <c r="AG18" s="47"/>
      <c r="AH18" s="47"/>
      <c r="AI18" s="47"/>
      <c r="AJ18" s="47"/>
      <c r="AK18" s="47"/>
      <c r="AL18" s="47"/>
      <c r="AM18" s="47"/>
      <c r="AN18" s="47"/>
      <c r="AO18" s="47"/>
      <c r="AP18" s="47"/>
      <c r="AQ18" s="47"/>
      <c r="AR18" s="47"/>
      <c r="AS18" s="47"/>
      <c r="AT18" s="47"/>
      <c r="AU18" s="47"/>
      <c r="AV18" s="47"/>
      <c r="AW18" s="47"/>
      <c r="AX18" s="47"/>
      <c r="AY18" s="47"/>
      <c r="AZ18" s="47"/>
      <c r="BA18" s="47"/>
      <c r="BB18" s="47"/>
      <c r="BC18" s="47"/>
      <c r="BD18" s="47"/>
      <c r="BE18" s="47"/>
      <c r="BF18" s="47"/>
      <c r="BG18" s="47"/>
      <c r="BH18" s="47"/>
      <c r="BI18" s="47"/>
      <c r="BJ18" s="47"/>
      <c r="BK18" s="47"/>
      <c r="BL18" s="47"/>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47"/>
      <c r="CR18" s="47"/>
      <c r="CS18" s="47"/>
      <c r="CT18" s="47"/>
      <c r="CU18" s="47"/>
      <c r="CV18" s="47"/>
      <c r="CW18" s="47"/>
      <c r="CX18" s="47"/>
      <c r="CY18" s="47"/>
      <c r="CZ18" s="47"/>
      <c r="DA18" s="47"/>
      <c r="DB18" s="47"/>
      <c r="DC18" s="47"/>
      <c r="DD18" s="47"/>
      <c r="DE18" s="47"/>
      <c r="DF18" s="47"/>
      <c r="DG18" s="47"/>
      <c r="DH18" s="47"/>
      <c r="DI18" s="47"/>
      <c r="DJ18" s="47"/>
      <c r="DK18" s="47"/>
      <c r="DL18" s="47"/>
      <c r="DM18" s="47"/>
      <c r="DN18" s="47"/>
      <c r="DO18" s="47"/>
      <c r="DP18" s="47"/>
      <c r="DQ18" s="47"/>
      <c r="DR18" s="47"/>
      <c r="DS18" s="47"/>
      <c r="DT18" s="47"/>
      <c r="DU18" s="47"/>
      <c r="DV18" s="47"/>
      <c r="DW18" s="47"/>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47"/>
      <c r="FB18" s="47"/>
      <c r="FC18" s="47"/>
      <c r="FD18" s="47"/>
      <c r="FE18" s="47"/>
      <c r="FF18" s="47"/>
      <c r="FG18" s="47"/>
      <c r="FH18" s="47"/>
      <c r="FI18" s="47"/>
      <c r="FJ18" s="47"/>
      <c r="FK18" s="47"/>
      <c r="FL18" s="47"/>
      <c r="FM18" s="47"/>
      <c r="FN18" s="47"/>
      <c r="FO18" s="47"/>
      <c r="FP18" s="47"/>
      <c r="FQ18" s="47"/>
      <c r="FR18" s="47"/>
      <c r="FS18" s="47"/>
      <c r="FT18" s="47"/>
      <c r="FU18" s="47"/>
      <c r="FV18" s="47"/>
      <c r="FW18" s="47"/>
      <c r="FX18" s="47"/>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HZ18" s="47"/>
      <c r="IA18" s="47"/>
      <c r="IB18" s="47"/>
      <c r="IC18" s="47"/>
      <c r="ID18" s="47"/>
      <c r="IE18" s="47"/>
      <c r="IF18" s="47"/>
      <c r="IG18" s="47"/>
      <c r="IH18" s="47"/>
      <c r="II18" s="47"/>
      <c r="IJ18" s="47"/>
      <c r="IK18" s="47"/>
      <c r="IL18" s="47"/>
      <c r="IM18" s="47"/>
      <c r="IN18" s="47"/>
      <c r="IO18" s="47"/>
      <c r="IP18" s="47"/>
      <c r="IQ18" s="47"/>
      <c r="IR18" s="47"/>
      <c r="IS18" s="47"/>
      <c r="IT18" s="47"/>
      <c r="IU18" s="47"/>
      <c r="IV18" s="47"/>
      <c r="IW18" s="47"/>
      <c r="IX18" s="47"/>
      <c r="IY18" s="47"/>
      <c r="IZ18" s="47"/>
      <c r="JA18" s="47"/>
      <c r="JB18" s="47"/>
      <c r="JC18" s="47"/>
      <c r="JD18" s="47"/>
      <c r="JE18" s="47"/>
      <c r="JF18" s="47"/>
      <c r="JG18" s="47"/>
      <c r="JH18" s="47"/>
      <c r="JI18" s="47"/>
      <c r="JJ18" s="47"/>
      <c r="JK18" s="47"/>
      <c r="JL18" s="47"/>
      <c r="JM18" s="47"/>
      <c r="JN18" s="47"/>
      <c r="JO18" s="47"/>
      <c r="JP18" s="47"/>
      <c r="JQ18" s="47"/>
      <c r="JR18" s="47"/>
      <c r="JS18" s="47"/>
      <c r="JT18" s="47"/>
      <c r="JU18" s="47"/>
      <c r="JV18" s="47"/>
      <c r="JW18" s="47"/>
      <c r="JX18" s="47"/>
      <c r="JY18" s="47"/>
      <c r="JZ18" s="47"/>
      <c r="KA18" s="47"/>
      <c r="KB18" s="47"/>
      <c r="KC18" s="47"/>
      <c r="KD18" s="47"/>
      <c r="KE18" s="47"/>
      <c r="KF18" s="47"/>
      <c r="KG18" s="47"/>
      <c r="KH18" s="47"/>
      <c r="KI18" s="47"/>
      <c r="KJ18" s="47"/>
      <c r="KK18" s="47"/>
      <c r="KL18" s="47"/>
      <c r="KM18" s="47"/>
      <c r="KN18" s="47"/>
      <c r="KO18" s="47"/>
      <c r="KP18" s="47"/>
      <c r="KQ18" s="47"/>
      <c r="KR18" s="47"/>
      <c r="KS18" s="47"/>
      <c r="KT18" s="47"/>
      <c r="KU18" s="47"/>
      <c r="KV18" s="47"/>
      <c r="KW18" s="47"/>
      <c r="KX18" s="47"/>
      <c r="KY18" s="47"/>
      <c r="KZ18" s="47"/>
      <c r="LA18" s="47"/>
      <c r="LB18" s="47"/>
      <c r="LC18" s="47"/>
      <c r="LD18" s="47"/>
      <c r="LE18" s="47"/>
      <c r="LF18" s="47"/>
      <c r="LG18" s="47"/>
      <c r="LH18" s="47"/>
      <c r="LI18" s="47"/>
      <c r="LJ18" s="47"/>
      <c r="LK18" s="47"/>
      <c r="LL18" s="47"/>
      <c r="LM18" s="47"/>
      <c r="LN18" s="47"/>
      <c r="LO18" s="47"/>
      <c r="LP18" s="47"/>
      <c r="LQ18" s="47"/>
      <c r="LR18" s="47"/>
      <c r="LS18" s="47"/>
      <c r="LT18" s="47"/>
      <c r="LU18" s="47"/>
      <c r="LV18" s="47"/>
      <c r="LW18" s="47"/>
      <c r="LX18" s="47"/>
      <c r="LY18" s="47"/>
      <c r="LZ18" s="47"/>
      <c r="MA18" s="47"/>
      <c r="MB18" s="47"/>
      <c r="MC18" s="47"/>
      <c r="MD18" s="47"/>
      <c r="ME18" s="47"/>
      <c r="MF18" s="47"/>
      <c r="MG18" s="47"/>
      <c r="MH18" s="47"/>
      <c r="MI18" s="47"/>
      <c r="MJ18" s="47"/>
      <c r="MK18" s="47"/>
      <c r="ML18" s="47"/>
      <c r="MM18" s="47"/>
      <c r="MN18" s="47"/>
      <c r="MO18" s="47"/>
      <c r="MP18" s="47"/>
      <c r="MQ18" s="47"/>
      <c r="MR18" s="47"/>
      <c r="MS18" s="47"/>
      <c r="MT18" s="47"/>
      <c r="MU18" s="47"/>
      <c r="MV18" s="47"/>
      <c r="MW18" s="47"/>
      <c r="MX18" s="47"/>
      <c r="MY18" s="47"/>
      <c r="MZ18" s="47"/>
      <c r="NA18" s="47"/>
      <c r="NB18" s="47"/>
      <c r="NC18" s="47"/>
      <c r="ND18" s="47"/>
      <c r="NE18" s="47"/>
      <c r="NF18" s="47"/>
      <c r="NG18" s="47"/>
      <c r="NH18" s="47"/>
      <c r="NI18" s="47"/>
      <c r="NJ18" s="47"/>
      <c r="NK18" s="47"/>
      <c r="NL18" s="47"/>
      <c r="NM18" s="47"/>
      <c r="NN18" s="47"/>
      <c r="NO18" s="47"/>
      <c r="NP18" s="47"/>
      <c r="NQ18" s="47"/>
      <c r="NR18" s="47"/>
      <c r="NS18" s="47"/>
      <c r="NT18" s="47"/>
      <c r="NU18" s="47"/>
      <c r="NV18" s="47"/>
      <c r="NW18" s="47"/>
      <c r="NX18" s="47"/>
      <c r="NY18" s="47"/>
      <c r="NZ18" s="47"/>
      <c r="OA18" s="47"/>
      <c r="OB18" s="47"/>
      <c r="OC18" s="47"/>
      <c r="OD18" s="47"/>
      <c r="OE18" s="48"/>
    </row>
    <row r="19" spans="1:395">
      <c r="A19" s="33" t="str">
        <f t="shared" si="16"/>
        <v/>
      </c>
      <c r="C19" s="2" t="str">
        <f>IF(ISBLANK($B19),"",_xlfn.XLOOKUP($B19,Task_No,Project!$C$3:$C$144,"INVALID TASK"))</f>
        <v/>
      </c>
      <c r="D19" s="27"/>
      <c r="F19" s="7" t="str">
        <f t="shared" si="17"/>
        <v/>
      </c>
      <c r="G19" s="34"/>
      <c r="H19" s="34" t="str" cm="1">
        <f t="array" ref="H19">IF($C19="","",SUMPRODUCT((TEXT($AE$5:$OE$5, "mmm")=LOWER(G$3))*$AE19:$OE19))</f>
        <v/>
      </c>
      <c r="I19" s="34"/>
      <c r="J19" s="34" t="str" cm="1">
        <f t="array" ref="J19">IF($C19="","",SUMPRODUCT((TEXT($AE$5:$OE$5, "mmm")=LOWER(I$3))*$AE19:$OE19))</f>
        <v/>
      </c>
      <c r="K19" s="34"/>
      <c r="L19" s="34" t="str" cm="1">
        <f t="array" ref="L19">IF($C19="","",SUMPRODUCT((TEXT($AE$5:$OE$5, "mmm")=LOWER(K$3))*$AE19:$OE19))</f>
        <v/>
      </c>
      <c r="M19" s="34"/>
      <c r="N19" s="34" t="str" cm="1">
        <f t="array" ref="N19">IF($C19="","",SUMPRODUCT((TEXT($AE$5:$OE$5, "mmm")=LOWER(M$3))*$AE19:$OE19))</f>
        <v/>
      </c>
      <c r="O19" s="34"/>
      <c r="P19" s="34" t="str" cm="1">
        <f t="array" ref="P19">IF($C19="","",SUMPRODUCT((TEXT($AE$5:$OE$5, "mmm")=LOWER(O$3))*$AE19:$OE19))</f>
        <v/>
      </c>
      <c r="Q19" s="34"/>
      <c r="R19" s="34" t="str" cm="1">
        <f t="array" ref="R19">IF($C19="","",SUMPRODUCT((TEXT($AE$5:$OE$5, "mmm")=LOWER(Q$3))*$AE19:$OE19))</f>
        <v/>
      </c>
      <c r="S19" s="34"/>
      <c r="T19" s="34" t="str" cm="1">
        <f t="array" ref="T19">IF($C19="","",SUMPRODUCT((TEXT($AE$5:$OE$5, "mmm")=LOWER(S$3))*$AE19:$OE19))</f>
        <v/>
      </c>
      <c r="U19" s="34"/>
      <c r="V19" s="34" t="str" cm="1">
        <f t="array" ref="V19">IF($C19="","",SUMPRODUCT((TEXT($AE$5:$OE$5, "mmm")=LOWER(U$3))*$AE19:$OE19))</f>
        <v/>
      </c>
      <c r="W19" s="34"/>
      <c r="X19" s="34" t="str" cm="1">
        <f t="array" ref="X19">IF($C19="","",SUMPRODUCT((TEXT($AE$5:$OE$5, "mmm")=LOWER(W$3))*$AE19:$OE19))</f>
        <v/>
      </c>
      <c r="Y19" s="34"/>
      <c r="Z19" s="34" t="str" cm="1">
        <f t="array" ref="Z19">IF($C19="","",SUMPRODUCT((TEXT($AE$5:$OE$5, "mmm")=LOWER(Y$3))*$AE19:$OE19))</f>
        <v/>
      </c>
      <c r="AA19" s="34"/>
      <c r="AB19" s="34" t="str" cm="1">
        <f t="array" ref="AB19">IF($C19="","",SUMPRODUCT((TEXT($AE$5:$OE$5, "mmm")=LOWER(AA$3))*$AE19:$OE19))</f>
        <v/>
      </c>
      <c r="AC19" s="34"/>
      <c r="AD19" s="34" t="str" cm="1">
        <f t="array" ref="AD19">IF($C19="","",SUMPRODUCT((TEXT($AE$5:$OE$5, "mmm")=LOWER(AC$3))*$AE19:$OE19))</f>
        <v/>
      </c>
      <c r="AE19" s="47"/>
      <c r="AF19" s="47"/>
      <c r="AG19" s="47"/>
      <c r="AH19" s="47"/>
      <c r="AI19" s="47"/>
      <c r="AJ19" s="47"/>
      <c r="AK19" s="47"/>
      <c r="AL19" s="47"/>
      <c r="AM19" s="47"/>
      <c r="AN19" s="47"/>
      <c r="AO19" s="47"/>
      <c r="AP19" s="47"/>
      <c r="AQ19" s="47"/>
      <c r="AR19" s="47"/>
      <c r="AS19" s="47"/>
      <c r="AT19" s="47"/>
      <c r="AU19" s="47"/>
      <c r="AV19" s="47"/>
      <c r="AW19" s="47"/>
      <c r="AX19" s="47"/>
      <c r="AY19" s="47"/>
      <c r="AZ19" s="47"/>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47"/>
      <c r="CR19" s="47"/>
      <c r="CS19" s="47"/>
      <c r="CT19" s="47"/>
      <c r="CU19" s="47"/>
      <c r="CV19" s="47"/>
      <c r="CW19" s="47"/>
      <c r="CX19" s="47"/>
      <c r="CY19" s="47"/>
      <c r="CZ19" s="47"/>
      <c r="DA19" s="47"/>
      <c r="DB19" s="47"/>
      <c r="DC19" s="47"/>
      <c r="DD19" s="47"/>
      <c r="DE19" s="47"/>
      <c r="DF19" s="47"/>
      <c r="DG19" s="47"/>
      <c r="DH19" s="47"/>
      <c r="DI19" s="47"/>
      <c r="DJ19" s="47"/>
      <c r="DK19" s="47"/>
      <c r="DL19" s="47"/>
      <c r="DM19" s="47"/>
      <c r="DN19" s="47"/>
      <c r="DO19" s="47"/>
      <c r="DP19" s="47"/>
      <c r="DQ19" s="47"/>
      <c r="DR19" s="47"/>
      <c r="DS19" s="47"/>
      <c r="DT19" s="47"/>
      <c r="DU19" s="47"/>
      <c r="DV19" s="47"/>
      <c r="DW19" s="47"/>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47"/>
      <c r="FB19" s="47"/>
      <c r="FC19" s="47"/>
      <c r="FD19" s="47"/>
      <c r="FE19" s="47"/>
      <c r="FF19" s="47"/>
      <c r="FG19" s="47"/>
      <c r="FH19" s="47"/>
      <c r="FI19" s="47"/>
      <c r="FJ19" s="47"/>
      <c r="FK19" s="47"/>
      <c r="FL19" s="47"/>
      <c r="FM19" s="47"/>
      <c r="FN19" s="47"/>
      <c r="FO19" s="47"/>
      <c r="FP19" s="47"/>
      <c r="FQ19" s="47"/>
      <c r="FR19" s="47"/>
      <c r="FS19" s="47"/>
      <c r="FT19" s="47"/>
      <c r="FU19" s="47"/>
      <c r="FV19" s="47"/>
      <c r="FW19" s="47"/>
      <c r="FX19" s="47"/>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HZ19" s="47"/>
      <c r="IA19" s="47"/>
      <c r="IB19" s="47"/>
      <c r="IC19" s="47"/>
      <c r="ID19" s="47"/>
      <c r="IE19" s="47"/>
      <c r="IF19" s="47"/>
      <c r="IG19" s="47"/>
      <c r="IH19" s="47"/>
      <c r="II19" s="47"/>
      <c r="IJ19" s="47"/>
      <c r="IK19" s="47"/>
      <c r="IL19" s="47"/>
      <c r="IM19" s="47"/>
      <c r="IN19" s="47"/>
      <c r="IO19" s="47"/>
      <c r="IP19" s="47"/>
      <c r="IQ19" s="47"/>
      <c r="IR19" s="47"/>
      <c r="IS19" s="47"/>
      <c r="IT19" s="47"/>
      <c r="IU19" s="47"/>
      <c r="IV19" s="47"/>
      <c r="IW19" s="47"/>
      <c r="IX19" s="47"/>
      <c r="IY19" s="47"/>
      <c r="IZ19" s="47"/>
      <c r="JA19" s="47"/>
      <c r="JB19" s="47"/>
      <c r="JC19" s="47"/>
      <c r="JD19" s="47"/>
      <c r="JE19" s="47"/>
      <c r="JF19" s="47"/>
      <c r="JG19" s="47"/>
      <c r="JH19" s="47"/>
      <c r="JI19" s="47"/>
      <c r="JJ19" s="47"/>
      <c r="JK19" s="47"/>
      <c r="JL19" s="47"/>
      <c r="JM19" s="47"/>
      <c r="JN19" s="47"/>
      <c r="JO19" s="47"/>
      <c r="JP19" s="47"/>
      <c r="JQ19" s="47"/>
      <c r="JR19" s="47"/>
      <c r="JS19" s="47"/>
      <c r="JT19" s="47"/>
      <c r="JU19" s="47"/>
      <c r="JV19" s="47"/>
      <c r="JW19" s="47"/>
      <c r="JX19" s="47"/>
      <c r="JY19" s="47"/>
      <c r="JZ19" s="47"/>
      <c r="KA19" s="47"/>
      <c r="KB19" s="47"/>
      <c r="KC19" s="47"/>
      <c r="KD19" s="47"/>
      <c r="KE19" s="47"/>
      <c r="KF19" s="47"/>
      <c r="KG19" s="47"/>
      <c r="KH19" s="47"/>
      <c r="KI19" s="47"/>
      <c r="KJ19" s="47"/>
      <c r="KK19" s="47"/>
      <c r="KL19" s="47"/>
      <c r="KM19" s="47"/>
      <c r="KN19" s="47"/>
      <c r="KO19" s="47"/>
      <c r="KP19" s="47"/>
      <c r="KQ19" s="47"/>
      <c r="KR19" s="47"/>
      <c r="KS19" s="47"/>
      <c r="KT19" s="47"/>
      <c r="KU19" s="47"/>
      <c r="KV19" s="47"/>
      <c r="KW19" s="47"/>
      <c r="KX19" s="47"/>
      <c r="KY19" s="47"/>
      <c r="KZ19" s="47"/>
      <c r="LA19" s="47"/>
      <c r="LB19" s="47"/>
      <c r="LC19" s="47"/>
      <c r="LD19" s="47"/>
      <c r="LE19" s="47"/>
      <c r="LF19" s="47"/>
      <c r="LG19" s="47"/>
      <c r="LH19" s="47"/>
      <c r="LI19" s="47"/>
      <c r="LJ19" s="47"/>
      <c r="LK19" s="47"/>
      <c r="LL19" s="47"/>
      <c r="LM19" s="47"/>
      <c r="LN19" s="47"/>
      <c r="LO19" s="47"/>
      <c r="LP19" s="47"/>
      <c r="LQ19" s="47"/>
      <c r="LR19" s="47"/>
      <c r="LS19" s="47"/>
      <c r="LT19" s="47"/>
      <c r="LU19" s="47"/>
      <c r="LV19" s="47"/>
      <c r="LW19" s="47"/>
      <c r="LX19" s="47"/>
      <c r="LY19" s="47"/>
      <c r="LZ19" s="47"/>
      <c r="MA19" s="47"/>
      <c r="MB19" s="47"/>
      <c r="MC19" s="47"/>
      <c r="MD19" s="47"/>
      <c r="ME19" s="47"/>
      <c r="MF19" s="47"/>
      <c r="MG19" s="47"/>
      <c r="MH19" s="47"/>
      <c r="MI19" s="47"/>
      <c r="MJ19" s="47"/>
      <c r="MK19" s="47"/>
      <c r="ML19" s="47"/>
      <c r="MM19" s="47"/>
      <c r="MN19" s="47"/>
      <c r="MO19" s="47"/>
      <c r="MP19" s="47"/>
      <c r="MQ19" s="47"/>
      <c r="MR19" s="47"/>
      <c r="MS19" s="47"/>
      <c r="MT19" s="47"/>
      <c r="MU19" s="47"/>
      <c r="MV19" s="47"/>
      <c r="MW19" s="47"/>
      <c r="MX19" s="47"/>
      <c r="MY19" s="47"/>
      <c r="MZ19" s="47"/>
      <c r="NA19" s="47"/>
      <c r="NB19" s="47"/>
      <c r="NC19" s="47"/>
      <c r="ND19" s="47"/>
      <c r="NE19" s="47"/>
      <c r="NF19" s="47"/>
      <c r="NG19" s="47"/>
      <c r="NH19" s="47"/>
      <c r="NI19" s="47"/>
      <c r="NJ19" s="47"/>
      <c r="NK19" s="47"/>
      <c r="NL19" s="47"/>
      <c r="NM19" s="47"/>
      <c r="NN19" s="47"/>
      <c r="NO19" s="47"/>
      <c r="NP19" s="47"/>
      <c r="NQ19" s="47"/>
      <c r="NR19" s="47"/>
      <c r="NS19" s="47"/>
      <c r="NT19" s="47"/>
      <c r="NU19" s="47"/>
      <c r="NV19" s="47"/>
      <c r="NW19" s="47"/>
      <c r="NX19" s="47"/>
      <c r="NY19" s="47"/>
      <c r="NZ19" s="47"/>
      <c r="OA19" s="47"/>
      <c r="OB19" s="47"/>
      <c r="OC19" s="47"/>
      <c r="OD19" s="47"/>
      <c r="OE19" s="48"/>
    </row>
    <row r="20" spans="1:395">
      <c r="A20" s="33" t="str">
        <f t="shared" si="16"/>
        <v/>
      </c>
      <c r="C20" s="2" t="str">
        <f>IF(ISBLANK($B20),"",_xlfn.XLOOKUP($B20,Task_No,Project!$C$3:$C$144,"INVALID TASK"))</f>
        <v/>
      </c>
      <c r="D20" s="27"/>
      <c r="E20" s="7" t="str">
        <f t="shared" ref="E20:E80" si="18">IF(C20="","",SUM($G20,$I20,$K20,$M20,$O20,$Q20,$S20,$U20,$W20,$Y20,$AA20,$AC20))</f>
        <v/>
      </c>
      <c r="F20" s="7" t="str">
        <f t="shared" si="17"/>
        <v/>
      </c>
      <c r="G20" s="34"/>
      <c r="H20" s="34" t="str" cm="1">
        <f t="array" ref="H20">IF($C20="","",SUMPRODUCT((TEXT($AE$5:$OE$5, "mmm")=LOWER(G$3))*$AE20:$OE20))</f>
        <v/>
      </c>
      <c r="I20" s="34"/>
      <c r="J20" s="34" t="str" cm="1">
        <f t="array" ref="J20">IF($C20="","",SUMPRODUCT((TEXT($AE$5:$OE$5, "mmm")=LOWER(I$3))*$AE20:$OE20))</f>
        <v/>
      </c>
      <c r="K20" s="34"/>
      <c r="L20" s="34" t="str" cm="1">
        <f t="array" ref="L20">IF($C20="","",SUMPRODUCT((TEXT($AE$5:$OE$5, "mmm")=LOWER(K$3))*$AE20:$OE20))</f>
        <v/>
      </c>
      <c r="M20" s="34"/>
      <c r="N20" s="34" t="str" cm="1">
        <f t="array" ref="N20">IF($C20="","",SUMPRODUCT((TEXT($AE$5:$OE$5, "mmm")=LOWER(M$3))*$AE20:$OE20))</f>
        <v/>
      </c>
      <c r="O20" s="34"/>
      <c r="P20" s="34" t="str" cm="1">
        <f t="array" ref="P20">IF($C20="","",SUMPRODUCT((TEXT($AE$5:$OE$5, "mmm")=LOWER(O$3))*$AE20:$OE20))</f>
        <v/>
      </c>
      <c r="Q20" s="34"/>
      <c r="R20" s="34" t="str" cm="1">
        <f t="array" ref="R20">IF($C20="","",SUMPRODUCT((TEXT($AE$5:$OE$5, "mmm")=LOWER(Q$3))*$AE20:$OE20))</f>
        <v/>
      </c>
      <c r="S20" s="34"/>
      <c r="T20" s="34" t="str" cm="1">
        <f t="array" ref="T20">IF($C20="","",SUMPRODUCT((TEXT($AE$5:$OE$5, "mmm")=LOWER(S$3))*$AE20:$OE20))</f>
        <v/>
      </c>
      <c r="U20" s="34"/>
      <c r="V20" s="34" t="str" cm="1">
        <f t="array" ref="V20">IF($C20="","",SUMPRODUCT((TEXT($AE$5:$OE$5, "mmm")=LOWER(U$3))*$AE20:$OE20))</f>
        <v/>
      </c>
      <c r="W20" s="34"/>
      <c r="X20" s="34" t="str" cm="1">
        <f t="array" ref="X20">IF($C20="","",SUMPRODUCT((TEXT($AE$5:$OE$5, "mmm")=LOWER(W$3))*$AE20:$OE20))</f>
        <v/>
      </c>
      <c r="Y20" s="34"/>
      <c r="Z20" s="34" t="str" cm="1">
        <f t="array" ref="Z20">IF($C20="","",SUMPRODUCT((TEXT($AE$5:$OE$5, "mmm")=LOWER(Y$3))*$AE20:$OE20))</f>
        <v/>
      </c>
      <c r="AA20" s="34"/>
      <c r="AB20" s="34" t="str" cm="1">
        <f t="array" ref="AB20">IF($C20="","",SUMPRODUCT((TEXT($AE$5:$OE$5, "mmm")=LOWER(AA$3))*$AE20:$OE20))</f>
        <v/>
      </c>
      <c r="AC20" s="34"/>
      <c r="AD20" s="34" t="str" cm="1">
        <f t="array" ref="AD20">IF($C20="","",SUMPRODUCT((TEXT($AE$5:$OE$5, "mmm")=LOWER(AC$3))*$AE20:$OE20))</f>
        <v/>
      </c>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47"/>
      <c r="CR20" s="47"/>
      <c r="CS20" s="47"/>
      <c r="CT20" s="47"/>
      <c r="CU20" s="47"/>
      <c r="CV20" s="47"/>
      <c r="CW20" s="47"/>
      <c r="CX20" s="47"/>
      <c r="CY20" s="47"/>
      <c r="CZ20" s="47"/>
      <c r="DA20" s="47"/>
      <c r="DB20" s="47"/>
      <c r="DC20" s="47"/>
      <c r="DD20" s="47"/>
      <c r="DE20" s="47"/>
      <c r="DF20" s="47"/>
      <c r="DG20" s="47"/>
      <c r="DH20" s="47"/>
      <c r="DI20" s="47"/>
      <c r="DJ20" s="47"/>
      <c r="DK20" s="47"/>
      <c r="DL20" s="47"/>
      <c r="DM20" s="47"/>
      <c r="DN20" s="47"/>
      <c r="DO20" s="47"/>
      <c r="DP20" s="47"/>
      <c r="DQ20" s="47"/>
      <c r="DR20" s="47"/>
      <c r="DS20" s="47"/>
      <c r="DT20" s="47"/>
      <c r="DU20" s="47"/>
      <c r="DV20" s="47"/>
      <c r="DW20" s="47"/>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47"/>
      <c r="FB20" s="47"/>
      <c r="FC20" s="47"/>
      <c r="FD20" s="47"/>
      <c r="FE20" s="47"/>
      <c r="FF20" s="47"/>
      <c r="FG20" s="47"/>
      <c r="FH20" s="47"/>
      <c r="FI20" s="47"/>
      <c r="FJ20" s="47"/>
      <c r="FK20" s="47"/>
      <c r="FL20" s="47"/>
      <c r="FM20" s="47"/>
      <c r="FN20" s="47"/>
      <c r="FO20" s="47"/>
      <c r="FP20" s="47"/>
      <c r="FQ20" s="47"/>
      <c r="FR20" s="47"/>
      <c r="FS20" s="47"/>
      <c r="FT20" s="47"/>
      <c r="FU20" s="47"/>
      <c r="FV20" s="47"/>
      <c r="FW20" s="47"/>
      <c r="FX20" s="47"/>
      <c r="FY20" s="47"/>
      <c r="FZ20" s="47"/>
      <c r="GA20" s="47"/>
      <c r="GB20" s="47"/>
      <c r="GC20" s="47"/>
      <c r="GD20" s="47"/>
      <c r="GE20" s="47"/>
      <c r="GF20" s="47"/>
      <c r="GG20" s="47"/>
      <c r="GH20" s="47"/>
      <c r="GI20" s="47"/>
      <c r="GJ20" s="47"/>
      <c r="GK20" s="47"/>
      <c r="GL20" s="47"/>
      <c r="GM20" s="47"/>
      <c r="GN20" s="47"/>
      <c r="GO20" s="47"/>
      <c r="GP20" s="47"/>
      <c r="GQ20" s="47"/>
      <c r="GR20" s="47"/>
      <c r="GS20" s="47"/>
      <c r="GT20" s="47"/>
      <c r="GU20" s="47"/>
      <c r="GV20" s="47"/>
      <c r="GW20" s="47"/>
      <c r="GX20" s="47"/>
      <c r="GY20" s="47"/>
      <c r="GZ20" s="47"/>
      <c r="HA20" s="47"/>
      <c r="HB20" s="47"/>
      <c r="HC20" s="47"/>
      <c r="HD20" s="47"/>
      <c r="HE20" s="47"/>
      <c r="HF20" s="47"/>
      <c r="HG20" s="47"/>
      <c r="HH20" s="47"/>
      <c r="HI20" s="47"/>
      <c r="HJ20" s="47"/>
      <c r="HK20" s="47"/>
      <c r="HL20" s="47"/>
      <c r="HM20" s="47"/>
      <c r="HN20" s="47"/>
      <c r="HO20" s="47"/>
      <c r="HP20" s="47"/>
      <c r="HQ20" s="47"/>
      <c r="HR20" s="47"/>
      <c r="HS20" s="47"/>
      <c r="HT20" s="47"/>
      <c r="HU20" s="47"/>
      <c r="HV20" s="47"/>
      <c r="HW20" s="47"/>
      <c r="HX20" s="47"/>
      <c r="HY20" s="47"/>
      <c r="HZ20" s="47"/>
      <c r="IA20" s="47"/>
      <c r="IB20" s="47"/>
      <c r="IC20" s="47"/>
      <c r="ID20" s="47"/>
      <c r="IE20" s="47"/>
      <c r="IF20" s="47"/>
      <c r="IG20" s="47"/>
      <c r="IH20" s="47"/>
      <c r="II20" s="47"/>
      <c r="IJ20" s="47"/>
      <c r="IK20" s="47"/>
      <c r="IL20" s="47"/>
      <c r="IM20" s="47"/>
      <c r="IN20" s="47"/>
      <c r="IO20" s="47"/>
      <c r="IP20" s="47"/>
      <c r="IQ20" s="47"/>
      <c r="IR20" s="47"/>
      <c r="IS20" s="47"/>
      <c r="IT20" s="47"/>
      <c r="IU20" s="47"/>
      <c r="IV20" s="47"/>
      <c r="IW20" s="47"/>
      <c r="IX20" s="47"/>
      <c r="IY20" s="47"/>
      <c r="IZ20" s="47"/>
      <c r="JA20" s="47"/>
      <c r="JB20" s="47"/>
      <c r="JC20" s="47"/>
      <c r="JD20" s="47"/>
      <c r="JE20" s="47"/>
      <c r="JF20" s="47"/>
      <c r="JG20" s="47"/>
      <c r="JH20" s="47"/>
      <c r="JI20" s="47"/>
      <c r="JJ20" s="47"/>
      <c r="JK20" s="47"/>
      <c r="JL20" s="47"/>
      <c r="JM20" s="47"/>
      <c r="JN20" s="47"/>
      <c r="JO20" s="47"/>
      <c r="JP20" s="47"/>
      <c r="JQ20" s="47"/>
      <c r="JR20" s="47"/>
      <c r="JS20" s="47"/>
      <c r="JT20" s="47"/>
      <c r="JU20" s="47"/>
      <c r="JV20" s="47"/>
      <c r="JW20" s="47"/>
      <c r="JX20" s="47"/>
      <c r="JY20" s="47"/>
      <c r="JZ20" s="47"/>
      <c r="KA20" s="47"/>
      <c r="KB20" s="47"/>
      <c r="KC20" s="47"/>
      <c r="KD20" s="47"/>
      <c r="KE20" s="47"/>
      <c r="KF20" s="47"/>
      <c r="KG20" s="47"/>
      <c r="KH20" s="47"/>
      <c r="KI20" s="47"/>
      <c r="KJ20" s="47"/>
      <c r="KK20" s="47"/>
      <c r="KL20" s="47"/>
      <c r="KM20" s="47"/>
      <c r="KN20" s="47"/>
      <c r="KO20" s="47"/>
      <c r="KP20" s="47"/>
      <c r="KQ20" s="47"/>
      <c r="KR20" s="47"/>
      <c r="KS20" s="47"/>
      <c r="KT20" s="47"/>
      <c r="KU20" s="47"/>
      <c r="KV20" s="47"/>
      <c r="KW20" s="47"/>
      <c r="KX20" s="47"/>
      <c r="KY20" s="47"/>
      <c r="KZ20" s="47"/>
      <c r="LA20" s="47"/>
      <c r="LB20" s="47"/>
      <c r="LC20" s="47"/>
      <c r="LD20" s="47"/>
      <c r="LE20" s="47"/>
      <c r="LF20" s="47"/>
      <c r="LG20" s="47"/>
      <c r="LH20" s="47"/>
      <c r="LI20" s="47"/>
      <c r="LJ20" s="47"/>
      <c r="LK20" s="47"/>
      <c r="LL20" s="47"/>
      <c r="LM20" s="47"/>
      <c r="LN20" s="47"/>
      <c r="LO20" s="47"/>
      <c r="LP20" s="47"/>
      <c r="LQ20" s="47"/>
      <c r="LR20" s="47"/>
      <c r="LS20" s="47"/>
      <c r="LT20" s="47"/>
      <c r="LU20" s="47"/>
      <c r="LV20" s="47"/>
      <c r="LW20" s="47"/>
      <c r="LX20" s="47"/>
      <c r="LY20" s="47"/>
      <c r="LZ20" s="47"/>
      <c r="MA20" s="47"/>
      <c r="MB20" s="47"/>
      <c r="MC20" s="47"/>
      <c r="MD20" s="47"/>
      <c r="ME20" s="47"/>
      <c r="MF20" s="47"/>
      <c r="MG20" s="47"/>
      <c r="MH20" s="47"/>
      <c r="MI20" s="47"/>
      <c r="MJ20" s="47"/>
      <c r="MK20" s="47"/>
      <c r="ML20" s="47"/>
      <c r="MM20" s="47"/>
      <c r="MN20" s="47"/>
      <c r="MO20" s="47"/>
      <c r="MP20" s="47"/>
      <c r="MQ20" s="47"/>
      <c r="MR20" s="47"/>
      <c r="MS20" s="47"/>
      <c r="MT20" s="47"/>
      <c r="MU20" s="47"/>
      <c r="MV20" s="47"/>
      <c r="MW20" s="47"/>
      <c r="MX20" s="47"/>
      <c r="MY20" s="47"/>
      <c r="MZ20" s="47"/>
      <c r="NA20" s="47"/>
      <c r="NB20" s="47"/>
      <c r="NC20" s="47"/>
      <c r="ND20" s="47"/>
      <c r="NE20" s="47"/>
      <c r="NF20" s="47"/>
      <c r="NG20" s="47"/>
      <c r="NH20" s="47"/>
      <c r="NI20" s="47"/>
      <c r="NJ20" s="47"/>
      <c r="NK20" s="47"/>
      <c r="NL20" s="47"/>
      <c r="NM20" s="47"/>
      <c r="NN20" s="47"/>
      <c r="NO20" s="47"/>
      <c r="NP20" s="47"/>
      <c r="NQ20" s="47"/>
      <c r="NR20" s="47"/>
      <c r="NS20" s="47"/>
      <c r="NT20" s="47"/>
      <c r="NU20" s="47"/>
      <c r="NV20" s="47"/>
      <c r="NW20" s="47"/>
      <c r="NX20" s="47"/>
      <c r="NY20" s="47"/>
      <c r="NZ20" s="47"/>
      <c r="OA20" s="47"/>
      <c r="OB20" s="47"/>
      <c r="OC20" s="47"/>
      <c r="OD20" s="47"/>
      <c r="OE20" s="48"/>
    </row>
    <row r="21" spans="1:395">
      <c r="A21" s="33" t="str">
        <f t="shared" si="16"/>
        <v/>
      </c>
      <c r="C21" s="2" t="str">
        <f>IF(ISBLANK($B21),"",_xlfn.XLOOKUP($B21,Task_No,Project!$C$3:$C$144,"INVALID TASK"))</f>
        <v/>
      </c>
      <c r="D21" s="27"/>
      <c r="E21" s="7" t="str">
        <f t="shared" si="18"/>
        <v/>
      </c>
      <c r="F21" s="7" t="str">
        <f t="shared" si="17"/>
        <v/>
      </c>
      <c r="G21" s="34"/>
      <c r="H21" s="34" t="str" cm="1">
        <f t="array" ref="H21">IF($C21="","",SUMPRODUCT((TEXT($AE$5:$OE$5, "mmm")=LOWER(G$3))*$AE21:$OE21))</f>
        <v/>
      </c>
      <c r="I21" s="34"/>
      <c r="J21" s="34" t="str" cm="1">
        <f t="array" ref="J21">IF($C21="","",SUMPRODUCT((TEXT($AE$5:$OE$5, "mmm")=LOWER(I$3))*$AE21:$OE21))</f>
        <v/>
      </c>
      <c r="K21" s="34"/>
      <c r="L21" s="34" t="str" cm="1">
        <f t="array" ref="L21">IF($C21="","",SUMPRODUCT((TEXT($AE$5:$OE$5, "mmm")=LOWER(K$3))*$AE21:$OE21))</f>
        <v/>
      </c>
      <c r="M21" s="34"/>
      <c r="N21" s="34" t="str" cm="1">
        <f t="array" ref="N21">IF($C21="","",SUMPRODUCT((TEXT($AE$5:$OE$5, "mmm")=LOWER(M$3))*$AE21:$OE21))</f>
        <v/>
      </c>
      <c r="O21" s="34"/>
      <c r="P21" s="34" t="str" cm="1">
        <f t="array" ref="P21">IF($C21="","",SUMPRODUCT((TEXT($AE$5:$OE$5, "mmm")=LOWER(O$3))*$AE21:$OE21))</f>
        <v/>
      </c>
      <c r="Q21" s="34"/>
      <c r="R21" s="34" t="str" cm="1">
        <f t="array" ref="R21">IF($C21="","",SUMPRODUCT((TEXT($AE$5:$OE$5, "mmm")=LOWER(Q$3))*$AE21:$OE21))</f>
        <v/>
      </c>
      <c r="S21" s="34"/>
      <c r="T21" s="34" t="str" cm="1">
        <f t="array" ref="T21">IF($C21="","",SUMPRODUCT((TEXT($AE$5:$OE$5, "mmm")=LOWER(S$3))*$AE21:$OE21))</f>
        <v/>
      </c>
      <c r="U21" s="34"/>
      <c r="V21" s="34" t="str" cm="1">
        <f t="array" ref="V21">IF($C21="","",SUMPRODUCT((TEXT($AE$5:$OE$5, "mmm")=LOWER(U$3))*$AE21:$OE21))</f>
        <v/>
      </c>
      <c r="W21" s="34"/>
      <c r="X21" s="34" t="str" cm="1">
        <f t="array" ref="X21">IF($C21="","",SUMPRODUCT((TEXT($AE$5:$OE$5, "mmm")=LOWER(W$3))*$AE21:$OE21))</f>
        <v/>
      </c>
      <c r="Y21" s="34"/>
      <c r="Z21" s="34" t="str" cm="1">
        <f t="array" ref="Z21">IF($C21="","",SUMPRODUCT((TEXT($AE$5:$OE$5, "mmm")=LOWER(Y$3))*$AE21:$OE21))</f>
        <v/>
      </c>
      <c r="AA21" s="34"/>
      <c r="AB21" s="34" t="str" cm="1">
        <f t="array" ref="AB21">IF($C21="","",SUMPRODUCT((TEXT($AE$5:$OE$5, "mmm")=LOWER(AA$3))*$AE21:$OE21))</f>
        <v/>
      </c>
      <c r="AC21" s="34"/>
      <c r="AD21" s="34" t="str" cm="1">
        <f t="array" ref="AD21">IF($C21="","",SUMPRODUCT((TEXT($AE$5:$OE$5, "mmm")=LOWER(AC$3))*$AE21:$OE21))</f>
        <v/>
      </c>
      <c r="AE21" s="47"/>
      <c r="AF21" s="47"/>
      <c r="AG21" s="47"/>
      <c r="AH21" s="47"/>
      <c r="AI21" s="47"/>
      <c r="AJ21" s="47"/>
      <c r="AK21" s="47"/>
      <c r="AL21" s="47"/>
      <c r="AM21" s="47"/>
      <c r="AN21" s="47"/>
      <c r="AO21" s="47"/>
      <c r="AP21" s="47"/>
      <c r="AQ21" s="47"/>
      <c r="AR21" s="47"/>
      <c r="AS21" s="47"/>
      <c r="AT21" s="47"/>
      <c r="AU21" s="47"/>
      <c r="AV21" s="47"/>
      <c r="AW21" s="47"/>
      <c r="AX21" s="47"/>
      <c r="AY21" s="47"/>
      <c r="AZ21" s="47"/>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47"/>
      <c r="CR21" s="47"/>
      <c r="CS21" s="47"/>
      <c r="CT21" s="47"/>
      <c r="CU21" s="47"/>
      <c r="CV21" s="47"/>
      <c r="CW21" s="47"/>
      <c r="CX21" s="47"/>
      <c r="CY21" s="47"/>
      <c r="CZ21" s="47"/>
      <c r="DA21" s="47"/>
      <c r="DB21" s="47"/>
      <c r="DC21" s="47"/>
      <c r="DD21" s="47"/>
      <c r="DE21" s="47"/>
      <c r="DF21" s="47"/>
      <c r="DG21" s="47"/>
      <c r="DH21" s="47"/>
      <c r="DI21" s="47"/>
      <c r="DJ21" s="47"/>
      <c r="DK21" s="47"/>
      <c r="DL21" s="47"/>
      <c r="DM21" s="47"/>
      <c r="DN21" s="47"/>
      <c r="DO21" s="47"/>
      <c r="DP21" s="47"/>
      <c r="DQ21" s="47"/>
      <c r="DR21" s="47"/>
      <c r="DS21" s="47"/>
      <c r="DT21" s="47"/>
      <c r="DU21" s="47"/>
      <c r="DV21" s="47"/>
      <c r="DW21" s="47"/>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47"/>
      <c r="FB21" s="47"/>
      <c r="FC21" s="47"/>
      <c r="FD21" s="47"/>
      <c r="FE21" s="47"/>
      <c r="FF21" s="47"/>
      <c r="FG21" s="47"/>
      <c r="FH21" s="47"/>
      <c r="FI21" s="47"/>
      <c r="FJ21" s="47"/>
      <c r="FK21" s="47"/>
      <c r="FL21" s="47"/>
      <c r="FM21" s="47"/>
      <c r="FN21" s="47"/>
      <c r="FO21" s="47"/>
      <c r="FP21" s="47"/>
      <c r="FQ21" s="47"/>
      <c r="FR21" s="47"/>
      <c r="FS21" s="47"/>
      <c r="FT21" s="47"/>
      <c r="FU21" s="47"/>
      <c r="FV21" s="47"/>
      <c r="FW21" s="47"/>
      <c r="FX21" s="47"/>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HZ21" s="47"/>
      <c r="IA21" s="47"/>
      <c r="IB21" s="47"/>
      <c r="IC21" s="47"/>
      <c r="ID21" s="47"/>
      <c r="IE21" s="47"/>
      <c r="IF21" s="47"/>
      <c r="IG21" s="47"/>
      <c r="IH21" s="47"/>
      <c r="II21" s="47"/>
      <c r="IJ21" s="47"/>
      <c r="IK21" s="47"/>
      <c r="IL21" s="47"/>
      <c r="IM21" s="47"/>
      <c r="IN21" s="47"/>
      <c r="IO21" s="47"/>
      <c r="IP21" s="47"/>
      <c r="IQ21" s="47"/>
      <c r="IR21" s="47"/>
      <c r="IS21" s="47"/>
      <c r="IT21" s="47"/>
      <c r="IU21" s="47"/>
      <c r="IV21" s="47"/>
      <c r="IW21" s="47"/>
      <c r="IX21" s="47"/>
      <c r="IY21" s="47"/>
      <c r="IZ21" s="47"/>
      <c r="JA21" s="47"/>
      <c r="JB21" s="47"/>
      <c r="JC21" s="47"/>
      <c r="JD21" s="47"/>
      <c r="JE21" s="47"/>
      <c r="JF21" s="47"/>
      <c r="JG21" s="47"/>
      <c r="JH21" s="47"/>
      <c r="JI21" s="47"/>
      <c r="JJ21" s="47"/>
      <c r="JK21" s="47"/>
      <c r="JL21" s="47"/>
      <c r="JM21" s="47"/>
      <c r="JN21" s="47"/>
      <c r="JO21" s="47"/>
      <c r="JP21" s="47"/>
      <c r="JQ21" s="47"/>
      <c r="JR21" s="47"/>
      <c r="JS21" s="47"/>
      <c r="JT21" s="47"/>
      <c r="JU21" s="47"/>
      <c r="JV21" s="47"/>
      <c r="JW21" s="47"/>
      <c r="JX21" s="47"/>
      <c r="JY21" s="47"/>
      <c r="JZ21" s="47"/>
      <c r="KA21" s="47"/>
      <c r="KB21" s="47"/>
      <c r="KC21" s="47"/>
      <c r="KD21" s="47"/>
      <c r="KE21" s="47"/>
      <c r="KF21" s="47"/>
      <c r="KG21" s="47"/>
      <c r="KH21" s="47"/>
      <c r="KI21" s="47"/>
      <c r="KJ21" s="47"/>
      <c r="KK21" s="47"/>
      <c r="KL21" s="47"/>
      <c r="KM21" s="47"/>
      <c r="KN21" s="47"/>
      <c r="KO21" s="47"/>
      <c r="KP21" s="47"/>
      <c r="KQ21" s="47"/>
      <c r="KR21" s="47"/>
      <c r="KS21" s="47"/>
      <c r="KT21" s="47"/>
      <c r="KU21" s="47"/>
      <c r="KV21" s="47"/>
      <c r="KW21" s="47"/>
      <c r="KX21" s="47"/>
      <c r="KY21" s="47"/>
      <c r="KZ21" s="47"/>
      <c r="LA21" s="47"/>
      <c r="LB21" s="47"/>
      <c r="LC21" s="47"/>
      <c r="LD21" s="47"/>
      <c r="LE21" s="47"/>
      <c r="LF21" s="47"/>
      <c r="LG21" s="47"/>
      <c r="LH21" s="47"/>
      <c r="LI21" s="47"/>
      <c r="LJ21" s="47"/>
      <c r="LK21" s="47"/>
      <c r="LL21" s="47"/>
      <c r="LM21" s="47"/>
      <c r="LN21" s="47"/>
      <c r="LO21" s="47"/>
      <c r="LP21" s="47"/>
      <c r="LQ21" s="47"/>
      <c r="LR21" s="47"/>
      <c r="LS21" s="47"/>
      <c r="LT21" s="47"/>
      <c r="LU21" s="47"/>
      <c r="LV21" s="47"/>
      <c r="LW21" s="47"/>
      <c r="LX21" s="47"/>
      <c r="LY21" s="47"/>
      <c r="LZ21" s="47"/>
      <c r="MA21" s="47"/>
      <c r="MB21" s="47"/>
      <c r="MC21" s="47"/>
      <c r="MD21" s="47"/>
      <c r="ME21" s="47"/>
      <c r="MF21" s="47"/>
      <c r="MG21" s="47"/>
      <c r="MH21" s="47"/>
      <c r="MI21" s="47"/>
      <c r="MJ21" s="47"/>
      <c r="MK21" s="47"/>
      <c r="ML21" s="47"/>
      <c r="MM21" s="47"/>
      <c r="MN21" s="47"/>
      <c r="MO21" s="47"/>
      <c r="MP21" s="47"/>
      <c r="MQ21" s="47"/>
      <c r="MR21" s="47"/>
      <c r="MS21" s="47"/>
      <c r="MT21" s="47"/>
      <c r="MU21" s="47"/>
      <c r="MV21" s="47"/>
      <c r="MW21" s="47"/>
      <c r="MX21" s="47"/>
      <c r="MY21" s="47"/>
      <c r="MZ21" s="47"/>
      <c r="NA21" s="47"/>
      <c r="NB21" s="47"/>
      <c r="NC21" s="47"/>
      <c r="ND21" s="47"/>
      <c r="NE21" s="47"/>
      <c r="NF21" s="47"/>
      <c r="NG21" s="47"/>
      <c r="NH21" s="47"/>
      <c r="NI21" s="47"/>
      <c r="NJ21" s="47"/>
      <c r="NK21" s="47"/>
      <c r="NL21" s="47"/>
      <c r="NM21" s="47"/>
      <c r="NN21" s="47"/>
      <c r="NO21" s="47"/>
      <c r="NP21" s="47"/>
      <c r="NQ21" s="47"/>
      <c r="NR21" s="47"/>
      <c r="NS21" s="47"/>
      <c r="NT21" s="47"/>
      <c r="NU21" s="47"/>
      <c r="NV21" s="47"/>
      <c r="NW21" s="47"/>
      <c r="NX21" s="47"/>
      <c r="NY21" s="47"/>
      <c r="NZ21" s="47"/>
      <c r="OA21" s="47"/>
      <c r="OB21" s="47"/>
      <c r="OC21" s="47"/>
      <c r="OD21" s="47"/>
      <c r="OE21" s="48"/>
    </row>
    <row r="22" spans="1:395">
      <c r="A22" s="33" t="str">
        <f t="shared" si="16"/>
        <v/>
      </c>
      <c r="C22" s="2" t="str">
        <f>IF(ISBLANK($B22),"",_xlfn.XLOOKUP($B22,Task_No,Project!$C$3:$C$144,"INVALID TASK"))</f>
        <v/>
      </c>
      <c r="D22" s="27"/>
      <c r="E22" s="7" t="str">
        <f t="shared" si="18"/>
        <v/>
      </c>
      <c r="F22" s="7" t="str">
        <f t="shared" si="17"/>
        <v/>
      </c>
      <c r="G22" s="34"/>
      <c r="H22" s="34" t="str" cm="1">
        <f t="array" ref="H22">IF($C22="","",SUMPRODUCT((TEXT($AE$5:$OE$5, "mmm")=LOWER(G$3))*$AE22:$OE22))</f>
        <v/>
      </c>
      <c r="I22" s="34"/>
      <c r="J22" s="34" t="str" cm="1">
        <f t="array" ref="J22">IF($C22="","",SUMPRODUCT((TEXT($AE$5:$OE$5, "mmm")=LOWER(I$3))*$AE22:$OE22))</f>
        <v/>
      </c>
      <c r="K22" s="34"/>
      <c r="L22" s="34" t="str" cm="1">
        <f t="array" ref="L22">IF($C22="","",SUMPRODUCT((TEXT($AE$5:$OE$5, "mmm")=LOWER(K$3))*$AE22:$OE22))</f>
        <v/>
      </c>
      <c r="M22" s="34"/>
      <c r="N22" s="34" t="str" cm="1">
        <f t="array" ref="N22">IF($C22="","",SUMPRODUCT((TEXT($AE$5:$OE$5, "mmm")=LOWER(M$3))*$AE22:$OE22))</f>
        <v/>
      </c>
      <c r="O22" s="34"/>
      <c r="P22" s="34" t="str" cm="1">
        <f t="array" ref="P22">IF($C22="","",SUMPRODUCT((TEXT($AE$5:$OE$5, "mmm")=LOWER(O$3))*$AE22:$OE22))</f>
        <v/>
      </c>
      <c r="Q22" s="34"/>
      <c r="R22" s="34" t="str" cm="1">
        <f t="array" ref="R22">IF($C22="","",SUMPRODUCT((TEXT($AE$5:$OE$5, "mmm")=LOWER(Q$3))*$AE22:$OE22))</f>
        <v/>
      </c>
      <c r="S22" s="34"/>
      <c r="T22" s="34" t="str" cm="1">
        <f t="array" ref="T22">IF($C22="","",SUMPRODUCT((TEXT($AE$5:$OE$5, "mmm")=LOWER(S$3))*$AE22:$OE22))</f>
        <v/>
      </c>
      <c r="U22" s="34"/>
      <c r="V22" s="34" t="str" cm="1">
        <f t="array" ref="V22">IF($C22="","",SUMPRODUCT((TEXT($AE$5:$OE$5, "mmm")=LOWER(U$3))*$AE22:$OE22))</f>
        <v/>
      </c>
      <c r="W22" s="34"/>
      <c r="X22" s="34" t="str" cm="1">
        <f t="array" ref="X22">IF($C22="","",SUMPRODUCT((TEXT($AE$5:$OE$5, "mmm")=LOWER(W$3))*$AE22:$OE22))</f>
        <v/>
      </c>
      <c r="Y22" s="34"/>
      <c r="Z22" s="34" t="str" cm="1">
        <f t="array" ref="Z22">IF($C22="","",SUMPRODUCT((TEXT($AE$5:$OE$5, "mmm")=LOWER(Y$3))*$AE22:$OE22))</f>
        <v/>
      </c>
      <c r="AA22" s="34"/>
      <c r="AB22" s="34" t="str" cm="1">
        <f t="array" ref="AB22">IF($C22="","",SUMPRODUCT((TEXT($AE$5:$OE$5, "mmm")=LOWER(AA$3))*$AE22:$OE22))</f>
        <v/>
      </c>
      <c r="AC22" s="34"/>
      <c r="AD22" s="34" t="str" cm="1">
        <f t="array" ref="AD22">IF($C22="","",SUMPRODUCT((TEXT($AE$5:$OE$5, "mmm")=LOWER(AC$3))*$AE22:$OE22))</f>
        <v/>
      </c>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47"/>
      <c r="CR22" s="47"/>
      <c r="CS22" s="47"/>
      <c r="CT22" s="47"/>
      <c r="CU22" s="47"/>
      <c r="CV22" s="47"/>
      <c r="CW22" s="47"/>
      <c r="CX22" s="47"/>
      <c r="CY22" s="47"/>
      <c r="CZ22" s="47"/>
      <c r="DA22" s="47"/>
      <c r="DB22" s="47"/>
      <c r="DC22" s="47"/>
      <c r="DD22" s="47"/>
      <c r="DE22" s="47"/>
      <c r="DF22" s="47"/>
      <c r="DG22" s="47"/>
      <c r="DH22" s="47"/>
      <c r="DI22" s="47"/>
      <c r="DJ22" s="47"/>
      <c r="DK22" s="47"/>
      <c r="DL22" s="47"/>
      <c r="DM22" s="47"/>
      <c r="DN22" s="47"/>
      <c r="DO22" s="47"/>
      <c r="DP22" s="47"/>
      <c r="DQ22" s="47"/>
      <c r="DR22" s="47"/>
      <c r="DS22" s="47"/>
      <c r="DT22" s="47"/>
      <c r="DU22" s="47"/>
      <c r="DV22" s="47"/>
      <c r="DW22" s="47"/>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47"/>
      <c r="FB22" s="47"/>
      <c r="FC22" s="47"/>
      <c r="FD22" s="47"/>
      <c r="FE22" s="47"/>
      <c r="FF22" s="47"/>
      <c r="FG22" s="47"/>
      <c r="FH22" s="47"/>
      <c r="FI22" s="47"/>
      <c r="FJ22" s="47"/>
      <c r="FK22" s="47"/>
      <c r="FL22" s="47"/>
      <c r="FM22" s="47"/>
      <c r="FN22" s="47"/>
      <c r="FO22" s="47"/>
      <c r="FP22" s="47"/>
      <c r="FQ22" s="47"/>
      <c r="FR22" s="47"/>
      <c r="FS22" s="47"/>
      <c r="FT22" s="47"/>
      <c r="FU22" s="47"/>
      <c r="FV22" s="47"/>
      <c r="FW22" s="47"/>
      <c r="FX22" s="47"/>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HZ22" s="47"/>
      <c r="IA22" s="47"/>
      <c r="IB22" s="47"/>
      <c r="IC22" s="47"/>
      <c r="ID22" s="47"/>
      <c r="IE22" s="47"/>
      <c r="IF22" s="47"/>
      <c r="IG22" s="47"/>
      <c r="IH22" s="47"/>
      <c r="II22" s="47"/>
      <c r="IJ22" s="47"/>
      <c r="IK22" s="47"/>
      <c r="IL22" s="47"/>
      <c r="IM22" s="47"/>
      <c r="IN22" s="47"/>
      <c r="IO22" s="47"/>
      <c r="IP22" s="47"/>
      <c r="IQ22" s="47"/>
      <c r="IR22" s="47"/>
      <c r="IS22" s="47"/>
      <c r="IT22" s="47"/>
      <c r="IU22" s="47"/>
      <c r="IV22" s="47"/>
      <c r="IW22" s="47"/>
      <c r="IX22" s="47"/>
      <c r="IY22" s="47"/>
      <c r="IZ22" s="47"/>
      <c r="JA22" s="47"/>
      <c r="JB22" s="47"/>
      <c r="JC22" s="47"/>
      <c r="JD22" s="47"/>
      <c r="JE22" s="47"/>
      <c r="JF22" s="47"/>
      <c r="JG22" s="47"/>
      <c r="JH22" s="47"/>
      <c r="JI22" s="47"/>
      <c r="JJ22" s="47"/>
      <c r="JK22" s="47"/>
      <c r="JL22" s="47"/>
      <c r="JM22" s="47"/>
      <c r="JN22" s="47"/>
      <c r="JO22" s="47"/>
      <c r="JP22" s="47"/>
      <c r="JQ22" s="47"/>
      <c r="JR22" s="47"/>
      <c r="JS22" s="47"/>
      <c r="JT22" s="47"/>
      <c r="JU22" s="47"/>
      <c r="JV22" s="47"/>
      <c r="JW22" s="47"/>
      <c r="JX22" s="47"/>
      <c r="JY22" s="47"/>
      <c r="JZ22" s="47"/>
      <c r="KA22" s="47"/>
      <c r="KB22" s="47"/>
      <c r="KC22" s="47"/>
      <c r="KD22" s="47"/>
      <c r="KE22" s="47"/>
      <c r="KF22" s="47"/>
      <c r="KG22" s="47"/>
      <c r="KH22" s="47"/>
      <c r="KI22" s="47"/>
      <c r="KJ22" s="47"/>
      <c r="KK22" s="47"/>
      <c r="KL22" s="47"/>
      <c r="KM22" s="47"/>
      <c r="KN22" s="47"/>
      <c r="KO22" s="47"/>
      <c r="KP22" s="47"/>
      <c r="KQ22" s="47"/>
      <c r="KR22" s="47"/>
      <c r="KS22" s="47"/>
      <c r="KT22" s="47"/>
      <c r="KU22" s="47"/>
      <c r="KV22" s="47"/>
      <c r="KW22" s="47"/>
      <c r="KX22" s="47"/>
      <c r="KY22" s="47"/>
      <c r="KZ22" s="47"/>
      <c r="LA22" s="47"/>
      <c r="LB22" s="47"/>
      <c r="LC22" s="47"/>
      <c r="LD22" s="47"/>
      <c r="LE22" s="47"/>
      <c r="LF22" s="47"/>
      <c r="LG22" s="47"/>
      <c r="LH22" s="47"/>
      <c r="LI22" s="47"/>
      <c r="LJ22" s="47"/>
      <c r="LK22" s="47"/>
      <c r="LL22" s="47"/>
      <c r="LM22" s="47"/>
      <c r="LN22" s="47"/>
      <c r="LO22" s="47"/>
      <c r="LP22" s="47"/>
      <c r="LQ22" s="47"/>
      <c r="LR22" s="47"/>
      <c r="LS22" s="47"/>
      <c r="LT22" s="47"/>
      <c r="LU22" s="47"/>
      <c r="LV22" s="47"/>
      <c r="LW22" s="47"/>
      <c r="LX22" s="47"/>
      <c r="LY22" s="47"/>
      <c r="LZ22" s="47"/>
      <c r="MA22" s="47"/>
      <c r="MB22" s="47"/>
      <c r="MC22" s="47"/>
      <c r="MD22" s="47"/>
      <c r="ME22" s="47"/>
      <c r="MF22" s="47"/>
      <c r="MG22" s="47"/>
      <c r="MH22" s="47"/>
      <c r="MI22" s="47"/>
      <c r="MJ22" s="47"/>
      <c r="MK22" s="47"/>
      <c r="ML22" s="47"/>
      <c r="MM22" s="47"/>
      <c r="MN22" s="47"/>
      <c r="MO22" s="47"/>
      <c r="MP22" s="47"/>
      <c r="MQ22" s="47"/>
      <c r="MR22" s="47"/>
      <c r="MS22" s="47"/>
      <c r="MT22" s="47"/>
      <c r="MU22" s="47"/>
      <c r="MV22" s="47"/>
      <c r="MW22" s="47"/>
      <c r="MX22" s="47"/>
      <c r="MY22" s="47"/>
      <c r="MZ22" s="47"/>
      <c r="NA22" s="47"/>
      <c r="NB22" s="47"/>
      <c r="NC22" s="47"/>
      <c r="ND22" s="47"/>
      <c r="NE22" s="47"/>
      <c r="NF22" s="47"/>
      <c r="NG22" s="47"/>
      <c r="NH22" s="47"/>
      <c r="NI22" s="47"/>
      <c r="NJ22" s="47"/>
      <c r="NK22" s="47"/>
      <c r="NL22" s="47"/>
      <c r="NM22" s="47"/>
      <c r="NN22" s="47"/>
      <c r="NO22" s="47"/>
      <c r="NP22" s="47"/>
      <c r="NQ22" s="47"/>
      <c r="NR22" s="47"/>
      <c r="NS22" s="47"/>
      <c r="NT22" s="47"/>
      <c r="NU22" s="47"/>
      <c r="NV22" s="47"/>
      <c r="NW22" s="47"/>
      <c r="NX22" s="47"/>
      <c r="NY22" s="47"/>
      <c r="NZ22" s="47"/>
      <c r="OA22" s="47"/>
      <c r="OB22" s="47"/>
      <c r="OC22" s="47"/>
      <c r="OD22" s="47"/>
      <c r="OE22" s="48"/>
    </row>
    <row r="23" spans="1:395">
      <c r="A23" s="33" t="str">
        <f t="shared" si="16"/>
        <v/>
      </c>
      <c r="C23" s="2" t="str">
        <f>IF(ISBLANK($B23),"",_xlfn.XLOOKUP($B23,Task_No,Project!$C$3:$C$144,"INVALID TASK"))</f>
        <v/>
      </c>
      <c r="D23" s="27"/>
      <c r="E23" s="7" t="str">
        <f t="shared" si="18"/>
        <v/>
      </c>
      <c r="F23" s="7" t="str">
        <f t="shared" si="17"/>
        <v/>
      </c>
      <c r="G23" s="34"/>
      <c r="H23" s="34" t="str" cm="1">
        <f t="array" ref="H23">IF($C23="","",SUMPRODUCT((TEXT($AE$5:$OE$5, "mmm")=LOWER(G$3))*$AE23:$OE23))</f>
        <v/>
      </c>
      <c r="I23" s="34"/>
      <c r="J23" s="34" t="str" cm="1">
        <f t="array" ref="J23">IF($C23="","",SUMPRODUCT((TEXT($AE$5:$OE$5, "mmm")=LOWER(I$3))*$AE23:$OE23))</f>
        <v/>
      </c>
      <c r="K23" s="34"/>
      <c r="L23" s="34" t="str" cm="1">
        <f t="array" ref="L23">IF($C23="","",SUMPRODUCT((TEXT($AE$5:$OE$5, "mmm")=LOWER(K$3))*$AE23:$OE23))</f>
        <v/>
      </c>
      <c r="M23" s="34"/>
      <c r="N23" s="34" t="str" cm="1">
        <f t="array" ref="N23">IF($C23="","",SUMPRODUCT((TEXT($AE$5:$OE$5, "mmm")=LOWER(M$3))*$AE23:$OE23))</f>
        <v/>
      </c>
      <c r="O23" s="34"/>
      <c r="P23" s="34" t="str" cm="1">
        <f t="array" ref="P23">IF($C23="","",SUMPRODUCT((TEXT($AE$5:$OE$5, "mmm")=LOWER(O$3))*$AE23:$OE23))</f>
        <v/>
      </c>
      <c r="Q23" s="34"/>
      <c r="R23" s="34" t="str" cm="1">
        <f t="array" ref="R23">IF($C23="","",SUMPRODUCT((TEXT($AE$5:$OE$5, "mmm")=LOWER(Q$3))*$AE23:$OE23))</f>
        <v/>
      </c>
      <c r="S23" s="34"/>
      <c r="T23" s="34" t="str" cm="1">
        <f t="array" ref="T23">IF($C23="","",SUMPRODUCT((TEXT($AE$5:$OE$5, "mmm")=LOWER(S$3))*$AE23:$OE23))</f>
        <v/>
      </c>
      <c r="U23" s="34"/>
      <c r="V23" s="34" t="str" cm="1">
        <f t="array" ref="V23">IF($C23="","",SUMPRODUCT((TEXT($AE$5:$OE$5, "mmm")=LOWER(U$3))*$AE23:$OE23))</f>
        <v/>
      </c>
      <c r="W23" s="34"/>
      <c r="X23" s="34" t="str" cm="1">
        <f t="array" ref="X23">IF($C23="","",SUMPRODUCT((TEXT($AE$5:$OE$5, "mmm")=LOWER(W$3))*$AE23:$OE23))</f>
        <v/>
      </c>
      <c r="Y23" s="34"/>
      <c r="Z23" s="34" t="str" cm="1">
        <f t="array" ref="Z23">IF($C23="","",SUMPRODUCT((TEXT($AE$5:$OE$5, "mmm")=LOWER(Y$3))*$AE23:$OE23))</f>
        <v/>
      </c>
      <c r="AA23" s="34"/>
      <c r="AB23" s="34" t="str" cm="1">
        <f t="array" ref="AB23">IF($C23="","",SUMPRODUCT((TEXT($AE$5:$OE$5, "mmm")=LOWER(AA$3))*$AE23:$OE23))</f>
        <v/>
      </c>
      <c r="AC23" s="34"/>
      <c r="AD23" s="34" t="str" cm="1">
        <f t="array" ref="AD23">IF($C23="","",SUMPRODUCT((TEXT($AE$5:$OE$5, "mmm")=LOWER(AC$3))*$AE23:$OE23))</f>
        <v/>
      </c>
      <c r="AE23" s="47"/>
      <c r="AF23" s="47"/>
      <c r="AG23" s="47"/>
      <c r="AH23" s="47"/>
      <c r="AI23" s="47"/>
      <c r="AJ23" s="47"/>
      <c r="AK23" s="47"/>
      <c r="AL23" s="47"/>
      <c r="AM23" s="47"/>
      <c r="AN23" s="47"/>
      <c r="AO23" s="47"/>
      <c r="AP23" s="47"/>
      <c r="AQ23" s="47"/>
      <c r="AR23" s="47"/>
      <c r="AS23" s="47"/>
      <c r="AT23" s="47"/>
      <c r="AU23" s="47"/>
      <c r="AV23" s="47"/>
      <c r="AW23" s="47"/>
      <c r="AX23" s="47"/>
      <c r="AY23" s="47"/>
      <c r="AZ23" s="47"/>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47"/>
      <c r="CR23" s="47"/>
      <c r="CS23" s="47"/>
      <c r="CT23" s="47"/>
      <c r="CU23" s="47"/>
      <c r="CV23" s="47"/>
      <c r="CW23" s="47"/>
      <c r="CX23" s="47"/>
      <c r="CY23" s="47"/>
      <c r="CZ23" s="47"/>
      <c r="DA23" s="47"/>
      <c r="DB23" s="47"/>
      <c r="DC23" s="47"/>
      <c r="DD23" s="47"/>
      <c r="DE23" s="47"/>
      <c r="DF23" s="47"/>
      <c r="DG23" s="47"/>
      <c r="DH23" s="47"/>
      <c r="DI23" s="47"/>
      <c r="DJ23" s="47"/>
      <c r="DK23" s="47"/>
      <c r="DL23" s="47"/>
      <c r="DM23" s="47"/>
      <c r="DN23" s="47"/>
      <c r="DO23" s="47"/>
      <c r="DP23" s="47"/>
      <c r="DQ23" s="47"/>
      <c r="DR23" s="47"/>
      <c r="DS23" s="47"/>
      <c r="DT23" s="47"/>
      <c r="DU23" s="47"/>
      <c r="DV23" s="47"/>
      <c r="DW23" s="47"/>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47"/>
      <c r="FB23" s="47"/>
      <c r="FC23" s="47"/>
      <c r="FD23" s="47"/>
      <c r="FE23" s="47"/>
      <c r="FF23" s="47"/>
      <c r="FG23" s="47"/>
      <c r="FH23" s="47"/>
      <c r="FI23" s="47"/>
      <c r="FJ23" s="47"/>
      <c r="FK23" s="47"/>
      <c r="FL23" s="47"/>
      <c r="FM23" s="47"/>
      <c r="FN23" s="47"/>
      <c r="FO23" s="47"/>
      <c r="FP23" s="47"/>
      <c r="FQ23" s="47"/>
      <c r="FR23" s="47"/>
      <c r="FS23" s="47"/>
      <c r="FT23" s="47"/>
      <c r="FU23" s="47"/>
      <c r="FV23" s="47"/>
      <c r="FW23" s="47"/>
      <c r="FX23" s="47"/>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HZ23" s="47"/>
      <c r="IA23" s="47"/>
      <c r="IB23" s="47"/>
      <c r="IC23" s="47"/>
      <c r="ID23" s="47"/>
      <c r="IE23" s="47"/>
      <c r="IF23" s="47"/>
      <c r="IG23" s="47"/>
      <c r="IH23" s="47"/>
      <c r="II23" s="47"/>
      <c r="IJ23" s="47"/>
      <c r="IK23" s="47"/>
      <c r="IL23" s="47"/>
      <c r="IM23" s="47"/>
      <c r="IN23" s="47"/>
      <c r="IO23" s="47"/>
      <c r="IP23" s="47"/>
      <c r="IQ23" s="47"/>
      <c r="IR23" s="47"/>
      <c r="IS23" s="47"/>
      <c r="IT23" s="47"/>
      <c r="IU23" s="47"/>
      <c r="IV23" s="47"/>
      <c r="IW23" s="47"/>
      <c r="IX23" s="47"/>
      <c r="IY23" s="47"/>
      <c r="IZ23" s="47"/>
      <c r="JA23" s="47"/>
      <c r="JB23" s="47"/>
      <c r="JC23" s="47"/>
      <c r="JD23" s="47"/>
      <c r="JE23" s="47"/>
      <c r="JF23" s="47"/>
      <c r="JG23" s="47"/>
      <c r="JH23" s="47"/>
      <c r="JI23" s="47"/>
      <c r="JJ23" s="47"/>
      <c r="JK23" s="47"/>
      <c r="JL23" s="47"/>
      <c r="JM23" s="47"/>
      <c r="JN23" s="47"/>
      <c r="JO23" s="47"/>
      <c r="JP23" s="47"/>
      <c r="JQ23" s="47"/>
      <c r="JR23" s="47"/>
      <c r="JS23" s="47"/>
      <c r="JT23" s="47"/>
      <c r="JU23" s="47"/>
      <c r="JV23" s="47"/>
      <c r="JW23" s="47"/>
      <c r="JX23" s="47"/>
      <c r="JY23" s="47"/>
      <c r="JZ23" s="47"/>
      <c r="KA23" s="47"/>
      <c r="KB23" s="47"/>
      <c r="KC23" s="47"/>
      <c r="KD23" s="47"/>
      <c r="KE23" s="47"/>
      <c r="KF23" s="47"/>
      <c r="KG23" s="47"/>
      <c r="KH23" s="47"/>
      <c r="KI23" s="47"/>
      <c r="KJ23" s="47"/>
      <c r="KK23" s="47"/>
      <c r="KL23" s="47"/>
      <c r="KM23" s="47"/>
      <c r="KN23" s="47"/>
      <c r="KO23" s="47"/>
      <c r="KP23" s="47"/>
      <c r="KQ23" s="47"/>
      <c r="KR23" s="47"/>
      <c r="KS23" s="47"/>
      <c r="KT23" s="47"/>
      <c r="KU23" s="47"/>
      <c r="KV23" s="47"/>
      <c r="KW23" s="47"/>
      <c r="KX23" s="47"/>
      <c r="KY23" s="47"/>
      <c r="KZ23" s="47"/>
      <c r="LA23" s="47"/>
      <c r="LB23" s="47"/>
      <c r="LC23" s="47"/>
      <c r="LD23" s="47"/>
      <c r="LE23" s="47"/>
      <c r="LF23" s="47"/>
      <c r="LG23" s="47"/>
      <c r="LH23" s="47"/>
      <c r="LI23" s="47"/>
      <c r="LJ23" s="47"/>
      <c r="LK23" s="47"/>
      <c r="LL23" s="47"/>
      <c r="LM23" s="47"/>
      <c r="LN23" s="47"/>
      <c r="LO23" s="47"/>
      <c r="LP23" s="47"/>
      <c r="LQ23" s="47"/>
      <c r="LR23" s="47"/>
      <c r="LS23" s="47"/>
      <c r="LT23" s="47"/>
      <c r="LU23" s="47"/>
      <c r="LV23" s="47"/>
      <c r="LW23" s="47"/>
      <c r="LX23" s="47"/>
      <c r="LY23" s="47"/>
      <c r="LZ23" s="47"/>
      <c r="MA23" s="47"/>
      <c r="MB23" s="47"/>
      <c r="MC23" s="47"/>
      <c r="MD23" s="47"/>
      <c r="ME23" s="47"/>
      <c r="MF23" s="47"/>
      <c r="MG23" s="47"/>
      <c r="MH23" s="47"/>
      <c r="MI23" s="47"/>
      <c r="MJ23" s="47"/>
      <c r="MK23" s="47"/>
      <c r="ML23" s="47"/>
      <c r="MM23" s="47"/>
      <c r="MN23" s="47"/>
      <c r="MO23" s="47"/>
      <c r="MP23" s="47"/>
      <c r="MQ23" s="47"/>
      <c r="MR23" s="47"/>
      <c r="MS23" s="47"/>
      <c r="MT23" s="47"/>
      <c r="MU23" s="47"/>
      <c r="MV23" s="47"/>
      <c r="MW23" s="47"/>
      <c r="MX23" s="47"/>
      <c r="MY23" s="47"/>
      <c r="MZ23" s="47"/>
      <c r="NA23" s="47"/>
      <c r="NB23" s="47"/>
      <c r="NC23" s="47"/>
      <c r="ND23" s="47"/>
      <c r="NE23" s="47"/>
      <c r="NF23" s="47"/>
      <c r="NG23" s="47"/>
      <c r="NH23" s="47"/>
      <c r="NI23" s="47"/>
      <c r="NJ23" s="47"/>
      <c r="NK23" s="47"/>
      <c r="NL23" s="47"/>
      <c r="NM23" s="47"/>
      <c r="NN23" s="47"/>
      <c r="NO23" s="47"/>
      <c r="NP23" s="47"/>
      <c r="NQ23" s="47"/>
      <c r="NR23" s="47"/>
      <c r="NS23" s="47"/>
      <c r="NT23" s="47"/>
      <c r="NU23" s="47"/>
      <c r="NV23" s="47"/>
      <c r="NW23" s="47"/>
      <c r="NX23" s="47"/>
      <c r="NY23" s="47"/>
      <c r="NZ23" s="47"/>
      <c r="OA23" s="47"/>
      <c r="OB23" s="47"/>
      <c r="OC23" s="47"/>
      <c r="OD23" s="47"/>
      <c r="OE23" s="48"/>
    </row>
    <row r="24" spans="1:395">
      <c r="A24" s="33" t="str">
        <f t="shared" si="16"/>
        <v/>
      </c>
      <c r="C24" s="2" t="str">
        <f>IF(ISBLANK($B24),"",_xlfn.XLOOKUP($B24,Task_No,Project!$C$3:$C$144,"INVALID TASK"))</f>
        <v/>
      </c>
      <c r="D24" s="27"/>
      <c r="E24" s="7" t="str">
        <f t="shared" si="18"/>
        <v/>
      </c>
      <c r="F24" s="7" t="str">
        <f t="shared" si="17"/>
        <v/>
      </c>
      <c r="G24" s="34"/>
      <c r="H24" s="34" t="str" cm="1">
        <f t="array" ref="H24">IF($C24="","",SUMPRODUCT((TEXT($AE$5:$OE$5, "mmm")=LOWER(G$3))*$AE24:$OE24))</f>
        <v/>
      </c>
      <c r="I24" s="34"/>
      <c r="J24" s="34" t="str" cm="1">
        <f t="array" ref="J24">IF($C24="","",SUMPRODUCT((TEXT($AE$5:$OE$5, "mmm")=LOWER(I$3))*$AE24:$OE24))</f>
        <v/>
      </c>
      <c r="K24" s="34"/>
      <c r="L24" s="34" t="str" cm="1">
        <f t="array" ref="L24">IF($C24="","",SUMPRODUCT((TEXT($AE$5:$OE$5, "mmm")=LOWER(K$3))*$AE24:$OE24))</f>
        <v/>
      </c>
      <c r="M24" s="34"/>
      <c r="N24" s="34" t="str" cm="1">
        <f t="array" ref="N24">IF($C24="","",SUMPRODUCT((TEXT($AE$5:$OE$5, "mmm")=LOWER(M$3))*$AE24:$OE24))</f>
        <v/>
      </c>
      <c r="O24" s="34"/>
      <c r="P24" s="34" t="str" cm="1">
        <f t="array" ref="P24">IF($C24="","",SUMPRODUCT((TEXT($AE$5:$OE$5, "mmm")=LOWER(O$3))*$AE24:$OE24))</f>
        <v/>
      </c>
      <c r="Q24" s="34"/>
      <c r="R24" s="34" t="str" cm="1">
        <f t="array" ref="R24">IF($C24="","",SUMPRODUCT((TEXT($AE$5:$OE$5, "mmm")=LOWER(Q$3))*$AE24:$OE24))</f>
        <v/>
      </c>
      <c r="S24" s="34"/>
      <c r="T24" s="34" t="str" cm="1">
        <f t="array" ref="T24">IF($C24="","",SUMPRODUCT((TEXT($AE$5:$OE$5, "mmm")=LOWER(S$3))*$AE24:$OE24))</f>
        <v/>
      </c>
      <c r="U24" s="34"/>
      <c r="V24" s="34" t="str" cm="1">
        <f t="array" ref="V24">IF($C24="","",SUMPRODUCT((TEXT($AE$5:$OE$5, "mmm")=LOWER(U$3))*$AE24:$OE24))</f>
        <v/>
      </c>
      <c r="W24" s="34"/>
      <c r="X24" s="34" t="str" cm="1">
        <f t="array" ref="X24">IF($C24="","",SUMPRODUCT((TEXT($AE$5:$OE$5, "mmm")=LOWER(W$3))*$AE24:$OE24))</f>
        <v/>
      </c>
      <c r="Y24" s="34"/>
      <c r="Z24" s="34" t="str" cm="1">
        <f t="array" ref="Z24">IF($C24="","",SUMPRODUCT((TEXT($AE$5:$OE$5, "mmm")=LOWER(Y$3))*$AE24:$OE24))</f>
        <v/>
      </c>
      <c r="AA24" s="34"/>
      <c r="AB24" s="34" t="str" cm="1">
        <f t="array" ref="AB24">IF($C24="","",SUMPRODUCT((TEXT($AE$5:$OE$5, "mmm")=LOWER(AA$3))*$AE24:$OE24))</f>
        <v/>
      </c>
      <c r="AC24" s="34"/>
      <c r="AD24" s="34" t="str" cm="1">
        <f t="array" ref="AD24">IF($C24="","",SUMPRODUCT((TEXT($AE$5:$OE$5, "mmm")=LOWER(AC$3))*$AE24:$OE24))</f>
        <v/>
      </c>
      <c r="AE24" s="47"/>
      <c r="AF24" s="47"/>
      <c r="AG24" s="47"/>
      <c r="AH24" s="47"/>
      <c r="AI24" s="47"/>
      <c r="AJ24" s="47"/>
      <c r="AK24" s="47"/>
      <c r="AL24" s="47"/>
      <c r="AM24" s="47"/>
      <c r="AN24" s="47"/>
      <c r="AO24" s="47"/>
      <c r="AP24" s="47"/>
      <c r="AQ24" s="47"/>
      <c r="AR24" s="47"/>
      <c r="AS24" s="47"/>
      <c r="AT24" s="47"/>
      <c r="AU24" s="47"/>
      <c r="AV24" s="47"/>
      <c r="AW24" s="47"/>
      <c r="AX24" s="47"/>
      <c r="AY24" s="47"/>
      <c r="AZ24" s="47"/>
      <c r="BA24" s="47"/>
      <c r="BB24" s="47"/>
      <c r="BC24" s="47"/>
      <c r="BD24" s="47"/>
      <c r="BE24" s="47"/>
      <c r="BF24" s="47"/>
      <c r="BG24" s="47"/>
      <c r="BH24" s="47"/>
      <c r="BI24" s="47"/>
      <c r="BJ24" s="47"/>
      <c r="BK24" s="47"/>
      <c r="BL24" s="47"/>
      <c r="BM24" s="47"/>
      <c r="BN24" s="47"/>
      <c r="BO24" s="47"/>
      <c r="BP24" s="47"/>
      <c r="BQ24" s="47"/>
      <c r="BR24" s="47"/>
      <c r="BS24" s="47"/>
      <c r="BT24" s="47"/>
      <c r="BU24" s="47"/>
      <c r="BV24" s="47"/>
      <c r="BW24" s="47"/>
      <c r="BX24" s="47"/>
      <c r="BY24" s="47"/>
      <c r="BZ24" s="47"/>
      <c r="CA24" s="47"/>
      <c r="CB24" s="47"/>
      <c r="CC24" s="47"/>
      <c r="CD24" s="47"/>
      <c r="CE24" s="47"/>
      <c r="CF24" s="47"/>
      <c r="CG24" s="47"/>
      <c r="CH24" s="47"/>
      <c r="CI24" s="47"/>
      <c r="CJ24" s="47"/>
      <c r="CK24" s="47"/>
      <c r="CL24" s="47"/>
      <c r="CM24" s="47"/>
      <c r="CN24" s="47"/>
      <c r="CO24" s="47"/>
      <c r="CP24" s="47"/>
      <c r="CQ24" s="47"/>
      <c r="CR24" s="47"/>
      <c r="CS24" s="47"/>
      <c r="CT24" s="47"/>
      <c r="CU24" s="47"/>
      <c r="CV24" s="47"/>
      <c r="CW24" s="47"/>
      <c r="CX24" s="47"/>
      <c r="CY24" s="47"/>
      <c r="CZ24" s="47"/>
      <c r="DA24" s="47"/>
      <c r="DB24" s="47"/>
      <c r="DC24" s="47"/>
      <c r="DD24" s="47"/>
      <c r="DE24" s="47"/>
      <c r="DF24" s="47"/>
      <c r="DG24" s="47"/>
      <c r="DH24" s="47"/>
      <c r="DI24" s="47"/>
      <c r="DJ24" s="47"/>
      <c r="DK24" s="47"/>
      <c r="DL24" s="47"/>
      <c r="DM24" s="47"/>
      <c r="DN24" s="47"/>
      <c r="DO24" s="47"/>
      <c r="DP24" s="47"/>
      <c r="DQ24" s="47"/>
      <c r="DR24" s="47"/>
      <c r="DS24" s="47"/>
      <c r="DT24" s="47"/>
      <c r="DU24" s="47"/>
      <c r="DV24" s="47"/>
      <c r="DW24" s="47"/>
      <c r="DX24" s="47"/>
      <c r="DY24" s="47"/>
      <c r="DZ24" s="47"/>
      <c r="EA24" s="47"/>
      <c r="EB24" s="47"/>
      <c r="EC24" s="47"/>
      <c r="ED24" s="47"/>
      <c r="EE24" s="47"/>
      <c r="EF24" s="47"/>
      <c r="EG24" s="47"/>
      <c r="EH24" s="47"/>
      <c r="EI24" s="47"/>
      <c r="EJ24" s="47"/>
      <c r="EK24" s="47"/>
      <c r="EL24" s="47"/>
      <c r="EM24" s="47"/>
      <c r="EN24" s="47"/>
      <c r="EO24" s="47"/>
      <c r="EP24" s="47"/>
      <c r="EQ24" s="47"/>
      <c r="ER24" s="47"/>
      <c r="ES24" s="47"/>
      <c r="ET24" s="47"/>
      <c r="EU24" s="47"/>
      <c r="EV24" s="47"/>
      <c r="EW24" s="47"/>
      <c r="EX24" s="47"/>
      <c r="EY24" s="47"/>
      <c r="EZ24" s="47"/>
      <c r="FA24" s="47"/>
      <c r="FB24" s="47"/>
      <c r="FC24" s="47"/>
      <c r="FD24" s="47"/>
      <c r="FE24" s="47"/>
      <c r="FF24" s="47"/>
      <c r="FG24" s="47"/>
      <c r="FH24" s="47"/>
      <c r="FI24" s="47"/>
      <c r="FJ24" s="47"/>
      <c r="FK24" s="47"/>
      <c r="FL24" s="47"/>
      <c r="FM24" s="47"/>
      <c r="FN24" s="47"/>
      <c r="FO24" s="47"/>
      <c r="FP24" s="47"/>
      <c r="FQ24" s="47"/>
      <c r="FR24" s="47"/>
      <c r="FS24" s="47"/>
      <c r="FT24" s="47"/>
      <c r="FU24" s="47"/>
      <c r="FV24" s="47"/>
      <c r="FW24" s="47"/>
      <c r="FX24" s="47"/>
      <c r="FY24" s="47"/>
      <c r="FZ24" s="47"/>
      <c r="GA24" s="47"/>
      <c r="GB24" s="47"/>
      <c r="GC24" s="47"/>
      <c r="GD24" s="47"/>
      <c r="GE24" s="47"/>
      <c r="GF24" s="47"/>
      <c r="GG24" s="47"/>
      <c r="GH24" s="47"/>
      <c r="GI24" s="47"/>
      <c r="GJ24" s="47"/>
      <c r="GK24" s="47"/>
      <c r="GL24" s="47"/>
      <c r="GM24" s="47"/>
      <c r="GN24" s="47"/>
      <c r="GO24" s="47"/>
      <c r="GP24" s="47"/>
      <c r="GQ24" s="47"/>
      <c r="GR24" s="47"/>
      <c r="GS24" s="47"/>
      <c r="GT24" s="47"/>
      <c r="GU24" s="47"/>
      <c r="GV24" s="47"/>
      <c r="GW24" s="47"/>
      <c r="GX24" s="47"/>
      <c r="GY24" s="47"/>
      <c r="GZ24" s="47"/>
      <c r="HA24" s="47"/>
      <c r="HB24" s="47"/>
      <c r="HC24" s="47"/>
      <c r="HD24" s="47"/>
      <c r="HE24" s="47"/>
      <c r="HF24" s="47"/>
      <c r="HG24" s="47"/>
      <c r="HH24" s="47"/>
      <c r="HI24" s="47"/>
      <c r="HJ24" s="47"/>
      <c r="HK24" s="47"/>
      <c r="HL24" s="47"/>
      <c r="HM24" s="47"/>
      <c r="HN24" s="47"/>
      <c r="HO24" s="47"/>
      <c r="HP24" s="47"/>
      <c r="HQ24" s="47"/>
      <c r="HR24" s="47"/>
      <c r="HS24" s="47"/>
      <c r="HT24" s="47"/>
      <c r="HU24" s="47"/>
      <c r="HV24" s="47"/>
      <c r="HW24" s="47"/>
      <c r="HX24" s="47"/>
      <c r="HY24" s="47"/>
      <c r="HZ24" s="47"/>
      <c r="IA24" s="47"/>
      <c r="IB24" s="47"/>
      <c r="IC24" s="47"/>
      <c r="ID24" s="47"/>
      <c r="IE24" s="47"/>
      <c r="IF24" s="47"/>
      <c r="IG24" s="47"/>
      <c r="IH24" s="47"/>
      <c r="II24" s="47"/>
      <c r="IJ24" s="47"/>
      <c r="IK24" s="47"/>
      <c r="IL24" s="47"/>
      <c r="IM24" s="47"/>
      <c r="IN24" s="47"/>
      <c r="IO24" s="47"/>
      <c r="IP24" s="47"/>
      <c r="IQ24" s="47"/>
      <c r="IR24" s="47"/>
      <c r="IS24" s="47"/>
      <c r="IT24" s="47"/>
      <c r="IU24" s="47"/>
      <c r="IV24" s="47"/>
      <c r="IW24" s="47"/>
      <c r="IX24" s="47"/>
      <c r="IY24" s="47"/>
      <c r="IZ24" s="47"/>
      <c r="JA24" s="47"/>
      <c r="JB24" s="47"/>
      <c r="JC24" s="47"/>
      <c r="JD24" s="47"/>
      <c r="JE24" s="47"/>
      <c r="JF24" s="47"/>
      <c r="JG24" s="47"/>
      <c r="JH24" s="47"/>
      <c r="JI24" s="47"/>
      <c r="JJ24" s="47"/>
      <c r="JK24" s="47"/>
      <c r="JL24" s="47"/>
      <c r="JM24" s="47"/>
      <c r="JN24" s="47"/>
      <c r="JO24" s="47"/>
      <c r="JP24" s="47"/>
      <c r="JQ24" s="47"/>
      <c r="JR24" s="47"/>
      <c r="JS24" s="47"/>
      <c r="JT24" s="47"/>
      <c r="JU24" s="47"/>
      <c r="JV24" s="47"/>
      <c r="JW24" s="47"/>
      <c r="JX24" s="47"/>
      <c r="JY24" s="47"/>
      <c r="JZ24" s="47"/>
      <c r="KA24" s="47"/>
      <c r="KB24" s="47"/>
      <c r="KC24" s="47"/>
      <c r="KD24" s="47"/>
      <c r="KE24" s="47"/>
      <c r="KF24" s="47"/>
      <c r="KG24" s="47"/>
      <c r="KH24" s="47"/>
      <c r="KI24" s="47"/>
      <c r="KJ24" s="47"/>
      <c r="KK24" s="47"/>
      <c r="KL24" s="47"/>
      <c r="KM24" s="47"/>
      <c r="KN24" s="47"/>
      <c r="KO24" s="47"/>
      <c r="KP24" s="47"/>
      <c r="KQ24" s="47"/>
      <c r="KR24" s="47"/>
      <c r="KS24" s="47"/>
      <c r="KT24" s="47"/>
      <c r="KU24" s="47"/>
      <c r="KV24" s="47"/>
      <c r="KW24" s="47"/>
      <c r="KX24" s="47"/>
      <c r="KY24" s="47"/>
      <c r="KZ24" s="47"/>
      <c r="LA24" s="47"/>
      <c r="LB24" s="47"/>
      <c r="LC24" s="47"/>
      <c r="LD24" s="47"/>
      <c r="LE24" s="47"/>
      <c r="LF24" s="47"/>
      <c r="LG24" s="47"/>
      <c r="LH24" s="47"/>
      <c r="LI24" s="47"/>
      <c r="LJ24" s="47"/>
      <c r="LK24" s="47"/>
      <c r="LL24" s="47"/>
      <c r="LM24" s="47"/>
      <c r="LN24" s="47"/>
      <c r="LO24" s="47"/>
      <c r="LP24" s="47"/>
      <c r="LQ24" s="47"/>
      <c r="LR24" s="47"/>
      <c r="LS24" s="47"/>
      <c r="LT24" s="47"/>
      <c r="LU24" s="47"/>
      <c r="LV24" s="47"/>
      <c r="LW24" s="47"/>
      <c r="LX24" s="47"/>
      <c r="LY24" s="47"/>
      <c r="LZ24" s="47"/>
      <c r="MA24" s="47"/>
      <c r="MB24" s="47"/>
      <c r="MC24" s="47"/>
      <c r="MD24" s="47"/>
      <c r="ME24" s="47"/>
      <c r="MF24" s="47"/>
      <c r="MG24" s="47"/>
      <c r="MH24" s="47"/>
      <c r="MI24" s="47"/>
      <c r="MJ24" s="47"/>
      <c r="MK24" s="47"/>
      <c r="ML24" s="47"/>
      <c r="MM24" s="47"/>
      <c r="MN24" s="47"/>
      <c r="MO24" s="47"/>
      <c r="MP24" s="47"/>
      <c r="MQ24" s="47"/>
      <c r="MR24" s="47"/>
      <c r="MS24" s="47"/>
      <c r="MT24" s="47"/>
      <c r="MU24" s="47"/>
      <c r="MV24" s="47"/>
      <c r="MW24" s="47"/>
      <c r="MX24" s="47"/>
      <c r="MY24" s="47"/>
      <c r="MZ24" s="47"/>
      <c r="NA24" s="47"/>
      <c r="NB24" s="47"/>
      <c r="NC24" s="47"/>
      <c r="ND24" s="47"/>
      <c r="NE24" s="47"/>
      <c r="NF24" s="47"/>
      <c r="NG24" s="47"/>
      <c r="NH24" s="47"/>
      <c r="NI24" s="47"/>
      <c r="NJ24" s="47"/>
      <c r="NK24" s="47"/>
      <c r="NL24" s="47"/>
      <c r="NM24" s="47"/>
      <c r="NN24" s="47"/>
      <c r="NO24" s="47"/>
      <c r="NP24" s="47"/>
      <c r="NQ24" s="47"/>
      <c r="NR24" s="47"/>
      <c r="NS24" s="47"/>
      <c r="NT24" s="47"/>
      <c r="NU24" s="47"/>
      <c r="NV24" s="47"/>
      <c r="NW24" s="47"/>
      <c r="NX24" s="47"/>
      <c r="NY24" s="47"/>
      <c r="NZ24" s="47"/>
      <c r="OA24" s="47"/>
      <c r="OB24" s="47"/>
      <c r="OC24" s="47"/>
      <c r="OD24" s="47"/>
      <c r="OE24" s="48"/>
    </row>
    <row r="25" spans="1:395">
      <c r="A25" s="33" t="str">
        <f t="shared" si="16"/>
        <v/>
      </c>
      <c r="C25" s="2" t="str">
        <f>IF(ISBLANK($B25),"",_xlfn.XLOOKUP($B25,Task_No,Project!$C$3:$C$144,"INVALID TASK"))</f>
        <v/>
      </c>
      <c r="D25" s="27"/>
      <c r="E25" s="7" t="str">
        <f t="shared" si="18"/>
        <v/>
      </c>
      <c r="F25" s="7" t="str">
        <f t="shared" si="17"/>
        <v/>
      </c>
      <c r="G25" s="34"/>
      <c r="H25" s="34" t="str" cm="1">
        <f t="array" ref="H25">IF($C25="","",SUMPRODUCT((TEXT($AE$5:$OE$5, "mmm")=LOWER(G$3))*$AE25:$OE25))</f>
        <v/>
      </c>
      <c r="I25" s="34"/>
      <c r="J25" s="34" t="str" cm="1">
        <f t="array" ref="J25">IF($C25="","",SUMPRODUCT((TEXT($AE$5:$OE$5, "mmm")=LOWER(I$3))*$AE25:$OE25))</f>
        <v/>
      </c>
      <c r="K25" s="34"/>
      <c r="L25" s="34" t="str" cm="1">
        <f t="array" ref="L25">IF($C25="","",SUMPRODUCT((TEXT($AE$5:$OE$5, "mmm")=LOWER(K$3))*$AE25:$OE25))</f>
        <v/>
      </c>
      <c r="M25" s="34"/>
      <c r="N25" s="34" t="str" cm="1">
        <f t="array" ref="N25">IF($C25="","",SUMPRODUCT((TEXT($AE$5:$OE$5, "mmm")=LOWER(M$3))*$AE25:$OE25))</f>
        <v/>
      </c>
      <c r="O25" s="34"/>
      <c r="P25" s="34" t="str" cm="1">
        <f t="array" ref="P25">IF($C25="","",SUMPRODUCT((TEXT($AE$5:$OE$5, "mmm")=LOWER(O$3))*$AE25:$OE25))</f>
        <v/>
      </c>
      <c r="Q25" s="34"/>
      <c r="R25" s="34" t="str" cm="1">
        <f t="array" ref="R25">IF($C25="","",SUMPRODUCT((TEXT($AE$5:$OE$5, "mmm")=LOWER(Q$3))*$AE25:$OE25))</f>
        <v/>
      </c>
      <c r="S25" s="34"/>
      <c r="T25" s="34" t="str" cm="1">
        <f t="array" ref="T25">IF($C25="","",SUMPRODUCT((TEXT($AE$5:$OE$5, "mmm")=LOWER(S$3))*$AE25:$OE25))</f>
        <v/>
      </c>
      <c r="U25" s="34"/>
      <c r="V25" s="34" t="str" cm="1">
        <f t="array" ref="V25">IF($C25="","",SUMPRODUCT((TEXT($AE$5:$OE$5, "mmm")=LOWER(U$3))*$AE25:$OE25))</f>
        <v/>
      </c>
      <c r="W25" s="34"/>
      <c r="X25" s="34" t="str" cm="1">
        <f t="array" ref="X25">IF($C25="","",SUMPRODUCT((TEXT($AE$5:$OE$5, "mmm")=LOWER(W$3))*$AE25:$OE25))</f>
        <v/>
      </c>
      <c r="Y25" s="34"/>
      <c r="Z25" s="34" t="str" cm="1">
        <f t="array" ref="Z25">IF($C25="","",SUMPRODUCT((TEXT($AE$5:$OE$5, "mmm")=LOWER(Y$3))*$AE25:$OE25))</f>
        <v/>
      </c>
      <c r="AA25" s="34"/>
      <c r="AB25" s="34" t="str" cm="1">
        <f t="array" ref="AB25">IF($C25="","",SUMPRODUCT((TEXT($AE$5:$OE$5, "mmm")=LOWER(AA$3))*$AE25:$OE25))</f>
        <v/>
      </c>
      <c r="AC25" s="34"/>
      <c r="AD25" s="34" t="str" cm="1">
        <f t="array" ref="AD25">IF($C25="","",SUMPRODUCT((TEXT($AE$5:$OE$5, "mmm")=LOWER(AC$3))*$AE25:$OE25))</f>
        <v/>
      </c>
      <c r="AE25" s="47"/>
      <c r="AF25" s="47"/>
      <c r="AG25" s="47"/>
      <c r="AH25" s="47"/>
      <c r="AI25" s="47"/>
      <c r="AJ25" s="47"/>
      <c r="AK25" s="47"/>
      <c r="AL25" s="47"/>
      <c r="AM25" s="47"/>
      <c r="AN25" s="47"/>
      <c r="AO25" s="47"/>
      <c r="AP25" s="47"/>
      <c r="AQ25" s="47"/>
      <c r="AR25" s="47"/>
      <c r="AS25" s="47"/>
      <c r="AT25" s="47"/>
      <c r="AU25" s="47"/>
      <c r="AV25" s="47"/>
      <c r="AW25" s="47"/>
      <c r="AX25" s="47"/>
      <c r="AY25" s="47"/>
      <c r="AZ25" s="47"/>
      <c r="BA25" s="47"/>
      <c r="BB25" s="47"/>
      <c r="BC25" s="47"/>
      <c r="BD25" s="47"/>
      <c r="BE25" s="47"/>
      <c r="BF25" s="47"/>
      <c r="BG25" s="47"/>
      <c r="BH25" s="47"/>
      <c r="BI25" s="47"/>
      <c r="BJ25" s="47"/>
      <c r="BK25" s="47"/>
      <c r="BL25" s="47"/>
      <c r="BM25" s="47"/>
      <c r="BN25" s="47"/>
      <c r="BO25" s="47"/>
      <c r="BP25" s="47"/>
      <c r="BQ25" s="47"/>
      <c r="BR25" s="47"/>
      <c r="BS25" s="47"/>
      <c r="BT25" s="47"/>
      <c r="BU25" s="47"/>
      <c r="BV25" s="47"/>
      <c r="BW25" s="47"/>
      <c r="BX25" s="47"/>
      <c r="BY25" s="47"/>
      <c r="BZ25" s="47"/>
      <c r="CA25" s="47"/>
      <c r="CB25" s="47"/>
      <c r="CC25" s="47"/>
      <c r="CD25" s="47"/>
      <c r="CE25" s="47"/>
      <c r="CF25" s="47"/>
      <c r="CG25" s="47"/>
      <c r="CH25" s="47"/>
      <c r="CI25" s="47"/>
      <c r="CJ25" s="47"/>
      <c r="CK25" s="47"/>
      <c r="CL25" s="47"/>
      <c r="CM25" s="47"/>
      <c r="CN25" s="47"/>
      <c r="CO25" s="47"/>
      <c r="CP25" s="47"/>
      <c r="CQ25" s="47"/>
      <c r="CR25" s="47"/>
      <c r="CS25" s="47"/>
      <c r="CT25" s="47"/>
      <c r="CU25" s="47"/>
      <c r="CV25" s="47"/>
      <c r="CW25" s="47"/>
      <c r="CX25" s="47"/>
      <c r="CY25" s="47"/>
      <c r="CZ25" s="47"/>
      <c r="DA25" s="47"/>
      <c r="DB25" s="47"/>
      <c r="DC25" s="47"/>
      <c r="DD25" s="47"/>
      <c r="DE25" s="47"/>
      <c r="DF25" s="47"/>
      <c r="DG25" s="47"/>
      <c r="DH25" s="47"/>
      <c r="DI25" s="47"/>
      <c r="DJ25" s="47"/>
      <c r="DK25" s="47"/>
      <c r="DL25" s="47"/>
      <c r="DM25" s="47"/>
      <c r="DN25" s="47"/>
      <c r="DO25" s="47"/>
      <c r="DP25" s="47"/>
      <c r="DQ25" s="47"/>
      <c r="DR25" s="47"/>
      <c r="DS25" s="47"/>
      <c r="DT25" s="47"/>
      <c r="DU25" s="47"/>
      <c r="DV25" s="47"/>
      <c r="DW25" s="47"/>
      <c r="DX25" s="47"/>
      <c r="DY25" s="47"/>
      <c r="DZ25" s="47"/>
      <c r="EA25" s="47"/>
      <c r="EB25" s="47"/>
      <c r="EC25" s="47"/>
      <c r="ED25" s="47"/>
      <c r="EE25" s="47"/>
      <c r="EF25" s="47"/>
      <c r="EG25" s="47"/>
      <c r="EH25" s="47"/>
      <c r="EI25" s="47"/>
      <c r="EJ25" s="47"/>
      <c r="EK25" s="47"/>
      <c r="EL25" s="47"/>
      <c r="EM25" s="47"/>
      <c r="EN25" s="47"/>
      <c r="EO25" s="47"/>
      <c r="EP25" s="47"/>
      <c r="EQ25" s="47"/>
      <c r="ER25" s="47"/>
      <c r="ES25" s="47"/>
      <c r="ET25" s="47"/>
      <c r="EU25" s="47"/>
      <c r="EV25" s="47"/>
      <c r="EW25" s="47"/>
      <c r="EX25" s="47"/>
      <c r="EY25" s="47"/>
      <c r="EZ25" s="47"/>
      <c r="FA25" s="47"/>
      <c r="FB25" s="47"/>
      <c r="FC25" s="47"/>
      <c r="FD25" s="47"/>
      <c r="FE25" s="47"/>
      <c r="FF25" s="47"/>
      <c r="FG25" s="47"/>
      <c r="FH25" s="47"/>
      <c r="FI25" s="47"/>
      <c r="FJ25" s="47"/>
      <c r="FK25" s="47"/>
      <c r="FL25" s="47"/>
      <c r="FM25" s="47"/>
      <c r="FN25" s="47"/>
      <c r="FO25" s="47"/>
      <c r="FP25" s="47"/>
      <c r="FQ25" s="47"/>
      <c r="FR25" s="47"/>
      <c r="FS25" s="47"/>
      <c r="FT25" s="47"/>
      <c r="FU25" s="47"/>
      <c r="FV25" s="47"/>
      <c r="FW25" s="47"/>
      <c r="FX25" s="47"/>
      <c r="FY25" s="47"/>
      <c r="FZ25" s="47"/>
      <c r="GA25" s="47"/>
      <c r="GB25" s="47"/>
      <c r="GC25" s="47"/>
      <c r="GD25" s="47"/>
      <c r="GE25" s="47"/>
      <c r="GF25" s="47"/>
      <c r="GG25" s="47"/>
      <c r="GH25" s="47"/>
      <c r="GI25" s="47"/>
      <c r="GJ25" s="47"/>
      <c r="GK25" s="47"/>
      <c r="GL25" s="47"/>
      <c r="GM25" s="47"/>
      <c r="GN25" s="47"/>
      <c r="GO25" s="47"/>
      <c r="GP25" s="47"/>
      <c r="GQ25" s="47"/>
      <c r="GR25" s="47"/>
      <c r="GS25" s="47"/>
      <c r="GT25" s="47"/>
      <c r="GU25" s="47"/>
      <c r="GV25" s="47"/>
      <c r="GW25" s="47"/>
      <c r="GX25" s="47"/>
      <c r="GY25" s="47"/>
      <c r="GZ25" s="47"/>
      <c r="HA25" s="47"/>
      <c r="HB25" s="47"/>
      <c r="HC25" s="47"/>
      <c r="HD25" s="47"/>
      <c r="HE25" s="47"/>
      <c r="HF25" s="47"/>
      <c r="HG25" s="47"/>
      <c r="HH25" s="47"/>
      <c r="HI25" s="47"/>
      <c r="HJ25" s="47"/>
      <c r="HK25" s="47"/>
      <c r="HL25" s="47"/>
      <c r="HM25" s="47"/>
      <c r="HN25" s="47"/>
      <c r="HO25" s="47"/>
      <c r="HP25" s="47"/>
      <c r="HQ25" s="47"/>
      <c r="HR25" s="47"/>
      <c r="HS25" s="47"/>
      <c r="HT25" s="47"/>
      <c r="HU25" s="47"/>
      <c r="HV25" s="47"/>
      <c r="HW25" s="47"/>
      <c r="HX25" s="47"/>
      <c r="HY25" s="47"/>
      <c r="HZ25" s="47"/>
      <c r="IA25" s="47"/>
      <c r="IB25" s="47"/>
      <c r="IC25" s="47"/>
      <c r="ID25" s="47"/>
      <c r="IE25" s="47"/>
      <c r="IF25" s="47"/>
      <c r="IG25" s="47"/>
      <c r="IH25" s="47"/>
      <c r="II25" s="47"/>
      <c r="IJ25" s="47"/>
      <c r="IK25" s="47"/>
      <c r="IL25" s="47"/>
      <c r="IM25" s="47"/>
      <c r="IN25" s="47"/>
      <c r="IO25" s="47"/>
      <c r="IP25" s="47"/>
      <c r="IQ25" s="47"/>
      <c r="IR25" s="47"/>
      <c r="IS25" s="47"/>
      <c r="IT25" s="47"/>
      <c r="IU25" s="47"/>
      <c r="IV25" s="47"/>
      <c r="IW25" s="47"/>
      <c r="IX25" s="47"/>
      <c r="IY25" s="47"/>
      <c r="IZ25" s="47"/>
      <c r="JA25" s="47"/>
      <c r="JB25" s="47"/>
      <c r="JC25" s="47"/>
      <c r="JD25" s="47"/>
      <c r="JE25" s="47"/>
      <c r="JF25" s="47"/>
      <c r="JG25" s="47"/>
      <c r="JH25" s="47"/>
      <c r="JI25" s="47"/>
      <c r="JJ25" s="47"/>
      <c r="JK25" s="47"/>
      <c r="JL25" s="47"/>
      <c r="JM25" s="47"/>
      <c r="JN25" s="47"/>
      <c r="JO25" s="47"/>
      <c r="JP25" s="47"/>
      <c r="JQ25" s="47"/>
      <c r="JR25" s="47"/>
      <c r="JS25" s="47"/>
      <c r="JT25" s="47"/>
      <c r="JU25" s="47"/>
      <c r="JV25" s="47"/>
      <c r="JW25" s="47"/>
      <c r="JX25" s="47"/>
      <c r="JY25" s="47"/>
      <c r="JZ25" s="47"/>
      <c r="KA25" s="47"/>
      <c r="KB25" s="47"/>
      <c r="KC25" s="47"/>
      <c r="KD25" s="47"/>
      <c r="KE25" s="47"/>
      <c r="KF25" s="47"/>
      <c r="KG25" s="47"/>
      <c r="KH25" s="47"/>
      <c r="KI25" s="47"/>
      <c r="KJ25" s="47"/>
      <c r="KK25" s="47"/>
      <c r="KL25" s="47"/>
      <c r="KM25" s="47"/>
      <c r="KN25" s="47"/>
      <c r="KO25" s="47"/>
      <c r="KP25" s="47"/>
      <c r="KQ25" s="47"/>
      <c r="KR25" s="47"/>
      <c r="KS25" s="47"/>
      <c r="KT25" s="47"/>
      <c r="KU25" s="47"/>
      <c r="KV25" s="47"/>
      <c r="KW25" s="47"/>
      <c r="KX25" s="47"/>
      <c r="KY25" s="47"/>
      <c r="KZ25" s="47"/>
      <c r="LA25" s="47"/>
      <c r="LB25" s="47"/>
      <c r="LC25" s="47"/>
      <c r="LD25" s="47"/>
      <c r="LE25" s="47"/>
      <c r="LF25" s="47"/>
      <c r="LG25" s="47"/>
      <c r="LH25" s="47"/>
      <c r="LI25" s="47"/>
      <c r="LJ25" s="47"/>
      <c r="LK25" s="47"/>
      <c r="LL25" s="47"/>
      <c r="LM25" s="47"/>
      <c r="LN25" s="47"/>
      <c r="LO25" s="47"/>
      <c r="LP25" s="47"/>
      <c r="LQ25" s="47"/>
      <c r="LR25" s="47"/>
      <c r="LS25" s="47"/>
      <c r="LT25" s="47"/>
      <c r="LU25" s="47"/>
      <c r="LV25" s="47"/>
      <c r="LW25" s="47"/>
      <c r="LX25" s="47"/>
      <c r="LY25" s="47"/>
      <c r="LZ25" s="47"/>
      <c r="MA25" s="47"/>
      <c r="MB25" s="47"/>
      <c r="MC25" s="47"/>
      <c r="MD25" s="47"/>
      <c r="ME25" s="47"/>
      <c r="MF25" s="47"/>
      <c r="MG25" s="47"/>
      <c r="MH25" s="47"/>
      <c r="MI25" s="47"/>
      <c r="MJ25" s="47"/>
      <c r="MK25" s="47"/>
      <c r="ML25" s="47"/>
      <c r="MM25" s="47"/>
      <c r="MN25" s="47"/>
      <c r="MO25" s="47"/>
      <c r="MP25" s="47"/>
      <c r="MQ25" s="47"/>
      <c r="MR25" s="47"/>
      <c r="MS25" s="47"/>
      <c r="MT25" s="47"/>
      <c r="MU25" s="47"/>
      <c r="MV25" s="47"/>
      <c r="MW25" s="47"/>
      <c r="MX25" s="47"/>
      <c r="MY25" s="47"/>
      <c r="MZ25" s="47"/>
      <c r="NA25" s="47"/>
      <c r="NB25" s="47"/>
      <c r="NC25" s="47"/>
      <c r="ND25" s="47"/>
      <c r="NE25" s="47"/>
      <c r="NF25" s="47"/>
      <c r="NG25" s="47"/>
      <c r="NH25" s="47"/>
      <c r="NI25" s="47"/>
      <c r="NJ25" s="47"/>
      <c r="NK25" s="47"/>
      <c r="NL25" s="47"/>
      <c r="NM25" s="47"/>
      <c r="NN25" s="47"/>
      <c r="NO25" s="47"/>
      <c r="NP25" s="47"/>
      <c r="NQ25" s="47"/>
      <c r="NR25" s="47"/>
      <c r="NS25" s="47"/>
      <c r="NT25" s="47"/>
      <c r="NU25" s="47"/>
      <c r="NV25" s="47"/>
      <c r="NW25" s="47"/>
      <c r="NX25" s="47"/>
      <c r="NY25" s="47"/>
      <c r="NZ25" s="47"/>
      <c r="OA25" s="47"/>
      <c r="OB25" s="47"/>
      <c r="OC25" s="47"/>
      <c r="OD25" s="47"/>
      <c r="OE25" s="48"/>
    </row>
    <row r="26" spans="1:395">
      <c r="A26" s="33" t="str">
        <f t="shared" si="16"/>
        <v/>
      </c>
      <c r="C26" s="2" t="str">
        <f>IF(ISBLANK($B26),"",_xlfn.XLOOKUP($B26,Task_No,Project!$C$3:$C$144,"INVALID TASK"))</f>
        <v/>
      </c>
      <c r="D26" s="27"/>
      <c r="E26" s="7" t="str">
        <f t="shared" si="18"/>
        <v/>
      </c>
      <c r="F26" s="7" t="str">
        <f t="shared" si="17"/>
        <v/>
      </c>
      <c r="G26" s="34"/>
      <c r="H26" s="34" t="str" cm="1">
        <f t="array" ref="H26">IF($C26="","",SUMPRODUCT((TEXT($AE$5:$OE$5, "mmm")=LOWER(G$3))*$AE26:$OE26))</f>
        <v/>
      </c>
      <c r="I26" s="34"/>
      <c r="J26" s="34" t="str" cm="1">
        <f t="array" ref="J26">IF($C26="","",SUMPRODUCT((TEXT($AE$5:$OE$5, "mmm")=LOWER(I$3))*$AE26:$OE26))</f>
        <v/>
      </c>
      <c r="K26" s="34"/>
      <c r="L26" s="34" t="str" cm="1">
        <f t="array" ref="L26">IF($C26="","",SUMPRODUCT((TEXT($AE$5:$OE$5, "mmm")=LOWER(K$3))*$AE26:$OE26))</f>
        <v/>
      </c>
      <c r="M26" s="34"/>
      <c r="N26" s="34" t="str" cm="1">
        <f t="array" ref="N26">IF($C26="","",SUMPRODUCT((TEXT($AE$5:$OE$5, "mmm")=LOWER(M$3))*$AE26:$OE26))</f>
        <v/>
      </c>
      <c r="O26" s="34"/>
      <c r="P26" s="34" t="str" cm="1">
        <f t="array" ref="P26">IF($C26="","",SUMPRODUCT((TEXT($AE$5:$OE$5, "mmm")=LOWER(O$3))*$AE26:$OE26))</f>
        <v/>
      </c>
      <c r="Q26" s="34"/>
      <c r="R26" s="34" t="str" cm="1">
        <f t="array" ref="R26">IF($C26="","",SUMPRODUCT((TEXT($AE$5:$OE$5, "mmm")=LOWER(Q$3))*$AE26:$OE26))</f>
        <v/>
      </c>
      <c r="S26" s="34"/>
      <c r="T26" s="34" t="str" cm="1">
        <f t="array" ref="T26">IF($C26="","",SUMPRODUCT((TEXT($AE$5:$OE$5, "mmm")=LOWER(S$3))*$AE26:$OE26))</f>
        <v/>
      </c>
      <c r="U26" s="34"/>
      <c r="V26" s="34" t="str" cm="1">
        <f t="array" ref="V26">IF($C26="","",SUMPRODUCT((TEXT($AE$5:$OE$5, "mmm")=LOWER(U$3))*$AE26:$OE26))</f>
        <v/>
      </c>
      <c r="W26" s="34"/>
      <c r="X26" s="34" t="str" cm="1">
        <f t="array" ref="X26">IF($C26="","",SUMPRODUCT((TEXT($AE$5:$OE$5, "mmm")=LOWER(W$3))*$AE26:$OE26))</f>
        <v/>
      </c>
      <c r="Y26" s="34"/>
      <c r="Z26" s="34" t="str" cm="1">
        <f t="array" ref="Z26">IF($C26="","",SUMPRODUCT((TEXT($AE$5:$OE$5, "mmm")=LOWER(Y$3))*$AE26:$OE26))</f>
        <v/>
      </c>
      <c r="AA26" s="34"/>
      <c r="AB26" s="34" t="str" cm="1">
        <f t="array" ref="AB26">IF($C26="","",SUMPRODUCT((TEXT($AE$5:$OE$5, "mmm")=LOWER(AA$3))*$AE26:$OE26))</f>
        <v/>
      </c>
      <c r="AC26" s="34"/>
      <c r="AD26" s="34" t="str" cm="1">
        <f t="array" ref="AD26">IF($C26="","",SUMPRODUCT((TEXT($AE$5:$OE$5, "mmm")=LOWER(AC$3))*$AE26:$OE26))</f>
        <v/>
      </c>
      <c r="AE26" s="47"/>
      <c r="AF26" s="47"/>
      <c r="AG26" s="47"/>
      <c r="AH26" s="47"/>
      <c r="AI26" s="47"/>
      <c r="AJ26" s="47"/>
      <c r="AK26" s="47"/>
      <c r="AL26" s="47"/>
      <c r="AM26" s="47"/>
      <c r="AN26" s="47"/>
      <c r="AO26" s="47"/>
      <c r="AP26" s="47"/>
      <c r="AQ26" s="47"/>
      <c r="AR26" s="47"/>
      <c r="AS26" s="47"/>
      <c r="AT26" s="47"/>
      <c r="AU26" s="47"/>
      <c r="AV26" s="47"/>
      <c r="AW26" s="47"/>
      <c r="AX26" s="47"/>
      <c r="AY26" s="47"/>
      <c r="AZ26" s="47"/>
      <c r="BA26" s="47"/>
      <c r="BB26" s="47"/>
      <c r="BC26" s="47"/>
      <c r="BD26" s="47"/>
      <c r="BE26" s="47"/>
      <c r="BF26" s="47"/>
      <c r="BG26" s="47"/>
      <c r="BH26" s="47"/>
      <c r="BI26" s="47"/>
      <c r="BJ26" s="47"/>
      <c r="BK26" s="47"/>
      <c r="BL26" s="47"/>
      <c r="BM26" s="47"/>
      <c r="BN26" s="47"/>
      <c r="BO26" s="47"/>
      <c r="BP26" s="47"/>
      <c r="BQ26" s="47"/>
      <c r="BR26" s="47"/>
      <c r="BS26" s="47"/>
      <c r="BT26" s="47"/>
      <c r="BU26" s="47"/>
      <c r="BV26" s="47"/>
      <c r="BW26" s="47"/>
      <c r="BX26" s="47"/>
      <c r="BY26" s="47"/>
      <c r="BZ26" s="47"/>
      <c r="CA26" s="47"/>
      <c r="CB26" s="47"/>
      <c r="CC26" s="47"/>
      <c r="CD26" s="47"/>
      <c r="CE26" s="47"/>
      <c r="CF26" s="47"/>
      <c r="CG26" s="47"/>
      <c r="CH26" s="47"/>
      <c r="CI26" s="47"/>
      <c r="CJ26" s="47"/>
      <c r="CK26" s="47"/>
      <c r="CL26" s="47"/>
      <c r="CM26" s="47"/>
      <c r="CN26" s="47"/>
      <c r="CO26" s="47"/>
      <c r="CP26" s="47"/>
      <c r="CQ26" s="47"/>
      <c r="CR26" s="47"/>
      <c r="CS26" s="47"/>
      <c r="CT26" s="47"/>
      <c r="CU26" s="47"/>
      <c r="CV26" s="47"/>
      <c r="CW26" s="47"/>
      <c r="CX26" s="47"/>
      <c r="CY26" s="47"/>
      <c r="CZ26" s="47"/>
      <c r="DA26" s="47"/>
      <c r="DB26" s="47"/>
      <c r="DC26" s="47"/>
      <c r="DD26" s="47"/>
      <c r="DE26" s="47"/>
      <c r="DF26" s="47"/>
      <c r="DG26" s="47"/>
      <c r="DH26" s="47"/>
      <c r="DI26" s="47"/>
      <c r="DJ26" s="47"/>
      <c r="DK26" s="47"/>
      <c r="DL26" s="47"/>
      <c r="DM26" s="47"/>
      <c r="DN26" s="47"/>
      <c r="DO26" s="47"/>
      <c r="DP26" s="47"/>
      <c r="DQ26" s="47"/>
      <c r="DR26" s="47"/>
      <c r="DS26" s="47"/>
      <c r="DT26" s="47"/>
      <c r="DU26" s="47"/>
      <c r="DV26" s="47"/>
      <c r="DW26" s="47"/>
      <c r="DX26" s="47"/>
      <c r="DY26" s="47"/>
      <c r="DZ26" s="47"/>
      <c r="EA26" s="47"/>
      <c r="EB26" s="47"/>
      <c r="EC26" s="47"/>
      <c r="ED26" s="47"/>
      <c r="EE26" s="47"/>
      <c r="EF26" s="47"/>
      <c r="EG26" s="47"/>
      <c r="EH26" s="47"/>
      <c r="EI26" s="47"/>
      <c r="EJ26" s="47"/>
      <c r="EK26" s="47"/>
      <c r="EL26" s="47"/>
      <c r="EM26" s="47"/>
      <c r="EN26" s="47"/>
      <c r="EO26" s="47"/>
      <c r="EP26" s="47"/>
      <c r="EQ26" s="47"/>
      <c r="ER26" s="47"/>
      <c r="ES26" s="47"/>
      <c r="ET26" s="47"/>
      <c r="EU26" s="47"/>
      <c r="EV26" s="47"/>
      <c r="EW26" s="47"/>
      <c r="EX26" s="47"/>
      <c r="EY26" s="47"/>
      <c r="EZ26" s="47"/>
      <c r="FA26" s="47"/>
      <c r="FB26" s="47"/>
      <c r="FC26" s="47"/>
      <c r="FD26" s="47"/>
      <c r="FE26" s="47"/>
      <c r="FF26" s="47"/>
      <c r="FG26" s="47"/>
      <c r="FH26" s="47"/>
      <c r="FI26" s="47"/>
      <c r="FJ26" s="47"/>
      <c r="FK26" s="47"/>
      <c r="FL26" s="47"/>
      <c r="FM26" s="47"/>
      <c r="FN26" s="47"/>
      <c r="FO26" s="47"/>
      <c r="FP26" s="47"/>
      <c r="FQ26" s="47"/>
      <c r="FR26" s="47"/>
      <c r="FS26" s="47"/>
      <c r="FT26" s="47"/>
      <c r="FU26" s="47"/>
      <c r="FV26" s="47"/>
      <c r="FW26" s="47"/>
      <c r="FX26" s="47"/>
      <c r="FY26" s="47"/>
      <c r="FZ26" s="47"/>
      <c r="GA26" s="47"/>
      <c r="GB26" s="47"/>
      <c r="GC26" s="47"/>
      <c r="GD26" s="47"/>
      <c r="GE26" s="47"/>
      <c r="GF26" s="47"/>
      <c r="GG26" s="47"/>
      <c r="GH26" s="47"/>
      <c r="GI26" s="47"/>
      <c r="GJ26" s="47"/>
      <c r="GK26" s="47"/>
      <c r="GL26" s="47"/>
      <c r="GM26" s="47"/>
      <c r="GN26" s="47"/>
      <c r="GO26" s="47"/>
      <c r="GP26" s="47"/>
      <c r="GQ26" s="47"/>
      <c r="GR26" s="47"/>
      <c r="GS26" s="47"/>
      <c r="GT26" s="47"/>
      <c r="GU26" s="47"/>
      <c r="GV26" s="47"/>
      <c r="GW26" s="47"/>
      <c r="GX26" s="47"/>
      <c r="GY26" s="47"/>
      <c r="GZ26" s="47"/>
      <c r="HA26" s="47"/>
      <c r="HB26" s="47"/>
      <c r="HC26" s="47"/>
      <c r="HD26" s="47"/>
      <c r="HE26" s="47"/>
      <c r="HF26" s="47"/>
      <c r="HG26" s="47"/>
      <c r="HH26" s="47"/>
      <c r="HI26" s="47"/>
      <c r="HJ26" s="47"/>
      <c r="HK26" s="47"/>
      <c r="HL26" s="47"/>
      <c r="HM26" s="47"/>
      <c r="HN26" s="47"/>
      <c r="HO26" s="47"/>
      <c r="HP26" s="47"/>
      <c r="HQ26" s="47"/>
      <c r="HR26" s="47"/>
      <c r="HS26" s="47"/>
      <c r="HT26" s="47"/>
      <c r="HU26" s="47"/>
      <c r="HV26" s="47"/>
      <c r="HW26" s="47"/>
      <c r="HX26" s="47"/>
      <c r="HY26" s="47"/>
      <c r="HZ26" s="47"/>
      <c r="IA26" s="47"/>
      <c r="IB26" s="47"/>
      <c r="IC26" s="47"/>
      <c r="ID26" s="47"/>
      <c r="IE26" s="47"/>
      <c r="IF26" s="47"/>
      <c r="IG26" s="47"/>
      <c r="IH26" s="47"/>
      <c r="II26" s="47"/>
      <c r="IJ26" s="47"/>
      <c r="IK26" s="47"/>
      <c r="IL26" s="47"/>
      <c r="IM26" s="47"/>
      <c r="IN26" s="47"/>
      <c r="IO26" s="47"/>
      <c r="IP26" s="47"/>
      <c r="IQ26" s="47"/>
      <c r="IR26" s="47"/>
      <c r="IS26" s="47"/>
      <c r="IT26" s="47"/>
      <c r="IU26" s="47"/>
      <c r="IV26" s="47"/>
      <c r="IW26" s="47"/>
      <c r="IX26" s="47"/>
      <c r="IY26" s="47"/>
      <c r="IZ26" s="47"/>
      <c r="JA26" s="47"/>
      <c r="JB26" s="47"/>
      <c r="JC26" s="47"/>
      <c r="JD26" s="47"/>
      <c r="JE26" s="47"/>
      <c r="JF26" s="47"/>
      <c r="JG26" s="47"/>
      <c r="JH26" s="47"/>
      <c r="JI26" s="47"/>
      <c r="JJ26" s="47"/>
      <c r="JK26" s="47"/>
      <c r="JL26" s="47"/>
      <c r="JM26" s="47"/>
      <c r="JN26" s="47"/>
      <c r="JO26" s="47"/>
      <c r="JP26" s="47"/>
      <c r="JQ26" s="47"/>
      <c r="JR26" s="47"/>
      <c r="JS26" s="47"/>
      <c r="JT26" s="47"/>
      <c r="JU26" s="47"/>
      <c r="JV26" s="47"/>
      <c r="JW26" s="47"/>
      <c r="JX26" s="47"/>
      <c r="JY26" s="47"/>
      <c r="JZ26" s="47"/>
      <c r="KA26" s="47"/>
      <c r="KB26" s="47"/>
      <c r="KC26" s="47"/>
      <c r="KD26" s="47"/>
      <c r="KE26" s="47"/>
      <c r="KF26" s="47"/>
      <c r="KG26" s="47"/>
      <c r="KH26" s="47"/>
      <c r="KI26" s="47"/>
      <c r="KJ26" s="47"/>
      <c r="KK26" s="47"/>
      <c r="KL26" s="47"/>
      <c r="KM26" s="47"/>
      <c r="KN26" s="47"/>
      <c r="KO26" s="47"/>
      <c r="KP26" s="47"/>
      <c r="KQ26" s="47"/>
      <c r="KR26" s="47"/>
      <c r="KS26" s="47"/>
      <c r="KT26" s="47"/>
      <c r="KU26" s="47"/>
      <c r="KV26" s="47"/>
      <c r="KW26" s="47"/>
      <c r="KX26" s="47"/>
      <c r="KY26" s="47"/>
      <c r="KZ26" s="47"/>
      <c r="LA26" s="47"/>
      <c r="LB26" s="47"/>
      <c r="LC26" s="47"/>
      <c r="LD26" s="47"/>
      <c r="LE26" s="47"/>
      <c r="LF26" s="47"/>
      <c r="LG26" s="47"/>
      <c r="LH26" s="47"/>
      <c r="LI26" s="47"/>
      <c r="LJ26" s="47"/>
      <c r="LK26" s="47"/>
      <c r="LL26" s="47"/>
      <c r="LM26" s="47"/>
      <c r="LN26" s="47"/>
      <c r="LO26" s="47"/>
      <c r="LP26" s="47"/>
      <c r="LQ26" s="47"/>
      <c r="LR26" s="47"/>
      <c r="LS26" s="47"/>
      <c r="LT26" s="47"/>
      <c r="LU26" s="47"/>
      <c r="LV26" s="47"/>
      <c r="LW26" s="47"/>
      <c r="LX26" s="47"/>
      <c r="LY26" s="47"/>
      <c r="LZ26" s="47"/>
      <c r="MA26" s="47"/>
      <c r="MB26" s="47"/>
      <c r="MC26" s="47"/>
      <c r="MD26" s="47"/>
      <c r="ME26" s="47"/>
      <c r="MF26" s="47"/>
      <c r="MG26" s="47"/>
      <c r="MH26" s="47"/>
      <c r="MI26" s="47"/>
      <c r="MJ26" s="47"/>
      <c r="MK26" s="47"/>
      <c r="ML26" s="47"/>
      <c r="MM26" s="47"/>
      <c r="MN26" s="47"/>
      <c r="MO26" s="47"/>
      <c r="MP26" s="47"/>
      <c r="MQ26" s="47"/>
      <c r="MR26" s="47"/>
      <c r="MS26" s="47"/>
      <c r="MT26" s="47"/>
      <c r="MU26" s="47"/>
      <c r="MV26" s="47"/>
      <c r="MW26" s="47"/>
      <c r="MX26" s="47"/>
      <c r="MY26" s="47"/>
      <c r="MZ26" s="47"/>
      <c r="NA26" s="47"/>
      <c r="NB26" s="47"/>
      <c r="NC26" s="47"/>
      <c r="ND26" s="47"/>
      <c r="NE26" s="47"/>
      <c r="NF26" s="47"/>
      <c r="NG26" s="47"/>
      <c r="NH26" s="47"/>
      <c r="NI26" s="47"/>
      <c r="NJ26" s="47"/>
      <c r="NK26" s="47"/>
      <c r="NL26" s="47"/>
      <c r="NM26" s="47"/>
      <c r="NN26" s="47"/>
      <c r="NO26" s="47"/>
      <c r="NP26" s="47"/>
      <c r="NQ26" s="47"/>
      <c r="NR26" s="47"/>
      <c r="NS26" s="47"/>
      <c r="NT26" s="47"/>
      <c r="NU26" s="47"/>
      <c r="NV26" s="47"/>
      <c r="NW26" s="47"/>
      <c r="NX26" s="47"/>
      <c r="NY26" s="47"/>
      <c r="NZ26" s="47"/>
      <c r="OA26" s="47"/>
      <c r="OB26" s="47"/>
      <c r="OC26" s="47"/>
      <c r="OD26" s="47"/>
      <c r="OE26" s="48"/>
    </row>
    <row r="27" spans="1:395">
      <c r="A27" s="33" t="str">
        <f t="shared" si="16"/>
        <v/>
      </c>
      <c r="C27" s="2" t="str">
        <f>IF(ISBLANK($B27),"",_xlfn.XLOOKUP($B27,Task_No,Project!$C$3:$C$144,"INVALID TASK"))</f>
        <v/>
      </c>
      <c r="D27" s="27"/>
      <c r="E27" s="7" t="str">
        <f t="shared" si="18"/>
        <v/>
      </c>
      <c r="F27" s="7" t="str">
        <f t="shared" si="17"/>
        <v/>
      </c>
      <c r="G27" s="34"/>
      <c r="H27" s="34" t="str" cm="1">
        <f t="array" ref="H27">IF($C27="","",SUMPRODUCT((TEXT($AE$5:$OE$5, "mmm")=LOWER(G$3))*$AE27:$OE27))</f>
        <v/>
      </c>
      <c r="I27" s="34"/>
      <c r="J27" s="34" t="str" cm="1">
        <f t="array" ref="J27">IF($C27="","",SUMPRODUCT((TEXT($AE$5:$OE$5, "mmm")=LOWER(I$3))*$AE27:$OE27))</f>
        <v/>
      </c>
      <c r="K27" s="34"/>
      <c r="L27" s="34" t="str" cm="1">
        <f t="array" ref="L27">IF($C27="","",SUMPRODUCT((TEXT($AE$5:$OE$5, "mmm")=LOWER(K$3))*$AE27:$OE27))</f>
        <v/>
      </c>
      <c r="M27" s="34"/>
      <c r="N27" s="34" t="str" cm="1">
        <f t="array" ref="N27">IF($C27="","",SUMPRODUCT((TEXT($AE$5:$OE$5, "mmm")=LOWER(M$3))*$AE27:$OE27))</f>
        <v/>
      </c>
      <c r="O27" s="34"/>
      <c r="P27" s="34" t="str" cm="1">
        <f t="array" ref="P27">IF($C27="","",SUMPRODUCT((TEXT($AE$5:$OE$5, "mmm")=LOWER(O$3))*$AE27:$OE27))</f>
        <v/>
      </c>
      <c r="Q27" s="34"/>
      <c r="R27" s="34" t="str" cm="1">
        <f t="array" ref="R27">IF($C27="","",SUMPRODUCT((TEXT($AE$5:$OE$5, "mmm")=LOWER(Q$3))*$AE27:$OE27))</f>
        <v/>
      </c>
      <c r="S27" s="34"/>
      <c r="T27" s="34" t="str" cm="1">
        <f t="array" ref="T27">IF($C27="","",SUMPRODUCT((TEXT($AE$5:$OE$5, "mmm")=LOWER(S$3))*$AE27:$OE27))</f>
        <v/>
      </c>
      <c r="U27" s="34"/>
      <c r="V27" s="34" t="str" cm="1">
        <f t="array" ref="V27">IF($C27="","",SUMPRODUCT((TEXT($AE$5:$OE$5, "mmm")=LOWER(U$3))*$AE27:$OE27))</f>
        <v/>
      </c>
      <c r="W27" s="34"/>
      <c r="X27" s="34" t="str" cm="1">
        <f t="array" ref="X27">IF($C27="","",SUMPRODUCT((TEXT($AE$5:$OE$5, "mmm")=LOWER(W$3))*$AE27:$OE27))</f>
        <v/>
      </c>
      <c r="Y27" s="34"/>
      <c r="Z27" s="34" t="str" cm="1">
        <f t="array" ref="Z27">IF($C27="","",SUMPRODUCT((TEXT($AE$5:$OE$5, "mmm")=LOWER(Y$3))*$AE27:$OE27))</f>
        <v/>
      </c>
      <c r="AA27" s="34"/>
      <c r="AB27" s="34" t="str" cm="1">
        <f t="array" ref="AB27">IF($C27="","",SUMPRODUCT((TEXT($AE$5:$OE$5, "mmm")=LOWER(AA$3))*$AE27:$OE27))</f>
        <v/>
      </c>
      <c r="AC27" s="34"/>
      <c r="AD27" s="34" t="str" cm="1">
        <f t="array" ref="AD27">IF($C27="","",SUMPRODUCT((TEXT($AE$5:$OE$5, "mmm")=LOWER(AC$3))*$AE27:$OE27))</f>
        <v/>
      </c>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c r="CK27" s="47"/>
      <c r="CL27" s="47"/>
      <c r="CM27" s="47"/>
      <c r="CN27" s="47"/>
      <c r="CO27" s="47"/>
      <c r="CP27" s="47"/>
      <c r="CQ27" s="47"/>
      <c r="CR27" s="47"/>
      <c r="CS27" s="47"/>
      <c r="CT27" s="47"/>
      <c r="CU27" s="47"/>
      <c r="CV27" s="47"/>
      <c r="CW27" s="47"/>
      <c r="CX27" s="47"/>
      <c r="CY27" s="47"/>
      <c r="CZ27" s="47"/>
      <c r="DA27" s="47"/>
      <c r="DB27" s="47"/>
      <c r="DC27" s="47"/>
      <c r="DD27" s="47"/>
      <c r="DE27" s="47"/>
      <c r="DF27" s="47"/>
      <c r="DG27" s="47"/>
      <c r="DH27" s="47"/>
      <c r="DI27" s="47"/>
      <c r="DJ27" s="47"/>
      <c r="DK27" s="47"/>
      <c r="DL27" s="47"/>
      <c r="DM27" s="47"/>
      <c r="DN27" s="47"/>
      <c r="DO27" s="47"/>
      <c r="DP27" s="47"/>
      <c r="DQ27" s="47"/>
      <c r="DR27" s="47"/>
      <c r="DS27" s="47"/>
      <c r="DT27" s="47"/>
      <c r="DU27" s="47"/>
      <c r="DV27" s="47"/>
      <c r="DW27" s="47"/>
      <c r="DX27" s="47"/>
      <c r="DY27" s="47"/>
      <c r="DZ27" s="47"/>
      <c r="EA27" s="47"/>
      <c r="EB27" s="47"/>
      <c r="EC27" s="47"/>
      <c r="ED27" s="47"/>
      <c r="EE27" s="47"/>
      <c r="EF27" s="47"/>
      <c r="EG27" s="47"/>
      <c r="EH27" s="47"/>
      <c r="EI27" s="47"/>
      <c r="EJ27" s="47"/>
      <c r="EK27" s="47"/>
      <c r="EL27" s="47"/>
      <c r="EM27" s="47"/>
      <c r="EN27" s="47"/>
      <c r="EO27" s="47"/>
      <c r="EP27" s="47"/>
      <c r="EQ27" s="47"/>
      <c r="ER27" s="47"/>
      <c r="ES27" s="47"/>
      <c r="ET27" s="47"/>
      <c r="EU27" s="47"/>
      <c r="EV27" s="47"/>
      <c r="EW27" s="47"/>
      <c r="EX27" s="47"/>
      <c r="EY27" s="47"/>
      <c r="EZ27" s="47"/>
      <c r="FA27" s="47"/>
      <c r="FB27" s="47"/>
      <c r="FC27" s="47"/>
      <c r="FD27" s="47"/>
      <c r="FE27" s="47"/>
      <c r="FF27" s="47"/>
      <c r="FG27" s="47"/>
      <c r="FH27" s="47"/>
      <c r="FI27" s="47"/>
      <c r="FJ27" s="47"/>
      <c r="FK27" s="47"/>
      <c r="FL27" s="47"/>
      <c r="FM27" s="47"/>
      <c r="FN27" s="47"/>
      <c r="FO27" s="47"/>
      <c r="FP27" s="47"/>
      <c r="FQ27" s="47"/>
      <c r="FR27" s="47"/>
      <c r="FS27" s="47"/>
      <c r="FT27" s="47"/>
      <c r="FU27" s="47"/>
      <c r="FV27" s="47"/>
      <c r="FW27" s="47"/>
      <c r="FX27" s="47"/>
      <c r="FY27" s="47"/>
      <c r="FZ27" s="47"/>
      <c r="GA27" s="47"/>
      <c r="GB27" s="47"/>
      <c r="GC27" s="47"/>
      <c r="GD27" s="47"/>
      <c r="GE27" s="47"/>
      <c r="GF27" s="47"/>
      <c r="GG27" s="47"/>
      <c r="GH27" s="47"/>
      <c r="GI27" s="47"/>
      <c r="GJ27" s="47"/>
      <c r="GK27" s="47"/>
      <c r="GL27" s="47"/>
      <c r="GM27" s="47"/>
      <c r="GN27" s="47"/>
      <c r="GO27" s="47"/>
      <c r="GP27" s="47"/>
      <c r="GQ27" s="47"/>
      <c r="GR27" s="47"/>
      <c r="GS27" s="47"/>
      <c r="GT27" s="47"/>
      <c r="GU27" s="47"/>
      <c r="GV27" s="47"/>
      <c r="GW27" s="47"/>
      <c r="GX27" s="47"/>
      <c r="GY27" s="47"/>
      <c r="GZ27" s="47"/>
      <c r="HA27" s="47"/>
      <c r="HB27" s="47"/>
      <c r="HC27" s="47"/>
      <c r="HD27" s="47"/>
      <c r="HE27" s="47"/>
      <c r="HF27" s="47"/>
      <c r="HG27" s="47"/>
      <c r="HH27" s="47"/>
      <c r="HI27" s="47"/>
      <c r="HJ27" s="47"/>
      <c r="HK27" s="47"/>
      <c r="HL27" s="47"/>
      <c r="HM27" s="47"/>
      <c r="HN27" s="47"/>
      <c r="HO27" s="47"/>
      <c r="HP27" s="47"/>
      <c r="HQ27" s="47"/>
      <c r="HR27" s="47"/>
      <c r="HS27" s="47"/>
      <c r="HT27" s="47"/>
      <c r="HU27" s="47"/>
      <c r="HV27" s="47"/>
      <c r="HW27" s="47"/>
      <c r="HX27" s="47"/>
      <c r="HY27" s="47"/>
      <c r="HZ27" s="47"/>
      <c r="IA27" s="47"/>
      <c r="IB27" s="47"/>
      <c r="IC27" s="47"/>
      <c r="ID27" s="47"/>
      <c r="IE27" s="47"/>
      <c r="IF27" s="47"/>
      <c r="IG27" s="47"/>
      <c r="IH27" s="47"/>
      <c r="II27" s="47"/>
      <c r="IJ27" s="47"/>
      <c r="IK27" s="47"/>
      <c r="IL27" s="47"/>
      <c r="IM27" s="47"/>
      <c r="IN27" s="47"/>
      <c r="IO27" s="47"/>
      <c r="IP27" s="47"/>
      <c r="IQ27" s="47"/>
      <c r="IR27" s="47"/>
      <c r="IS27" s="47"/>
      <c r="IT27" s="47"/>
      <c r="IU27" s="47"/>
      <c r="IV27" s="47"/>
      <c r="IW27" s="47"/>
      <c r="IX27" s="47"/>
      <c r="IY27" s="47"/>
      <c r="IZ27" s="47"/>
      <c r="JA27" s="47"/>
      <c r="JB27" s="47"/>
      <c r="JC27" s="47"/>
      <c r="JD27" s="47"/>
      <c r="JE27" s="47"/>
      <c r="JF27" s="47"/>
      <c r="JG27" s="47"/>
      <c r="JH27" s="47"/>
      <c r="JI27" s="47"/>
      <c r="JJ27" s="47"/>
      <c r="JK27" s="47"/>
      <c r="JL27" s="47"/>
      <c r="JM27" s="47"/>
      <c r="JN27" s="47"/>
      <c r="JO27" s="47"/>
      <c r="JP27" s="47"/>
      <c r="JQ27" s="47"/>
      <c r="JR27" s="47"/>
      <c r="JS27" s="47"/>
      <c r="JT27" s="47"/>
      <c r="JU27" s="47"/>
      <c r="JV27" s="47"/>
      <c r="JW27" s="47"/>
      <c r="JX27" s="47"/>
      <c r="JY27" s="47"/>
      <c r="JZ27" s="47"/>
      <c r="KA27" s="47"/>
      <c r="KB27" s="47"/>
      <c r="KC27" s="47"/>
      <c r="KD27" s="47"/>
      <c r="KE27" s="47"/>
      <c r="KF27" s="47"/>
      <c r="KG27" s="47"/>
      <c r="KH27" s="47"/>
      <c r="KI27" s="47"/>
      <c r="KJ27" s="47"/>
      <c r="KK27" s="47"/>
      <c r="KL27" s="47"/>
      <c r="KM27" s="47"/>
      <c r="KN27" s="47"/>
      <c r="KO27" s="47"/>
      <c r="KP27" s="47"/>
      <c r="KQ27" s="47"/>
      <c r="KR27" s="47"/>
      <c r="KS27" s="47"/>
      <c r="KT27" s="47"/>
      <c r="KU27" s="47"/>
      <c r="KV27" s="47"/>
      <c r="KW27" s="47"/>
      <c r="KX27" s="47"/>
      <c r="KY27" s="47"/>
      <c r="KZ27" s="47"/>
      <c r="LA27" s="47"/>
      <c r="LB27" s="47"/>
      <c r="LC27" s="47"/>
      <c r="LD27" s="47"/>
      <c r="LE27" s="47"/>
      <c r="LF27" s="47"/>
      <c r="LG27" s="47"/>
      <c r="LH27" s="47"/>
      <c r="LI27" s="47"/>
      <c r="LJ27" s="47"/>
      <c r="LK27" s="47"/>
      <c r="LL27" s="47"/>
      <c r="LM27" s="47"/>
      <c r="LN27" s="47"/>
      <c r="LO27" s="47"/>
      <c r="LP27" s="47"/>
      <c r="LQ27" s="47"/>
      <c r="LR27" s="47"/>
      <c r="LS27" s="47"/>
      <c r="LT27" s="47"/>
      <c r="LU27" s="47"/>
      <c r="LV27" s="47"/>
      <c r="LW27" s="47"/>
      <c r="LX27" s="47"/>
      <c r="LY27" s="47"/>
      <c r="LZ27" s="47"/>
      <c r="MA27" s="47"/>
      <c r="MB27" s="47"/>
      <c r="MC27" s="47"/>
      <c r="MD27" s="47"/>
      <c r="ME27" s="47"/>
      <c r="MF27" s="47"/>
      <c r="MG27" s="47"/>
      <c r="MH27" s="47"/>
      <c r="MI27" s="47"/>
      <c r="MJ27" s="47"/>
      <c r="MK27" s="47"/>
      <c r="ML27" s="47"/>
      <c r="MM27" s="47"/>
      <c r="MN27" s="47"/>
      <c r="MO27" s="47"/>
      <c r="MP27" s="47"/>
      <c r="MQ27" s="47"/>
      <c r="MR27" s="47"/>
      <c r="MS27" s="47"/>
      <c r="MT27" s="47"/>
      <c r="MU27" s="47"/>
      <c r="MV27" s="47"/>
      <c r="MW27" s="47"/>
      <c r="MX27" s="47"/>
      <c r="MY27" s="47"/>
      <c r="MZ27" s="47"/>
      <c r="NA27" s="47"/>
      <c r="NB27" s="47"/>
      <c r="NC27" s="47"/>
      <c r="ND27" s="47"/>
      <c r="NE27" s="47"/>
      <c r="NF27" s="47"/>
      <c r="NG27" s="47"/>
      <c r="NH27" s="47"/>
      <c r="NI27" s="47"/>
      <c r="NJ27" s="47"/>
      <c r="NK27" s="47"/>
      <c r="NL27" s="47"/>
      <c r="NM27" s="47"/>
      <c r="NN27" s="47"/>
      <c r="NO27" s="47"/>
      <c r="NP27" s="47"/>
      <c r="NQ27" s="47"/>
      <c r="NR27" s="47"/>
      <c r="NS27" s="47"/>
      <c r="NT27" s="47"/>
      <c r="NU27" s="47"/>
      <c r="NV27" s="47"/>
      <c r="NW27" s="47"/>
      <c r="NX27" s="47"/>
      <c r="NY27" s="47"/>
      <c r="NZ27" s="47"/>
      <c r="OA27" s="47"/>
      <c r="OB27" s="47"/>
      <c r="OC27" s="47"/>
      <c r="OD27" s="47"/>
      <c r="OE27" s="48"/>
    </row>
    <row r="28" spans="1:395">
      <c r="A28" s="33" t="str">
        <f t="shared" si="16"/>
        <v/>
      </c>
      <c r="C28" s="2" t="str">
        <f>IF(ISBLANK($B28),"",_xlfn.XLOOKUP($B28,Task_No,Project!$C$3:$C$144,"INVALID TASK"))</f>
        <v/>
      </c>
      <c r="D28" s="27"/>
      <c r="E28" s="7" t="str">
        <f t="shared" si="18"/>
        <v/>
      </c>
      <c r="F28" s="7" t="str">
        <f t="shared" si="17"/>
        <v/>
      </c>
      <c r="G28" s="34"/>
      <c r="H28" s="34" t="str" cm="1">
        <f t="array" ref="H28">IF($C28="","",SUMPRODUCT((TEXT($AE$5:$OE$5, "mmm")=LOWER(G$3))*$AE28:$OE28))</f>
        <v/>
      </c>
      <c r="I28" s="34"/>
      <c r="J28" s="34" t="str" cm="1">
        <f t="array" ref="J28">IF($C28="","",SUMPRODUCT((TEXT($AE$5:$OE$5, "mmm")=LOWER(I$3))*$AE28:$OE28))</f>
        <v/>
      </c>
      <c r="K28" s="34"/>
      <c r="L28" s="34" t="str" cm="1">
        <f t="array" ref="L28">IF($C28="","",SUMPRODUCT((TEXT($AE$5:$OE$5, "mmm")=LOWER(K$3))*$AE28:$OE28))</f>
        <v/>
      </c>
      <c r="M28" s="34"/>
      <c r="N28" s="34" t="str" cm="1">
        <f t="array" ref="N28">IF($C28="","",SUMPRODUCT((TEXT($AE$5:$OE$5, "mmm")=LOWER(M$3))*$AE28:$OE28))</f>
        <v/>
      </c>
      <c r="O28" s="34"/>
      <c r="P28" s="34" t="str" cm="1">
        <f t="array" ref="P28">IF($C28="","",SUMPRODUCT((TEXT($AE$5:$OE$5, "mmm")=LOWER(O$3))*$AE28:$OE28))</f>
        <v/>
      </c>
      <c r="Q28" s="34"/>
      <c r="R28" s="34" t="str" cm="1">
        <f t="array" ref="R28">IF($C28="","",SUMPRODUCT((TEXT($AE$5:$OE$5, "mmm")=LOWER(Q$3))*$AE28:$OE28))</f>
        <v/>
      </c>
      <c r="S28" s="34"/>
      <c r="T28" s="34" t="str" cm="1">
        <f t="array" ref="T28">IF($C28="","",SUMPRODUCT((TEXT($AE$5:$OE$5, "mmm")=LOWER(S$3))*$AE28:$OE28))</f>
        <v/>
      </c>
      <c r="U28" s="34"/>
      <c r="V28" s="34" t="str" cm="1">
        <f t="array" ref="V28">IF($C28="","",SUMPRODUCT((TEXT($AE$5:$OE$5, "mmm")=LOWER(U$3))*$AE28:$OE28))</f>
        <v/>
      </c>
      <c r="W28" s="34"/>
      <c r="X28" s="34" t="str" cm="1">
        <f t="array" ref="X28">IF($C28="","",SUMPRODUCT((TEXT($AE$5:$OE$5, "mmm")=LOWER(W$3))*$AE28:$OE28))</f>
        <v/>
      </c>
      <c r="Y28" s="34"/>
      <c r="Z28" s="34" t="str" cm="1">
        <f t="array" ref="Z28">IF($C28="","",SUMPRODUCT((TEXT($AE$5:$OE$5, "mmm")=LOWER(Y$3))*$AE28:$OE28))</f>
        <v/>
      </c>
      <c r="AA28" s="34"/>
      <c r="AB28" s="34" t="str" cm="1">
        <f t="array" ref="AB28">IF($C28="","",SUMPRODUCT((TEXT($AE$5:$OE$5, "mmm")=LOWER(AA$3))*$AE28:$OE28))</f>
        <v/>
      </c>
      <c r="AC28" s="34"/>
      <c r="AD28" s="34" t="str" cm="1">
        <f t="array" ref="AD28">IF($C28="","",SUMPRODUCT((TEXT($AE$5:$OE$5, "mmm")=LOWER(AC$3))*$AE28:$OE28))</f>
        <v/>
      </c>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47"/>
      <c r="BF28" s="47"/>
      <c r="BG28" s="47"/>
      <c r="BH28" s="47"/>
      <c r="BI28" s="47"/>
      <c r="BJ28" s="47"/>
      <c r="BK28" s="47"/>
      <c r="BL28" s="47"/>
      <c r="BM28" s="47"/>
      <c r="BN28" s="47"/>
      <c r="BO28" s="47"/>
      <c r="BP28" s="47"/>
      <c r="BQ28" s="47"/>
      <c r="BR28" s="47"/>
      <c r="BS28" s="47"/>
      <c r="BT28" s="47"/>
      <c r="BU28" s="47"/>
      <c r="BV28" s="47"/>
      <c r="BW28" s="47"/>
      <c r="BX28" s="47"/>
      <c r="BY28" s="47"/>
      <c r="BZ28" s="47"/>
      <c r="CA28" s="47"/>
      <c r="CB28" s="47"/>
      <c r="CC28" s="47"/>
      <c r="CD28" s="47"/>
      <c r="CE28" s="47"/>
      <c r="CF28" s="47"/>
      <c r="CG28" s="47"/>
      <c r="CH28" s="47"/>
      <c r="CI28" s="47"/>
      <c r="CJ28" s="47"/>
      <c r="CK28" s="47"/>
      <c r="CL28" s="47"/>
      <c r="CM28" s="47"/>
      <c r="CN28" s="47"/>
      <c r="CO28" s="47"/>
      <c r="CP28" s="47"/>
      <c r="CQ28" s="47"/>
      <c r="CR28" s="47"/>
      <c r="CS28" s="47"/>
      <c r="CT28" s="47"/>
      <c r="CU28" s="47"/>
      <c r="CV28" s="47"/>
      <c r="CW28" s="47"/>
      <c r="CX28" s="47"/>
      <c r="CY28" s="47"/>
      <c r="CZ28" s="47"/>
      <c r="DA28" s="47"/>
      <c r="DB28" s="47"/>
      <c r="DC28" s="47"/>
      <c r="DD28" s="47"/>
      <c r="DE28" s="47"/>
      <c r="DF28" s="47"/>
      <c r="DG28" s="47"/>
      <c r="DH28" s="47"/>
      <c r="DI28" s="47"/>
      <c r="DJ28" s="47"/>
      <c r="DK28" s="47"/>
      <c r="DL28" s="47"/>
      <c r="DM28" s="47"/>
      <c r="DN28" s="47"/>
      <c r="DO28" s="47"/>
      <c r="DP28" s="47"/>
      <c r="DQ28" s="47"/>
      <c r="DR28" s="47"/>
      <c r="DS28" s="47"/>
      <c r="DT28" s="47"/>
      <c r="DU28" s="47"/>
      <c r="DV28" s="47"/>
      <c r="DW28" s="47"/>
      <c r="DX28" s="47"/>
      <c r="DY28" s="47"/>
      <c r="DZ28" s="47"/>
      <c r="EA28" s="47"/>
      <c r="EB28" s="47"/>
      <c r="EC28" s="47"/>
      <c r="ED28" s="47"/>
      <c r="EE28" s="47"/>
      <c r="EF28" s="47"/>
      <c r="EG28" s="47"/>
      <c r="EH28" s="47"/>
      <c r="EI28" s="47"/>
      <c r="EJ28" s="47"/>
      <c r="EK28" s="47"/>
      <c r="EL28" s="47"/>
      <c r="EM28" s="47"/>
      <c r="EN28" s="47"/>
      <c r="EO28" s="47"/>
      <c r="EP28" s="47"/>
      <c r="EQ28" s="47"/>
      <c r="ER28" s="47"/>
      <c r="ES28" s="47"/>
      <c r="ET28" s="47"/>
      <c r="EU28" s="47"/>
      <c r="EV28" s="47"/>
      <c r="EW28" s="47"/>
      <c r="EX28" s="47"/>
      <c r="EY28" s="47"/>
      <c r="EZ28" s="47"/>
      <c r="FA28" s="47"/>
      <c r="FB28" s="47"/>
      <c r="FC28" s="47"/>
      <c r="FD28" s="47"/>
      <c r="FE28" s="47"/>
      <c r="FF28" s="47"/>
      <c r="FG28" s="47"/>
      <c r="FH28" s="47"/>
      <c r="FI28" s="47"/>
      <c r="FJ28" s="47"/>
      <c r="FK28" s="47"/>
      <c r="FL28" s="47"/>
      <c r="FM28" s="47"/>
      <c r="FN28" s="47"/>
      <c r="FO28" s="47"/>
      <c r="FP28" s="47"/>
      <c r="FQ28" s="47"/>
      <c r="FR28" s="47"/>
      <c r="FS28" s="47"/>
      <c r="FT28" s="47"/>
      <c r="FU28" s="47"/>
      <c r="FV28" s="47"/>
      <c r="FW28" s="47"/>
      <c r="FX28" s="47"/>
      <c r="FY28" s="47"/>
      <c r="FZ28" s="47"/>
      <c r="GA28" s="47"/>
      <c r="GB28" s="47"/>
      <c r="GC28" s="47"/>
      <c r="GD28" s="47"/>
      <c r="GE28" s="47"/>
      <c r="GF28" s="47"/>
      <c r="GG28" s="47"/>
      <c r="GH28" s="47"/>
      <c r="GI28" s="47"/>
      <c r="GJ28" s="47"/>
      <c r="GK28" s="47"/>
      <c r="GL28" s="47"/>
      <c r="GM28" s="47"/>
      <c r="GN28" s="47"/>
      <c r="GO28" s="47"/>
      <c r="GP28" s="47"/>
      <c r="GQ28" s="47"/>
      <c r="GR28" s="47"/>
      <c r="GS28" s="47"/>
      <c r="GT28" s="47"/>
      <c r="GU28" s="47"/>
      <c r="GV28" s="47"/>
      <c r="GW28" s="47"/>
      <c r="GX28" s="47"/>
      <c r="GY28" s="47"/>
      <c r="GZ28" s="47"/>
      <c r="HA28" s="47"/>
      <c r="HB28" s="47"/>
      <c r="HC28" s="47"/>
      <c r="HD28" s="47"/>
      <c r="HE28" s="47"/>
      <c r="HF28" s="47"/>
      <c r="HG28" s="47"/>
      <c r="HH28" s="47"/>
      <c r="HI28" s="47"/>
      <c r="HJ28" s="47"/>
      <c r="HK28" s="47"/>
      <c r="HL28" s="47"/>
      <c r="HM28" s="47"/>
      <c r="HN28" s="47"/>
      <c r="HO28" s="47"/>
      <c r="HP28" s="47"/>
      <c r="HQ28" s="47"/>
      <c r="HR28" s="47"/>
      <c r="HS28" s="47"/>
      <c r="HT28" s="47"/>
      <c r="HU28" s="47"/>
      <c r="HV28" s="47"/>
      <c r="HW28" s="47"/>
      <c r="HX28" s="47"/>
      <c r="HY28" s="47"/>
      <c r="HZ28" s="47"/>
      <c r="IA28" s="47"/>
      <c r="IB28" s="47"/>
      <c r="IC28" s="47"/>
      <c r="ID28" s="47"/>
      <c r="IE28" s="47"/>
      <c r="IF28" s="47"/>
      <c r="IG28" s="47"/>
      <c r="IH28" s="47"/>
      <c r="II28" s="47"/>
      <c r="IJ28" s="47"/>
      <c r="IK28" s="47"/>
      <c r="IL28" s="47"/>
      <c r="IM28" s="47"/>
      <c r="IN28" s="47"/>
      <c r="IO28" s="47"/>
      <c r="IP28" s="47"/>
      <c r="IQ28" s="47"/>
      <c r="IR28" s="47"/>
      <c r="IS28" s="47"/>
      <c r="IT28" s="47"/>
      <c r="IU28" s="47"/>
      <c r="IV28" s="47"/>
      <c r="IW28" s="47"/>
      <c r="IX28" s="47"/>
      <c r="IY28" s="47"/>
      <c r="IZ28" s="47"/>
      <c r="JA28" s="47"/>
      <c r="JB28" s="47"/>
      <c r="JC28" s="47"/>
      <c r="JD28" s="47"/>
      <c r="JE28" s="47"/>
      <c r="JF28" s="47"/>
      <c r="JG28" s="47"/>
      <c r="JH28" s="47"/>
      <c r="JI28" s="47"/>
      <c r="JJ28" s="47"/>
      <c r="JK28" s="47"/>
      <c r="JL28" s="47"/>
      <c r="JM28" s="47"/>
      <c r="JN28" s="47"/>
      <c r="JO28" s="47"/>
      <c r="JP28" s="47"/>
      <c r="JQ28" s="47"/>
      <c r="JR28" s="47"/>
      <c r="JS28" s="47"/>
      <c r="JT28" s="47"/>
      <c r="JU28" s="47"/>
      <c r="JV28" s="47"/>
      <c r="JW28" s="47"/>
      <c r="JX28" s="47"/>
      <c r="JY28" s="47"/>
      <c r="JZ28" s="47"/>
      <c r="KA28" s="47"/>
      <c r="KB28" s="47"/>
      <c r="KC28" s="47"/>
      <c r="KD28" s="47"/>
      <c r="KE28" s="47"/>
      <c r="KF28" s="47"/>
      <c r="KG28" s="47"/>
      <c r="KH28" s="47"/>
      <c r="KI28" s="47"/>
      <c r="KJ28" s="47"/>
      <c r="KK28" s="47"/>
      <c r="KL28" s="47"/>
      <c r="KM28" s="47"/>
      <c r="KN28" s="47"/>
      <c r="KO28" s="47"/>
      <c r="KP28" s="47"/>
      <c r="KQ28" s="47"/>
      <c r="KR28" s="47"/>
      <c r="KS28" s="47"/>
      <c r="KT28" s="47"/>
      <c r="KU28" s="47"/>
      <c r="KV28" s="47"/>
      <c r="KW28" s="47"/>
      <c r="KX28" s="47"/>
      <c r="KY28" s="47"/>
      <c r="KZ28" s="47"/>
      <c r="LA28" s="47"/>
      <c r="LB28" s="47"/>
      <c r="LC28" s="47"/>
      <c r="LD28" s="47"/>
      <c r="LE28" s="47"/>
      <c r="LF28" s="47"/>
      <c r="LG28" s="47"/>
      <c r="LH28" s="47"/>
      <c r="LI28" s="47"/>
      <c r="LJ28" s="47"/>
      <c r="LK28" s="47"/>
      <c r="LL28" s="47"/>
      <c r="LM28" s="47"/>
      <c r="LN28" s="47"/>
      <c r="LO28" s="47"/>
      <c r="LP28" s="47"/>
      <c r="LQ28" s="47"/>
      <c r="LR28" s="47"/>
      <c r="LS28" s="47"/>
      <c r="LT28" s="47"/>
      <c r="LU28" s="47"/>
      <c r="LV28" s="47"/>
      <c r="LW28" s="47"/>
      <c r="LX28" s="47"/>
      <c r="LY28" s="47"/>
      <c r="LZ28" s="47"/>
      <c r="MA28" s="47"/>
      <c r="MB28" s="47"/>
      <c r="MC28" s="47"/>
      <c r="MD28" s="47"/>
      <c r="ME28" s="47"/>
      <c r="MF28" s="47"/>
      <c r="MG28" s="47"/>
      <c r="MH28" s="47"/>
      <c r="MI28" s="47"/>
      <c r="MJ28" s="47"/>
      <c r="MK28" s="47"/>
      <c r="ML28" s="47"/>
      <c r="MM28" s="47"/>
      <c r="MN28" s="47"/>
      <c r="MO28" s="47"/>
      <c r="MP28" s="47"/>
      <c r="MQ28" s="47"/>
      <c r="MR28" s="47"/>
      <c r="MS28" s="47"/>
      <c r="MT28" s="47"/>
      <c r="MU28" s="47"/>
      <c r="MV28" s="47"/>
      <c r="MW28" s="47"/>
      <c r="MX28" s="47"/>
      <c r="MY28" s="47"/>
      <c r="MZ28" s="47"/>
      <c r="NA28" s="47"/>
      <c r="NB28" s="47"/>
      <c r="NC28" s="47"/>
      <c r="ND28" s="47"/>
      <c r="NE28" s="47"/>
      <c r="NF28" s="47"/>
      <c r="NG28" s="47"/>
      <c r="NH28" s="47"/>
      <c r="NI28" s="47"/>
      <c r="NJ28" s="47"/>
      <c r="NK28" s="47"/>
      <c r="NL28" s="47"/>
      <c r="NM28" s="47"/>
      <c r="NN28" s="47"/>
      <c r="NO28" s="47"/>
      <c r="NP28" s="47"/>
      <c r="NQ28" s="47"/>
      <c r="NR28" s="47"/>
      <c r="NS28" s="47"/>
      <c r="NT28" s="47"/>
      <c r="NU28" s="47"/>
      <c r="NV28" s="47"/>
      <c r="NW28" s="47"/>
      <c r="NX28" s="47"/>
      <c r="NY28" s="47"/>
      <c r="NZ28" s="47"/>
      <c r="OA28" s="47"/>
      <c r="OB28" s="47"/>
      <c r="OC28" s="47"/>
      <c r="OD28" s="47"/>
      <c r="OE28" s="48"/>
    </row>
    <row r="29" spans="1:395">
      <c r="A29" s="33" t="str">
        <f t="shared" si="16"/>
        <v/>
      </c>
      <c r="C29" s="2" t="str">
        <f>IF(ISBLANK($B29),"",_xlfn.XLOOKUP($B29,Task_No,Project!$C$3:$C$144,"INVALID TASK"))</f>
        <v/>
      </c>
      <c r="D29" s="27"/>
      <c r="E29" s="7" t="str">
        <f t="shared" si="18"/>
        <v/>
      </c>
      <c r="F29" s="7" t="str">
        <f t="shared" si="17"/>
        <v/>
      </c>
      <c r="G29" s="34"/>
      <c r="H29" s="34" t="str" cm="1">
        <f t="array" ref="H29">IF($C29="","",SUMPRODUCT((TEXT($AE$5:$OE$5, "mmm")=LOWER(G$3))*$AE29:$OE29))</f>
        <v/>
      </c>
      <c r="I29" s="34"/>
      <c r="J29" s="34" t="str" cm="1">
        <f t="array" ref="J29">IF($C29="","",SUMPRODUCT((TEXT($AE$5:$OE$5, "mmm")=LOWER(I$3))*$AE29:$OE29))</f>
        <v/>
      </c>
      <c r="K29" s="34"/>
      <c r="L29" s="34" t="str" cm="1">
        <f t="array" ref="L29">IF($C29="","",SUMPRODUCT((TEXT($AE$5:$OE$5, "mmm")=LOWER(K$3))*$AE29:$OE29))</f>
        <v/>
      </c>
      <c r="M29" s="34"/>
      <c r="N29" s="34" t="str" cm="1">
        <f t="array" ref="N29">IF($C29="","",SUMPRODUCT((TEXT($AE$5:$OE$5, "mmm")=LOWER(M$3))*$AE29:$OE29))</f>
        <v/>
      </c>
      <c r="O29" s="34"/>
      <c r="P29" s="34" t="str" cm="1">
        <f t="array" ref="P29">IF($C29="","",SUMPRODUCT((TEXT($AE$5:$OE$5, "mmm")=LOWER(O$3))*$AE29:$OE29))</f>
        <v/>
      </c>
      <c r="Q29" s="34"/>
      <c r="R29" s="34" t="str" cm="1">
        <f t="array" ref="R29">IF($C29="","",SUMPRODUCT((TEXT($AE$5:$OE$5, "mmm")=LOWER(Q$3))*$AE29:$OE29))</f>
        <v/>
      </c>
      <c r="S29" s="34"/>
      <c r="T29" s="34" t="str" cm="1">
        <f t="array" ref="T29">IF($C29="","",SUMPRODUCT((TEXT($AE$5:$OE$5, "mmm")=LOWER(S$3))*$AE29:$OE29))</f>
        <v/>
      </c>
      <c r="U29" s="34"/>
      <c r="V29" s="34" t="str" cm="1">
        <f t="array" ref="V29">IF($C29="","",SUMPRODUCT((TEXT($AE$5:$OE$5, "mmm")=LOWER(U$3))*$AE29:$OE29))</f>
        <v/>
      </c>
      <c r="W29" s="34"/>
      <c r="X29" s="34" t="str" cm="1">
        <f t="array" ref="X29">IF($C29="","",SUMPRODUCT((TEXT($AE$5:$OE$5, "mmm")=LOWER(W$3))*$AE29:$OE29))</f>
        <v/>
      </c>
      <c r="Y29" s="34"/>
      <c r="Z29" s="34" t="str" cm="1">
        <f t="array" ref="Z29">IF($C29="","",SUMPRODUCT((TEXT($AE$5:$OE$5, "mmm")=LOWER(Y$3))*$AE29:$OE29))</f>
        <v/>
      </c>
      <c r="AA29" s="34"/>
      <c r="AB29" s="34" t="str" cm="1">
        <f t="array" ref="AB29">IF($C29="","",SUMPRODUCT((TEXT($AE$5:$OE$5, "mmm")=LOWER(AA$3))*$AE29:$OE29))</f>
        <v/>
      </c>
      <c r="AC29" s="34"/>
      <c r="AD29" s="34" t="str" cm="1">
        <f t="array" ref="AD29">IF($C29="","",SUMPRODUCT((TEXT($AE$5:$OE$5, "mmm")=LOWER(AC$3))*$AE29:$OE29))</f>
        <v/>
      </c>
      <c r="AE29" s="47"/>
      <c r="AF29" s="47"/>
      <c r="AG29" s="47"/>
      <c r="AH29" s="47"/>
      <c r="AI29" s="47"/>
      <c r="AJ29" s="47"/>
      <c r="AK29" s="47"/>
      <c r="AL29" s="47"/>
      <c r="AM29" s="47"/>
      <c r="AN29" s="47"/>
      <c r="AO29" s="47"/>
      <c r="AP29" s="47"/>
      <c r="AQ29" s="47"/>
      <c r="AR29" s="47"/>
      <c r="AS29" s="47"/>
      <c r="AT29" s="47"/>
      <c r="AU29" s="47"/>
      <c r="AV29" s="47"/>
      <c r="AW29" s="47"/>
      <c r="AX29" s="47"/>
      <c r="AY29" s="47"/>
      <c r="AZ29" s="47"/>
      <c r="BA29" s="47"/>
      <c r="BB29" s="47"/>
      <c r="BC29" s="47"/>
      <c r="BD29" s="47"/>
      <c r="BE29" s="47"/>
      <c r="BF29" s="47"/>
      <c r="BG29" s="47"/>
      <c r="BH29" s="47"/>
      <c r="BI29" s="47"/>
      <c r="BJ29" s="47"/>
      <c r="BK29" s="47"/>
      <c r="BL29" s="47"/>
      <c r="BM29" s="47"/>
      <c r="BN29" s="47"/>
      <c r="BO29" s="47"/>
      <c r="BP29" s="47"/>
      <c r="BQ29" s="47"/>
      <c r="BR29" s="47"/>
      <c r="BS29" s="47"/>
      <c r="BT29" s="47"/>
      <c r="BU29" s="47"/>
      <c r="BV29" s="47"/>
      <c r="BW29" s="47"/>
      <c r="BX29" s="47"/>
      <c r="BY29" s="47"/>
      <c r="BZ29" s="47"/>
      <c r="CA29" s="47"/>
      <c r="CB29" s="47"/>
      <c r="CC29" s="47"/>
      <c r="CD29" s="47"/>
      <c r="CE29" s="47"/>
      <c r="CF29" s="47"/>
      <c r="CG29" s="47"/>
      <c r="CH29" s="47"/>
      <c r="CI29" s="47"/>
      <c r="CJ29" s="47"/>
      <c r="CK29" s="47"/>
      <c r="CL29" s="47"/>
      <c r="CM29" s="47"/>
      <c r="CN29" s="47"/>
      <c r="CO29" s="47"/>
      <c r="CP29" s="47"/>
      <c r="CQ29" s="47"/>
      <c r="CR29" s="47"/>
      <c r="CS29" s="47"/>
      <c r="CT29" s="47"/>
      <c r="CU29" s="47"/>
      <c r="CV29" s="47"/>
      <c r="CW29" s="47"/>
      <c r="CX29" s="47"/>
      <c r="CY29" s="47"/>
      <c r="CZ29" s="47"/>
      <c r="DA29" s="47"/>
      <c r="DB29" s="47"/>
      <c r="DC29" s="47"/>
      <c r="DD29" s="47"/>
      <c r="DE29" s="47"/>
      <c r="DF29" s="47"/>
      <c r="DG29" s="47"/>
      <c r="DH29" s="47"/>
      <c r="DI29" s="47"/>
      <c r="DJ29" s="47"/>
      <c r="DK29" s="47"/>
      <c r="DL29" s="47"/>
      <c r="DM29" s="47"/>
      <c r="DN29" s="47"/>
      <c r="DO29" s="47"/>
      <c r="DP29" s="47"/>
      <c r="DQ29" s="47"/>
      <c r="DR29" s="47"/>
      <c r="DS29" s="47"/>
      <c r="DT29" s="47"/>
      <c r="DU29" s="47"/>
      <c r="DV29" s="47"/>
      <c r="DW29" s="47"/>
      <c r="DX29" s="47"/>
      <c r="DY29" s="47"/>
      <c r="DZ29" s="47"/>
      <c r="EA29" s="47"/>
      <c r="EB29" s="47"/>
      <c r="EC29" s="47"/>
      <c r="ED29" s="47"/>
      <c r="EE29" s="47"/>
      <c r="EF29" s="47"/>
      <c r="EG29" s="47"/>
      <c r="EH29" s="47"/>
      <c r="EI29" s="47"/>
      <c r="EJ29" s="47"/>
      <c r="EK29" s="47"/>
      <c r="EL29" s="47"/>
      <c r="EM29" s="47"/>
      <c r="EN29" s="47"/>
      <c r="EO29" s="47"/>
      <c r="EP29" s="47"/>
      <c r="EQ29" s="47"/>
      <c r="ER29" s="47"/>
      <c r="ES29" s="47"/>
      <c r="ET29" s="47"/>
      <c r="EU29" s="47"/>
      <c r="EV29" s="47"/>
      <c r="EW29" s="47"/>
      <c r="EX29" s="47"/>
      <c r="EY29" s="47"/>
      <c r="EZ29" s="47"/>
      <c r="FA29" s="47"/>
      <c r="FB29" s="47"/>
      <c r="FC29" s="47"/>
      <c r="FD29" s="47"/>
      <c r="FE29" s="47"/>
      <c r="FF29" s="47"/>
      <c r="FG29" s="47"/>
      <c r="FH29" s="47"/>
      <c r="FI29" s="47"/>
      <c r="FJ29" s="47"/>
      <c r="FK29" s="47"/>
      <c r="FL29" s="47"/>
      <c r="FM29" s="47"/>
      <c r="FN29" s="47"/>
      <c r="FO29" s="47"/>
      <c r="FP29" s="47"/>
      <c r="FQ29" s="47"/>
      <c r="FR29" s="47"/>
      <c r="FS29" s="47"/>
      <c r="FT29" s="47"/>
      <c r="FU29" s="47"/>
      <c r="FV29" s="47"/>
      <c r="FW29" s="47"/>
      <c r="FX29" s="47"/>
      <c r="FY29" s="47"/>
      <c r="FZ29" s="47"/>
      <c r="GA29" s="47"/>
      <c r="GB29" s="47"/>
      <c r="GC29" s="47"/>
      <c r="GD29" s="47"/>
      <c r="GE29" s="47"/>
      <c r="GF29" s="47"/>
      <c r="GG29" s="47"/>
      <c r="GH29" s="47"/>
      <c r="GI29" s="47"/>
      <c r="GJ29" s="47"/>
      <c r="GK29" s="47"/>
      <c r="GL29" s="47"/>
      <c r="GM29" s="47"/>
      <c r="GN29" s="47"/>
      <c r="GO29" s="47"/>
      <c r="GP29" s="47"/>
      <c r="GQ29" s="47"/>
      <c r="GR29" s="47"/>
      <c r="GS29" s="47"/>
      <c r="GT29" s="47"/>
      <c r="GU29" s="47"/>
      <c r="GV29" s="47"/>
      <c r="GW29" s="47"/>
      <c r="GX29" s="47"/>
      <c r="GY29" s="47"/>
      <c r="GZ29" s="47"/>
      <c r="HA29" s="47"/>
      <c r="HB29" s="47"/>
      <c r="HC29" s="47"/>
      <c r="HD29" s="47"/>
      <c r="HE29" s="47"/>
      <c r="HF29" s="47"/>
      <c r="HG29" s="47"/>
      <c r="HH29" s="47"/>
      <c r="HI29" s="47"/>
      <c r="HJ29" s="47"/>
      <c r="HK29" s="47"/>
      <c r="HL29" s="47"/>
      <c r="HM29" s="47"/>
      <c r="HN29" s="47"/>
      <c r="HO29" s="47"/>
      <c r="HP29" s="47"/>
      <c r="HQ29" s="47"/>
      <c r="HR29" s="47"/>
      <c r="HS29" s="47"/>
      <c r="HT29" s="47"/>
      <c r="HU29" s="47"/>
      <c r="HV29" s="47"/>
      <c r="HW29" s="47"/>
      <c r="HX29" s="47"/>
      <c r="HY29" s="47"/>
      <c r="HZ29" s="47"/>
      <c r="IA29" s="47"/>
      <c r="IB29" s="47"/>
      <c r="IC29" s="47"/>
      <c r="ID29" s="47"/>
      <c r="IE29" s="47"/>
      <c r="IF29" s="47"/>
      <c r="IG29" s="47"/>
      <c r="IH29" s="47"/>
      <c r="II29" s="47"/>
      <c r="IJ29" s="47"/>
      <c r="IK29" s="47"/>
      <c r="IL29" s="47"/>
      <c r="IM29" s="47"/>
      <c r="IN29" s="47"/>
      <c r="IO29" s="47"/>
      <c r="IP29" s="47"/>
      <c r="IQ29" s="47"/>
      <c r="IR29" s="47"/>
      <c r="IS29" s="47"/>
      <c r="IT29" s="47"/>
      <c r="IU29" s="47"/>
      <c r="IV29" s="47"/>
      <c r="IW29" s="47"/>
      <c r="IX29" s="47"/>
      <c r="IY29" s="47"/>
      <c r="IZ29" s="47"/>
      <c r="JA29" s="47"/>
      <c r="JB29" s="47"/>
      <c r="JC29" s="47"/>
      <c r="JD29" s="47"/>
      <c r="JE29" s="47"/>
      <c r="JF29" s="47"/>
      <c r="JG29" s="47"/>
      <c r="JH29" s="47"/>
      <c r="JI29" s="47"/>
      <c r="JJ29" s="47"/>
      <c r="JK29" s="47"/>
      <c r="JL29" s="47"/>
      <c r="JM29" s="47"/>
      <c r="JN29" s="47"/>
      <c r="JO29" s="47"/>
      <c r="JP29" s="47"/>
      <c r="JQ29" s="47"/>
      <c r="JR29" s="47"/>
      <c r="JS29" s="47"/>
      <c r="JT29" s="47"/>
      <c r="JU29" s="47"/>
      <c r="JV29" s="47"/>
      <c r="JW29" s="47"/>
      <c r="JX29" s="47"/>
      <c r="JY29" s="47"/>
      <c r="JZ29" s="47"/>
      <c r="KA29" s="47"/>
      <c r="KB29" s="47"/>
      <c r="KC29" s="47"/>
      <c r="KD29" s="47"/>
      <c r="KE29" s="47"/>
      <c r="KF29" s="47"/>
      <c r="KG29" s="47"/>
      <c r="KH29" s="47"/>
      <c r="KI29" s="47"/>
      <c r="KJ29" s="47"/>
      <c r="KK29" s="47"/>
      <c r="KL29" s="47"/>
      <c r="KM29" s="47"/>
      <c r="KN29" s="47"/>
      <c r="KO29" s="47"/>
      <c r="KP29" s="47"/>
      <c r="KQ29" s="47"/>
      <c r="KR29" s="47"/>
      <c r="KS29" s="47"/>
      <c r="KT29" s="47"/>
      <c r="KU29" s="47"/>
      <c r="KV29" s="47"/>
      <c r="KW29" s="47"/>
      <c r="KX29" s="47"/>
      <c r="KY29" s="47"/>
      <c r="KZ29" s="47"/>
      <c r="LA29" s="47"/>
      <c r="LB29" s="47"/>
      <c r="LC29" s="47"/>
      <c r="LD29" s="47"/>
      <c r="LE29" s="47"/>
      <c r="LF29" s="47"/>
      <c r="LG29" s="47"/>
      <c r="LH29" s="47"/>
      <c r="LI29" s="47"/>
      <c r="LJ29" s="47"/>
      <c r="LK29" s="47"/>
      <c r="LL29" s="47"/>
      <c r="LM29" s="47"/>
      <c r="LN29" s="47"/>
      <c r="LO29" s="47"/>
      <c r="LP29" s="47"/>
      <c r="LQ29" s="47"/>
      <c r="LR29" s="47"/>
      <c r="LS29" s="47"/>
      <c r="LT29" s="47"/>
      <c r="LU29" s="47"/>
      <c r="LV29" s="47"/>
      <c r="LW29" s="47"/>
      <c r="LX29" s="47"/>
      <c r="LY29" s="47"/>
      <c r="LZ29" s="47"/>
      <c r="MA29" s="47"/>
      <c r="MB29" s="47"/>
      <c r="MC29" s="47"/>
      <c r="MD29" s="47"/>
      <c r="ME29" s="47"/>
      <c r="MF29" s="47"/>
      <c r="MG29" s="47"/>
      <c r="MH29" s="47"/>
      <c r="MI29" s="47"/>
      <c r="MJ29" s="47"/>
      <c r="MK29" s="47"/>
      <c r="ML29" s="47"/>
      <c r="MM29" s="47"/>
      <c r="MN29" s="47"/>
      <c r="MO29" s="47"/>
      <c r="MP29" s="47"/>
      <c r="MQ29" s="47"/>
      <c r="MR29" s="47"/>
      <c r="MS29" s="47"/>
      <c r="MT29" s="47"/>
      <c r="MU29" s="47"/>
      <c r="MV29" s="47"/>
      <c r="MW29" s="47"/>
      <c r="MX29" s="47"/>
      <c r="MY29" s="47"/>
      <c r="MZ29" s="47"/>
      <c r="NA29" s="47"/>
      <c r="NB29" s="47"/>
      <c r="NC29" s="47"/>
      <c r="ND29" s="47"/>
      <c r="NE29" s="47"/>
      <c r="NF29" s="47"/>
      <c r="NG29" s="47"/>
      <c r="NH29" s="47"/>
      <c r="NI29" s="47"/>
      <c r="NJ29" s="47"/>
      <c r="NK29" s="47"/>
      <c r="NL29" s="47"/>
      <c r="NM29" s="47"/>
      <c r="NN29" s="47"/>
      <c r="NO29" s="47"/>
      <c r="NP29" s="47"/>
      <c r="NQ29" s="47"/>
      <c r="NR29" s="47"/>
      <c r="NS29" s="47"/>
      <c r="NT29" s="47"/>
      <c r="NU29" s="47"/>
      <c r="NV29" s="47"/>
      <c r="NW29" s="47"/>
      <c r="NX29" s="47"/>
      <c r="NY29" s="47"/>
      <c r="NZ29" s="47"/>
      <c r="OA29" s="47"/>
      <c r="OB29" s="47"/>
      <c r="OC29" s="47"/>
      <c r="OD29" s="47"/>
      <c r="OE29" s="48"/>
    </row>
    <row r="30" spans="1:395">
      <c r="A30" s="33" t="str">
        <f t="shared" si="16"/>
        <v/>
      </c>
      <c r="C30" s="2" t="str">
        <f>IF(ISBLANK($B30),"",_xlfn.XLOOKUP($B30,Task_No,Project!$C$3:$C$144,"INVALID TASK"))</f>
        <v/>
      </c>
      <c r="D30" s="27"/>
      <c r="E30" s="7" t="str">
        <f t="shared" si="18"/>
        <v/>
      </c>
      <c r="F30" s="7" t="str">
        <f t="shared" si="17"/>
        <v/>
      </c>
      <c r="G30" s="34"/>
      <c r="H30" s="34" t="str" cm="1">
        <f t="array" ref="H30">IF($C30="","",SUMPRODUCT((TEXT($AE$5:$OE$5, "mmm")=LOWER(G$3))*$AE30:$OE30))</f>
        <v/>
      </c>
      <c r="I30" s="34"/>
      <c r="J30" s="34" t="str" cm="1">
        <f t="array" ref="J30">IF($C30="","",SUMPRODUCT((TEXT($AE$5:$OE$5, "mmm")=LOWER(I$3))*$AE30:$OE30))</f>
        <v/>
      </c>
      <c r="K30" s="34"/>
      <c r="L30" s="34" t="str" cm="1">
        <f t="array" ref="L30">IF($C30="","",SUMPRODUCT((TEXT($AE$5:$OE$5, "mmm")=LOWER(K$3))*$AE30:$OE30))</f>
        <v/>
      </c>
      <c r="M30" s="34"/>
      <c r="N30" s="34" t="str" cm="1">
        <f t="array" ref="N30">IF($C30="","",SUMPRODUCT((TEXT($AE$5:$OE$5, "mmm")=LOWER(M$3))*$AE30:$OE30))</f>
        <v/>
      </c>
      <c r="O30" s="34"/>
      <c r="P30" s="34" t="str" cm="1">
        <f t="array" ref="P30">IF($C30="","",SUMPRODUCT((TEXT($AE$5:$OE$5, "mmm")=LOWER(O$3))*$AE30:$OE30))</f>
        <v/>
      </c>
      <c r="Q30" s="34"/>
      <c r="R30" s="34" t="str" cm="1">
        <f t="array" ref="R30">IF($C30="","",SUMPRODUCT((TEXT($AE$5:$OE$5, "mmm")=LOWER(Q$3))*$AE30:$OE30))</f>
        <v/>
      </c>
      <c r="S30" s="34"/>
      <c r="T30" s="34" t="str" cm="1">
        <f t="array" ref="T30">IF($C30="","",SUMPRODUCT((TEXT($AE$5:$OE$5, "mmm")=LOWER(S$3))*$AE30:$OE30))</f>
        <v/>
      </c>
      <c r="U30" s="34"/>
      <c r="V30" s="34" t="str" cm="1">
        <f t="array" ref="V30">IF($C30="","",SUMPRODUCT((TEXT($AE$5:$OE$5, "mmm")=LOWER(U$3))*$AE30:$OE30))</f>
        <v/>
      </c>
      <c r="W30" s="34"/>
      <c r="X30" s="34" t="str" cm="1">
        <f t="array" ref="X30">IF($C30="","",SUMPRODUCT((TEXT($AE$5:$OE$5, "mmm")=LOWER(W$3))*$AE30:$OE30))</f>
        <v/>
      </c>
      <c r="Y30" s="34"/>
      <c r="Z30" s="34" t="str" cm="1">
        <f t="array" ref="Z30">IF($C30="","",SUMPRODUCT((TEXT($AE$5:$OE$5, "mmm")=LOWER(Y$3))*$AE30:$OE30))</f>
        <v/>
      </c>
      <c r="AA30" s="34"/>
      <c r="AB30" s="34" t="str" cm="1">
        <f t="array" ref="AB30">IF($C30="","",SUMPRODUCT((TEXT($AE$5:$OE$5, "mmm")=LOWER(AA$3))*$AE30:$OE30))</f>
        <v/>
      </c>
      <c r="AC30" s="34"/>
      <c r="AD30" s="34" t="str" cm="1">
        <f t="array" ref="AD30">IF($C30="","",SUMPRODUCT((TEXT($AE$5:$OE$5, "mmm")=LOWER(AC$3))*$AE30:$OE30))</f>
        <v/>
      </c>
      <c r="AE30" s="47"/>
      <c r="AF30" s="47"/>
      <c r="AG30" s="47"/>
      <c r="AH30" s="47"/>
      <c r="AI30" s="47"/>
      <c r="AJ30" s="47"/>
      <c r="AK30" s="47"/>
      <c r="AL30" s="47"/>
      <c r="AM30" s="47"/>
      <c r="AN30" s="47"/>
      <c r="AO30" s="47"/>
      <c r="AP30" s="47"/>
      <c r="AQ30" s="47"/>
      <c r="AR30" s="47"/>
      <c r="AS30" s="47"/>
      <c r="AT30" s="47"/>
      <c r="AU30" s="47"/>
      <c r="AV30" s="47"/>
      <c r="AW30" s="47"/>
      <c r="AX30" s="47"/>
      <c r="AY30" s="47"/>
      <c r="AZ30" s="47"/>
      <c r="BA30" s="47"/>
      <c r="BB30" s="47"/>
      <c r="BC30" s="47"/>
      <c r="BD30" s="47"/>
      <c r="BE30" s="47"/>
      <c r="BF30" s="47"/>
      <c r="BG30" s="47"/>
      <c r="BH30" s="47"/>
      <c r="BI30" s="47"/>
      <c r="BJ30" s="47"/>
      <c r="BK30" s="47"/>
      <c r="BL30" s="47"/>
      <c r="BM30" s="47"/>
      <c r="BN30" s="47"/>
      <c r="BO30" s="47"/>
      <c r="BP30" s="47"/>
      <c r="BQ30" s="47"/>
      <c r="BR30" s="47"/>
      <c r="BS30" s="47"/>
      <c r="BT30" s="47"/>
      <c r="BU30" s="47"/>
      <c r="BV30" s="47"/>
      <c r="BW30" s="47"/>
      <c r="BX30" s="47"/>
      <c r="BY30" s="47"/>
      <c r="BZ30" s="47"/>
      <c r="CA30" s="47"/>
      <c r="CB30" s="47"/>
      <c r="CC30" s="47"/>
      <c r="CD30" s="47"/>
      <c r="CE30" s="47"/>
      <c r="CF30" s="47"/>
      <c r="CG30" s="47"/>
      <c r="CH30" s="47"/>
      <c r="CI30" s="47"/>
      <c r="CJ30" s="47"/>
      <c r="CK30" s="47"/>
      <c r="CL30" s="47"/>
      <c r="CM30" s="47"/>
      <c r="CN30" s="47"/>
      <c r="CO30" s="47"/>
      <c r="CP30" s="47"/>
      <c r="CQ30" s="47"/>
      <c r="CR30" s="47"/>
      <c r="CS30" s="47"/>
      <c r="CT30" s="47"/>
      <c r="CU30" s="47"/>
      <c r="CV30" s="47"/>
      <c r="CW30" s="47"/>
      <c r="CX30" s="47"/>
      <c r="CY30" s="47"/>
      <c r="CZ30" s="47"/>
      <c r="DA30" s="47"/>
      <c r="DB30" s="47"/>
      <c r="DC30" s="47"/>
      <c r="DD30" s="47"/>
      <c r="DE30" s="47"/>
      <c r="DF30" s="47"/>
      <c r="DG30" s="47"/>
      <c r="DH30" s="47"/>
      <c r="DI30" s="47"/>
      <c r="DJ30" s="47"/>
      <c r="DK30" s="47"/>
      <c r="DL30" s="47"/>
      <c r="DM30" s="47"/>
      <c r="DN30" s="47"/>
      <c r="DO30" s="47"/>
      <c r="DP30" s="47"/>
      <c r="DQ30" s="47"/>
      <c r="DR30" s="47"/>
      <c r="DS30" s="47"/>
      <c r="DT30" s="47"/>
      <c r="DU30" s="47"/>
      <c r="DV30" s="47"/>
      <c r="DW30" s="47"/>
      <c r="DX30" s="47"/>
      <c r="DY30" s="47"/>
      <c r="DZ30" s="47"/>
      <c r="EA30" s="47"/>
      <c r="EB30" s="47"/>
      <c r="EC30" s="47"/>
      <c r="ED30" s="47"/>
      <c r="EE30" s="47"/>
      <c r="EF30" s="47"/>
      <c r="EG30" s="47"/>
      <c r="EH30" s="47"/>
      <c r="EI30" s="47"/>
      <c r="EJ30" s="47"/>
      <c r="EK30" s="47"/>
      <c r="EL30" s="47"/>
      <c r="EM30" s="47"/>
      <c r="EN30" s="47"/>
      <c r="EO30" s="47"/>
      <c r="EP30" s="47"/>
      <c r="EQ30" s="47"/>
      <c r="ER30" s="47"/>
      <c r="ES30" s="47"/>
      <c r="ET30" s="47"/>
      <c r="EU30" s="47"/>
      <c r="EV30" s="47"/>
      <c r="EW30" s="47"/>
      <c r="EX30" s="47"/>
      <c r="EY30" s="47"/>
      <c r="EZ30" s="47"/>
      <c r="FA30" s="47"/>
      <c r="FB30" s="47"/>
      <c r="FC30" s="47"/>
      <c r="FD30" s="47"/>
      <c r="FE30" s="47"/>
      <c r="FF30" s="47"/>
      <c r="FG30" s="47"/>
      <c r="FH30" s="47"/>
      <c r="FI30" s="47"/>
      <c r="FJ30" s="47"/>
      <c r="FK30" s="47"/>
      <c r="FL30" s="47"/>
      <c r="FM30" s="47"/>
      <c r="FN30" s="47"/>
      <c r="FO30" s="47"/>
      <c r="FP30" s="47"/>
      <c r="FQ30" s="47"/>
      <c r="FR30" s="47"/>
      <c r="FS30" s="47"/>
      <c r="FT30" s="47"/>
      <c r="FU30" s="47"/>
      <c r="FV30" s="47"/>
      <c r="FW30" s="47"/>
      <c r="FX30" s="47"/>
      <c r="FY30" s="47"/>
      <c r="FZ30" s="47"/>
      <c r="GA30" s="47"/>
      <c r="GB30" s="47"/>
      <c r="GC30" s="47"/>
      <c r="GD30" s="47"/>
      <c r="GE30" s="47"/>
      <c r="GF30" s="47"/>
      <c r="GG30" s="47"/>
      <c r="GH30" s="47"/>
      <c r="GI30" s="47"/>
      <c r="GJ30" s="47"/>
      <c r="GK30" s="47"/>
      <c r="GL30" s="47"/>
      <c r="GM30" s="47"/>
      <c r="GN30" s="47"/>
      <c r="GO30" s="47"/>
      <c r="GP30" s="47"/>
      <c r="GQ30" s="47"/>
      <c r="GR30" s="47"/>
      <c r="GS30" s="47"/>
      <c r="GT30" s="47"/>
      <c r="GU30" s="47"/>
      <c r="GV30" s="47"/>
      <c r="GW30" s="47"/>
      <c r="GX30" s="47"/>
      <c r="GY30" s="47"/>
      <c r="GZ30" s="47"/>
      <c r="HA30" s="47"/>
      <c r="HB30" s="47"/>
      <c r="HC30" s="47"/>
      <c r="HD30" s="47"/>
      <c r="HE30" s="47"/>
      <c r="HF30" s="47"/>
      <c r="HG30" s="47"/>
      <c r="HH30" s="47"/>
      <c r="HI30" s="47"/>
      <c r="HJ30" s="47"/>
      <c r="HK30" s="47"/>
      <c r="HL30" s="47"/>
      <c r="HM30" s="47"/>
      <c r="HN30" s="47"/>
      <c r="HO30" s="47"/>
      <c r="HP30" s="47"/>
      <c r="HQ30" s="47"/>
      <c r="HR30" s="47"/>
      <c r="HS30" s="47"/>
      <c r="HT30" s="47"/>
      <c r="HU30" s="47"/>
      <c r="HV30" s="47"/>
      <c r="HW30" s="47"/>
      <c r="HX30" s="47"/>
      <c r="HY30" s="47"/>
      <c r="HZ30" s="47"/>
      <c r="IA30" s="47"/>
      <c r="IB30" s="47"/>
      <c r="IC30" s="47"/>
      <c r="ID30" s="47"/>
      <c r="IE30" s="47"/>
      <c r="IF30" s="47"/>
      <c r="IG30" s="47"/>
      <c r="IH30" s="47"/>
      <c r="II30" s="47"/>
      <c r="IJ30" s="47"/>
      <c r="IK30" s="47"/>
      <c r="IL30" s="47"/>
      <c r="IM30" s="47"/>
      <c r="IN30" s="47"/>
      <c r="IO30" s="47"/>
      <c r="IP30" s="47"/>
      <c r="IQ30" s="47"/>
      <c r="IR30" s="47"/>
      <c r="IS30" s="47"/>
      <c r="IT30" s="47"/>
      <c r="IU30" s="47"/>
      <c r="IV30" s="47"/>
      <c r="IW30" s="47"/>
      <c r="IX30" s="47"/>
      <c r="IY30" s="47"/>
      <c r="IZ30" s="47"/>
      <c r="JA30" s="47"/>
      <c r="JB30" s="47"/>
      <c r="JC30" s="47"/>
      <c r="JD30" s="47"/>
      <c r="JE30" s="47"/>
      <c r="JF30" s="47"/>
      <c r="JG30" s="47"/>
      <c r="JH30" s="47"/>
      <c r="JI30" s="47"/>
      <c r="JJ30" s="47"/>
      <c r="JK30" s="47"/>
      <c r="JL30" s="47"/>
      <c r="JM30" s="47"/>
      <c r="JN30" s="47"/>
      <c r="JO30" s="47"/>
      <c r="JP30" s="47"/>
      <c r="JQ30" s="47"/>
      <c r="JR30" s="47"/>
      <c r="JS30" s="47"/>
      <c r="JT30" s="47"/>
      <c r="JU30" s="47"/>
      <c r="JV30" s="47"/>
      <c r="JW30" s="47"/>
      <c r="JX30" s="47"/>
      <c r="JY30" s="47"/>
      <c r="JZ30" s="47"/>
      <c r="KA30" s="47"/>
      <c r="KB30" s="47"/>
      <c r="KC30" s="47"/>
      <c r="KD30" s="47"/>
      <c r="KE30" s="47"/>
      <c r="KF30" s="47"/>
      <c r="KG30" s="47"/>
      <c r="KH30" s="47"/>
      <c r="KI30" s="47"/>
      <c r="KJ30" s="47"/>
      <c r="KK30" s="47"/>
      <c r="KL30" s="47"/>
      <c r="KM30" s="47"/>
      <c r="KN30" s="47"/>
      <c r="KO30" s="47"/>
      <c r="KP30" s="47"/>
      <c r="KQ30" s="47"/>
      <c r="KR30" s="47"/>
      <c r="KS30" s="47"/>
      <c r="KT30" s="47"/>
      <c r="KU30" s="47"/>
      <c r="KV30" s="47"/>
      <c r="KW30" s="47"/>
      <c r="KX30" s="47"/>
      <c r="KY30" s="47"/>
      <c r="KZ30" s="47"/>
      <c r="LA30" s="47"/>
      <c r="LB30" s="47"/>
      <c r="LC30" s="47"/>
      <c r="LD30" s="47"/>
      <c r="LE30" s="47"/>
      <c r="LF30" s="47"/>
      <c r="LG30" s="47"/>
      <c r="LH30" s="47"/>
      <c r="LI30" s="47"/>
      <c r="LJ30" s="47"/>
      <c r="LK30" s="47"/>
      <c r="LL30" s="47"/>
      <c r="LM30" s="47"/>
      <c r="LN30" s="47"/>
      <c r="LO30" s="47"/>
      <c r="LP30" s="47"/>
      <c r="LQ30" s="47"/>
      <c r="LR30" s="47"/>
      <c r="LS30" s="47"/>
      <c r="LT30" s="47"/>
      <c r="LU30" s="47"/>
      <c r="LV30" s="47"/>
      <c r="LW30" s="47"/>
      <c r="LX30" s="47"/>
      <c r="LY30" s="47"/>
      <c r="LZ30" s="47"/>
      <c r="MA30" s="47"/>
      <c r="MB30" s="47"/>
      <c r="MC30" s="47"/>
      <c r="MD30" s="47"/>
      <c r="ME30" s="47"/>
      <c r="MF30" s="47"/>
      <c r="MG30" s="47"/>
      <c r="MH30" s="47"/>
      <c r="MI30" s="47"/>
      <c r="MJ30" s="47"/>
      <c r="MK30" s="47"/>
      <c r="ML30" s="47"/>
      <c r="MM30" s="47"/>
      <c r="MN30" s="47"/>
      <c r="MO30" s="47"/>
      <c r="MP30" s="47"/>
      <c r="MQ30" s="47"/>
      <c r="MR30" s="47"/>
      <c r="MS30" s="47"/>
      <c r="MT30" s="47"/>
      <c r="MU30" s="47"/>
      <c r="MV30" s="47"/>
      <c r="MW30" s="47"/>
      <c r="MX30" s="47"/>
      <c r="MY30" s="47"/>
      <c r="MZ30" s="47"/>
      <c r="NA30" s="47"/>
      <c r="NB30" s="47"/>
      <c r="NC30" s="47"/>
      <c r="ND30" s="47"/>
      <c r="NE30" s="47"/>
      <c r="NF30" s="47"/>
      <c r="NG30" s="47"/>
      <c r="NH30" s="47"/>
      <c r="NI30" s="47"/>
      <c r="NJ30" s="47"/>
      <c r="NK30" s="47"/>
      <c r="NL30" s="47"/>
      <c r="NM30" s="47"/>
      <c r="NN30" s="47"/>
      <c r="NO30" s="47"/>
      <c r="NP30" s="47"/>
      <c r="NQ30" s="47"/>
      <c r="NR30" s="47"/>
      <c r="NS30" s="47"/>
      <c r="NT30" s="47"/>
      <c r="NU30" s="47"/>
      <c r="NV30" s="47"/>
      <c r="NW30" s="47"/>
      <c r="NX30" s="47"/>
      <c r="NY30" s="47"/>
      <c r="NZ30" s="47"/>
      <c r="OA30" s="47"/>
      <c r="OB30" s="47"/>
      <c r="OC30" s="47"/>
      <c r="OD30" s="47"/>
      <c r="OE30" s="48"/>
    </row>
    <row r="31" spans="1:395">
      <c r="A31" s="33" t="str">
        <f t="shared" si="16"/>
        <v/>
      </c>
      <c r="C31" s="2" t="str">
        <f>IF(ISBLANK($B31),"",_xlfn.XLOOKUP($B31,Task_No,Project!$C$3:$C$144,"INVALID TASK"))</f>
        <v/>
      </c>
      <c r="D31" s="27"/>
      <c r="E31" s="7" t="str">
        <f t="shared" si="18"/>
        <v/>
      </c>
      <c r="F31" s="7" t="str">
        <f t="shared" si="17"/>
        <v/>
      </c>
      <c r="G31" s="34"/>
      <c r="H31" s="34" t="str" cm="1">
        <f t="array" ref="H31">IF($C31="","",SUMPRODUCT((TEXT($AE$5:$OE$5, "mmm")=LOWER(G$3))*$AE31:$OE31))</f>
        <v/>
      </c>
      <c r="I31" s="34"/>
      <c r="J31" s="34" t="str" cm="1">
        <f t="array" ref="J31">IF($C31="","",SUMPRODUCT((TEXT($AE$5:$OE$5, "mmm")=LOWER(I$3))*$AE31:$OE31))</f>
        <v/>
      </c>
      <c r="K31" s="34"/>
      <c r="L31" s="34" t="str" cm="1">
        <f t="array" ref="L31">IF($C31="","",SUMPRODUCT((TEXT($AE$5:$OE$5, "mmm")=LOWER(K$3))*$AE31:$OE31))</f>
        <v/>
      </c>
      <c r="M31" s="34"/>
      <c r="N31" s="34" t="str" cm="1">
        <f t="array" ref="N31">IF($C31="","",SUMPRODUCT((TEXT($AE$5:$OE$5, "mmm")=LOWER(M$3))*$AE31:$OE31))</f>
        <v/>
      </c>
      <c r="O31" s="34"/>
      <c r="P31" s="34" t="str" cm="1">
        <f t="array" ref="P31">IF($C31="","",SUMPRODUCT((TEXT($AE$5:$OE$5, "mmm")=LOWER(O$3))*$AE31:$OE31))</f>
        <v/>
      </c>
      <c r="Q31" s="34"/>
      <c r="R31" s="34" t="str" cm="1">
        <f t="array" ref="R31">IF($C31="","",SUMPRODUCT((TEXT($AE$5:$OE$5, "mmm")=LOWER(Q$3))*$AE31:$OE31))</f>
        <v/>
      </c>
      <c r="S31" s="34"/>
      <c r="T31" s="34" t="str" cm="1">
        <f t="array" ref="T31">IF($C31="","",SUMPRODUCT((TEXT($AE$5:$OE$5, "mmm")=LOWER(S$3))*$AE31:$OE31))</f>
        <v/>
      </c>
      <c r="U31" s="34"/>
      <c r="V31" s="34" t="str" cm="1">
        <f t="array" ref="V31">IF($C31="","",SUMPRODUCT((TEXT($AE$5:$OE$5, "mmm")=LOWER(U$3))*$AE31:$OE31))</f>
        <v/>
      </c>
      <c r="W31" s="34"/>
      <c r="X31" s="34" t="str" cm="1">
        <f t="array" ref="X31">IF($C31="","",SUMPRODUCT((TEXT($AE$5:$OE$5, "mmm")=LOWER(W$3))*$AE31:$OE31))</f>
        <v/>
      </c>
      <c r="Y31" s="34"/>
      <c r="Z31" s="34" t="str" cm="1">
        <f t="array" ref="Z31">IF($C31="","",SUMPRODUCT((TEXT($AE$5:$OE$5, "mmm")=LOWER(Y$3))*$AE31:$OE31))</f>
        <v/>
      </c>
      <c r="AA31" s="34"/>
      <c r="AB31" s="34" t="str" cm="1">
        <f t="array" ref="AB31">IF($C31="","",SUMPRODUCT((TEXT($AE$5:$OE$5, "mmm")=LOWER(AA$3))*$AE31:$OE31))</f>
        <v/>
      </c>
      <c r="AC31" s="34"/>
      <c r="AD31" s="34" t="str" cm="1">
        <f t="array" ref="AD31">IF($C31="","",SUMPRODUCT((TEXT($AE$5:$OE$5, "mmm")=LOWER(AC$3))*$AE31:$OE31))</f>
        <v/>
      </c>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47"/>
      <c r="BF31" s="47"/>
      <c r="BG31" s="47"/>
      <c r="BH31" s="47"/>
      <c r="BI31" s="47"/>
      <c r="BJ31" s="47"/>
      <c r="BK31" s="47"/>
      <c r="BL31" s="47"/>
      <c r="BM31" s="47"/>
      <c r="BN31" s="47"/>
      <c r="BO31" s="47"/>
      <c r="BP31" s="47"/>
      <c r="BQ31" s="47"/>
      <c r="BR31" s="47"/>
      <c r="BS31" s="47"/>
      <c r="BT31" s="47"/>
      <c r="BU31" s="47"/>
      <c r="BV31" s="47"/>
      <c r="BW31" s="47"/>
      <c r="BX31" s="47"/>
      <c r="BY31" s="47"/>
      <c r="BZ31" s="47"/>
      <c r="CA31" s="47"/>
      <c r="CB31" s="47"/>
      <c r="CC31" s="47"/>
      <c r="CD31" s="47"/>
      <c r="CE31" s="47"/>
      <c r="CF31" s="47"/>
      <c r="CG31" s="47"/>
      <c r="CH31" s="47"/>
      <c r="CI31" s="47"/>
      <c r="CJ31" s="47"/>
      <c r="CK31" s="47"/>
      <c r="CL31" s="47"/>
      <c r="CM31" s="47"/>
      <c r="CN31" s="47"/>
      <c r="CO31" s="47"/>
      <c r="CP31" s="47"/>
      <c r="CQ31" s="47"/>
      <c r="CR31" s="47"/>
      <c r="CS31" s="47"/>
      <c r="CT31" s="47"/>
      <c r="CU31" s="47"/>
      <c r="CV31" s="47"/>
      <c r="CW31" s="47"/>
      <c r="CX31" s="47"/>
      <c r="CY31" s="47"/>
      <c r="CZ31" s="47"/>
      <c r="DA31" s="47"/>
      <c r="DB31" s="47"/>
      <c r="DC31" s="47"/>
      <c r="DD31" s="47"/>
      <c r="DE31" s="47"/>
      <c r="DF31" s="47"/>
      <c r="DG31" s="47"/>
      <c r="DH31" s="47"/>
      <c r="DI31" s="47"/>
      <c r="DJ31" s="47"/>
      <c r="DK31" s="47"/>
      <c r="DL31" s="47"/>
      <c r="DM31" s="47"/>
      <c r="DN31" s="47"/>
      <c r="DO31" s="47"/>
      <c r="DP31" s="47"/>
      <c r="DQ31" s="47"/>
      <c r="DR31" s="47"/>
      <c r="DS31" s="47"/>
      <c r="DT31" s="47"/>
      <c r="DU31" s="47"/>
      <c r="DV31" s="47"/>
      <c r="DW31" s="47"/>
      <c r="DX31" s="47"/>
      <c r="DY31" s="47"/>
      <c r="DZ31" s="47"/>
      <c r="EA31" s="47"/>
      <c r="EB31" s="47"/>
      <c r="EC31" s="47"/>
      <c r="ED31" s="47"/>
      <c r="EE31" s="47"/>
      <c r="EF31" s="47"/>
      <c r="EG31" s="47"/>
      <c r="EH31" s="47"/>
      <c r="EI31" s="47"/>
      <c r="EJ31" s="47"/>
      <c r="EK31" s="47"/>
      <c r="EL31" s="47"/>
      <c r="EM31" s="47"/>
      <c r="EN31" s="47"/>
      <c r="EO31" s="47"/>
      <c r="EP31" s="47"/>
      <c r="EQ31" s="47"/>
      <c r="ER31" s="47"/>
      <c r="ES31" s="47"/>
      <c r="ET31" s="47"/>
      <c r="EU31" s="47"/>
      <c r="EV31" s="47"/>
      <c r="EW31" s="47"/>
      <c r="EX31" s="47"/>
      <c r="EY31" s="47"/>
      <c r="EZ31" s="47"/>
      <c r="FA31" s="47"/>
      <c r="FB31" s="47"/>
      <c r="FC31" s="47"/>
      <c r="FD31" s="47"/>
      <c r="FE31" s="47"/>
      <c r="FF31" s="47"/>
      <c r="FG31" s="47"/>
      <c r="FH31" s="47"/>
      <c r="FI31" s="47"/>
      <c r="FJ31" s="47"/>
      <c r="FK31" s="47"/>
      <c r="FL31" s="47"/>
      <c r="FM31" s="47"/>
      <c r="FN31" s="47"/>
      <c r="FO31" s="47"/>
      <c r="FP31" s="47"/>
      <c r="FQ31" s="47"/>
      <c r="FR31" s="47"/>
      <c r="FS31" s="47"/>
      <c r="FT31" s="47"/>
      <c r="FU31" s="47"/>
      <c r="FV31" s="47"/>
      <c r="FW31" s="47"/>
      <c r="FX31" s="47"/>
      <c r="FY31" s="47"/>
      <c r="FZ31" s="47"/>
      <c r="GA31" s="47"/>
      <c r="GB31" s="47"/>
      <c r="GC31" s="47"/>
      <c r="GD31" s="47"/>
      <c r="GE31" s="47"/>
      <c r="GF31" s="47"/>
      <c r="GG31" s="47"/>
      <c r="GH31" s="47"/>
      <c r="GI31" s="47"/>
      <c r="GJ31" s="47"/>
      <c r="GK31" s="47"/>
      <c r="GL31" s="47"/>
      <c r="GM31" s="47"/>
      <c r="GN31" s="47"/>
      <c r="GO31" s="47"/>
      <c r="GP31" s="47"/>
      <c r="GQ31" s="47"/>
      <c r="GR31" s="47"/>
      <c r="GS31" s="47"/>
      <c r="GT31" s="47"/>
      <c r="GU31" s="47"/>
      <c r="GV31" s="47"/>
      <c r="GW31" s="47"/>
      <c r="GX31" s="47"/>
      <c r="GY31" s="47"/>
      <c r="GZ31" s="47"/>
      <c r="HA31" s="47"/>
      <c r="HB31" s="47"/>
      <c r="HC31" s="47"/>
      <c r="HD31" s="47"/>
      <c r="HE31" s="47"/>
      <c r="HF31" s="47"/>
      <c r="HG31" s="47"/>
      <c r="HH31" s="47"/>
      <c r="HI31" s="47"/>
      <c r="HJ31" s="47"/>
      <c r="HK31" s="47"/>
      <c r="HL31" s="47"/>
      <c r="HM31" s="47"/>
      <c r="HN31" s="47"/>
      <c r="HO31" s="47"/>
      <c r="HP31" s="47"/>
      <c r="HQ31" s="47"/>
      <c r="HR31" s="47"/>
      <c r="HS31" s="47"/>
      <c r="HT31" s="47"/>
      <c r="HU31" s="47"/>
      <c r="HV31" s="47"/>
      <c r="HW31" s="47"/>
      <c r="HX31" s="47"/>
      <c r="HY31" s="47"/>
      <c r="HZ31" s="47"/>
      <c r="IA31" s="47"/>
      <c r="IB31" s="47"/>
      <c r="IC31" s="47"/>
      <c r="ID31" s="47"/>
      <c r="IE31" s="47"/>
      <c r="IF31" s="47"/>
      <c r="IG31" s="47"/>
      <c r="IH31" s="47"/>
      <c r="II31" s="47"/>
      <c r="IJ31" s="47"/>
      <c r="IK31" s="47"/>
      <c r="IL31" s="47"/>
      <c r="IM31" s="47"/>
      <c r="IN31" s="47"/>
      <c r="IO31" s="47"/>
      <c r="IP31" s="47"/>
      <c r="IQ31" s="47"/>
      <c r="IR31" s="47"/>
      <c r="IS31" s="47"/>
      <c r="IT31" s="47"/>
      <c r="IU31" s="47"/>
      <c r="IV31" s="47"/>
      <c r="IW31" s="47"/>
      <c r="IX31" s="47"/>
      <c r="IY31" s="47"/>
      <c r="IZ31" s="47"/>
      <c r="JA31" s="47"/>
      <c r="JB31" s="47"/>
      <c r="JC31" s="47"/>
      <c r="JD31" s="47"/>
      <c r="JE31" s="47"/>
      <c r="JF31" s="47"/>
      <c r="JG31" s="47"/>
      <c r="JH31" s="47"/>
      <c r="JI31" s="47"/>
      <c r="JJ31" s="47"/>
      <c r="JK31" s="47"/>
      <c r="JL31" s="47"/>
      <c r="JM31" s="47"/>
      <c r="JN31" s="47"/>
      <c r="JO31" s="47"/>
      <c r="JP31" s="47"/>
      <c r="JQ31" s="47"/>
      <c r="JR31" s="47"/>
      <c r="JS31" s="47"/>
      <c r="JT31" s="47"/>
      <c r="JU31" s="47"/>
      <c r="JV31" s="47"/>
      <c r="JW31" s="47"/>
      <c r="JX31" s="47"/>
      <c r="JY31" s="47"/>
      <c r="JZ31" s="47"/>
      <c r="KA31" s="47"/>
      <c r="KB31" s="47"/>
      <c r="KC31" s="47"/>
      <c r="KD31" s="47"/>
      <c r="KE31" s="47"/>
      <c r="KF31" s="47"/>
      <c r="KG31" s="47"/>
      <c r="KH31" s="47"/>
      <c r="KI31" s="47"/>
      <c r="KJ31" s="47"/>
      <c r="KK31" s="47"/>
      <c r="KL31" s="47"/>
      <c r="KM31" s="47"/>
      <c r="KN31" s="47"/>
      <c r="KO31" s="47"/>
      <c r="KP31" s="47"/>
      <c r="KQ31" s="47"/>
      <c r="KR31" s="47"/>
      <c r="KS31" s="47"/>
      <c r="KT31" s="47"/>
      <c r="KU31" s="47"/>
      <c r="KV31" s="47"/>
      <c r="KW31" s="47"/>
      <c r="KX31" s="47"/>
      <c r="KY31" s="47"/>
      <c r="KZ31" s="47"/>
      <c r="LA31" s="47"/>
      <c r="LB31" s="47"/>
      <c r="LC31" s="47"/>
      <c r="LD31" s="47"/>
      <c r="LE31" s="47"/>
      <c r="LF31" s="47"/>
      <c r="LG31" s="47"/>
      <c r="LH31" s="47"/>
      <c r="LI31" s="47"/>
      <c r="LJ31" s="47"/>
      <c r="LK31" s="47"/>
      <c r="LL31" s="47"/>
      <c r="LM31" s="47"/>
      <c r="LN31" s="47"/>
      <c r="LO31" s="47"/>
      <c r="LP31" s="47"/>
      <c r="LQ31" s="47"/>
      <c r="LR31" s="47"/>
      <c r="LS31" s="47"/>
      <c r="LT31" s="47"/>
      <c r="LU31" s="47"/>
      <c r="LV31" s="47"/>
      <c r="LW31" s="47"/>
      <c r="LX31" s="47"/>
      <c r="LY31" s="47"/>
      <c r="LZ31" s="47"/>
      <c r="MA31" s="47"/>
      <c r="MB31" s="47"/>
      <c r="MC31" s="47"/>
      <c r="MD31" s="47"/>
      <c r="ME31" s="47"/>
      <c r="MF31" s="47"/>
      <c r="MG31" s="47"/>
      <c r="MH31" s="47"/>
      <c r="MI31" s="47"/>
      <c r="MJ31" s="47"/>
      <c r="MK31" s="47"/>
      <c r="ML31" s="47"/>
      <c r="MM31" s="47"/>
      <c r="MN31" s="47"/>
      <c r="MO31" s="47"/>
      <c r="MP31" s="47"/>
      <c r="MQ31" s="47"/>
      <c r="MR31" s="47"/>
      <c r="MS31" s="47"/>
      <c r="MT31" s="47"/>
      <c r="MU31" s="47"/>
      <c r="MV31" s="47"/>
      <c r="MW31" s="47"/>
      <c r="MX31" s="47"/>
      <c r="MY31" s="47"/>
      <c r="MZ31" s="47"/>
      <c r="NA31" s="47"/>
      <c r="NB31" s="47"/>
      <c r="NC31" s="47"/>
      <c r="ND31" s="47"/>
      <c r="NE31" s="47"/>
      <c r="NF31" s="47"/>
      <c r="NG31" s="47"/>
      <c r="NH31" s="47"/>
      <c r="NI31" s="47"/>
      <c r="NJ31" s="47"/>
      <c r="NK31" s="47"/>
      <c r="NL31" s="47"/>
      <c r="NM31" s="47"/>
      <c r="NN31" s="47"/>
      <c r="NO31" s="47"/>
      <c r="NP31" s="47"/>
      <c r="NQ31" s="47"/>
      <c r="NR31" s="47"/>
      <c r="NS31" s="47"/>
      <c r="NT31" s="47"/>
      <c r="NU31" s="47"/>
      <c r="NV31" s="47"/>
      <c r="NW31" s="47"/>
      <c r="NX31" s="47"/>
      <c r="NY31" s="47"/>
      <c r="NZ31" s="47"/>
      <c r="OA31" s="47"/>
      <c r="OB31" s="47"/>
      <c r="OC31" s="47"/>
      <c r="OD31" s="47"/>
      <c r="OE31" s="48"/>
    </row>
    <row r="32" spans="1:395">
      <c r="A32" s="33" t="str">
        <f t="shared" si="16"/>
        <v/>
      </c>
      <c r="C32" s="2" t="str">
        <f>IF(ISBLANK($B32),"",_xlfn.XLOOKUP($B32,Task_No,Project!$C$3:$C$144,"INVALID TASK"))</f>
        <v/>
      </c>
      <c r="D32" s="27"/>
      <c r="E32" s="7" t="str">
        <f t="shared" si="18"/>
        <v/>
      </c>
      <c r="F32" s="7" t="str">
        <f t="shared" si="17"/>
        <v/>
      </c>
      <c r="G32" s="34"/>
      <c r="H32" s="34" t="str" cm="1">
        <f t="array" ref="H32">IF($C32="","",SUMPRODUCT((TEXT($AE$5:$OE$5, "mmm")=LOWER(G$3))*$AE32:$OE32))</f>
        <v/>
      </c>
      <c r="I32" s="34"/>
      <c r="J32" s="34" t="str" cm="1">
        <f t="array" ref="J32">IF($C32="","",SUMPRODUCT((TEXT($AE$5:$OE$5, "mmm")=LOWER(I$3))*$AE32:$OE32))</f>
        <v/>
      </c>
      <c r="K32" s="34"/>
      <c r="L32" s="34" t="str" cm="1">
        <f t="array" ref="L32">IF($C32="","",SUMPRODUCT((TEXT($AE$5:$OE$5, "mmm")=LOWER(K$3))*$AE32:$OE32))</f>
        <v/>
      </c>
      <c r="M32" s="34"/>
      <c r="N32" s="34" t="str" cm="1">
        <f t="array" ref="N32">IF($C32="","",SUMPRODUCT((TEXT($AE$5:$OE$5, "mmm")=LOWER(M$3))*$AE32:$OE32))</f>
        <v/>
      </c>
      <c r="O32" s="34"/>
      <c r="P32" s="34" t="str" cm="1">
        <f t="array" ref="P32">IF($C32="","",SUMPRODUCT((TEXT($AE$5:$OE$5, "mmm")=LOWER(O$3))*$AE32:$OE32))</f>
        <v/>
      </c>
      <c r="Q32" s="34"/>
      <c r="R32" s="34" t="str" cm="1">
        <f t="array" ref="R32">IF($C32="","",SUMPRODUCT((TEXT($AE$5:$OE$5, "mmm")=LOWER(Q$3))*$AE32:$OE32))</f>
        <v/>
      </c>
      <c r="S32" s="34"/>
      <c r="T32" s="34" t="str" cm="1">
        <f t="array" ref="T32">IF($C32="","",SUMPRODUCT((TEXT($AE$5:$OE$5, "mmm")=LOWER(S$3))*$AE32:$OE32))</f>
        <v/>
      </c>
      <c r="U32" s="34"/>
      <c r="V32" s="34" t="str" cm="1">
        <f t="array" ref="V32">IF($C32="","",SUMPRODUCT((TEXT($AE$5:$OE$5, "mmm")=LOWER(U$3))*$AE32:$OE32))</f>
        <v/>
      </c>
      <c r="W32" s="34"/>
      <c r="X32" s="34" t="str" cm="1">
        <f t="array" ref="X32">IF($C32="","",SUMPRODUCT((TEXT($AE$5:$OE$5, "mmm")=LOWER(W$3))*$AE32:$OE32))</f>
        <v/>
      </c>
      <c r="Y32" s="34"/>
      <c r="Z32" s="34" t="str" cm="1">
        <f t="array" ref="Z32">IF($C32="","",SUMPRODUCT((TEXT($AE$5:$OE$5, "mmm")=LOWER(Y$3))*$AE32:$OE32))</f>
        <v/>
      </c>
      <c r="AA32" s="34"/>
      <c r="AB32" s="34" t="str" cm="1">
        <f t="array" ref="AB32">IF($C32="","",SUMPRODUCT((TEXT($AE$5:$OE$5, "mmm")=LOWER(AA$3))*$AE32:$OE32))</f>
        <v/>
      </c>
      <c r="AC32" s="34"/>
      <c r="AD32" s="34" t="str" cm="1">
        <f t="array" ref="AD32">IF($C32="","",SUMPRODUCT((TEXT($AE$5:$OE$5, "mmm")=LOWER(AC$3))*$AE32:$OE32))</f>
        <v/>
      </c>
      <c r="AE32" s="47"/>
      <c r="AF32" s="47"/>
      <c r="AG32" s="47"/>
      <c r="AH32" s="47"/>
      <c r="AI32" s="47"/>
      <c r="AJ32" s="47"/>
      <c r="AK32" s="47"/>
      <c r="AL32" s="47"/>
      <c r="AM32" s="47"/>
      <c r="AN32" s="47"/>
      <c r="AO32" s="47"/>
      <c r="AP32" s="47"/>
      <c r="AQ32" s="47"/>
      <c r="AR32" s="47"/>
      <c r="AS32" s="47"/>
      <c r="AT32" s="47"/>
      <c r="AU32" s="47"/>
      <c r="AV32" s="47"/>
      <c r="AW32" s="47"/>
      <c r="AX32" s="47"/>
      <c r="AY32" s="47"/>
      <c r="AZ32" s="47"/>
      <c r="BA32" s="47"/>
      <c r="BB32" s="47"/>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47"/>
      <c r="CA32" s="47"/>
      <c r="CB32" s="47"/>
      <c r="CC32" s="47"/>
      <c r="CD32" s="47"/>
      <c r="CE32" s="47"/>
      <c r="CF32" s="47"/>
      <c r="CG32" s="47"/>
      <c r="CH32" s="47"/>
      <c r="CI32" s="47"/>
      <c r="CJ32" s="47"/>
      <c r="CK32" s="47"/>
      <c r="CL32" s="47"/>
      <c r="CM32" s="47"/>
      <c r="CN32" s="47"/>
      <c r="CO32" s="47"/>
      <c r="CP32" s="47"/>
      <c r="CQ32" s="47"/>
      <c r="CR32" s="47"/>
      <c r="CS32" s="47"/>
      <c r="CT32" s="47"/>
      <c r="CU32" s="47"/>
      <c r="CV32" s="47"/>
      <c r="CW32" s="47"/>
      <c r="CX32" s="47"/>
      <c r="CY32" s="47"/>
      <c r="CZ32" s="47"/>
      <c r="DA32" s="47"/>
      <c r="DB32" s="47"/>
      <c r="DC32" s="47"/>
      <c r="DD32" s="47"/>
      <c r="DE32" s="47"/>
      <c r="DF32" s="47"/>
      <c r="DG32" s="47"/>
      <c r="DH32" s="47"/>
      <c r="DI32" s="47"/>
      <c r="DJ32" s="47"/>
      <c r="DK32" s="47"/>
      <c r="DL32" s="47"/>
      <c r="DM32" s="47"/>
      <c r="DN32" s="47"/>
      <c r="DO32" s="47"/>
      <c r="DP32" s="47"/>
      <c r="DQ32" s="47"/>
      <c r="DR32" s="47"/>
      <c r="DS32" s="47"/>
      <c r="DT32" s="47"/>
      <c r="DU32" s="47"/>
      <c r="DV32" s="47"/>
      <c r="DW32" s="47"/>
      <c r="DX32" s="47"/>
      <c r="DY32" s="47"/>
      <c r="DZ32" s="47"/>
      <c r="EA32" s="47"/>
      <c r="EB32" s="47"/>
      <c r="EC32" s="47"/>
      <c r="ED32" s="47"/>
      <c r="EE32" s="47"/>
      <c r="EF32" s="47"/>
      <c r="EG32" s="47"/>
      <c r="EH32" s="47"/>
      <c r="EI32" s="47"/>
      <c r="EJ32" s="47"/>
      <c r="EK32" s="47"/>
      <c r="EL32" s="47"/>
      <c r="EM32" s="47"/>
      <c r="EN32" s="47"/>
      <c r="EO32" s="47"/>
      <c r="EP32" s="47"/>
      <c r="EQ32" s="47"/>
      <c r="ER32" s="47"/>
      <c r="ES32" s="47"/>
      <c r="ET32" s="47"/>
      <c r="EU32" s="47"/>
      <c r="EV32" s="47"/>
      <c r="EW32" s="47"/>
      <c r="EX32" s="47"/>
      <c r="EY32" s="47"/>
      <c r="EZ32" s="47"/>
      <c r="FA32" s="47"/>
      <c r="FB32" s="47"/>
      <c r="FC32" s="47"/>
      <c r="FD32" s="47"/>
      <c r="FE32" s="47"/>
      <c r="FF32" s="47"/>
      <c r="FG32" s="47"/>
      <c r="FH32" s="47"/>
      <c r="FI32" s="47"/>
      <c r="FJ32" s="47"/>
      <c r="FK32" s="47"/>
      <c r="FL32" s="47"/>
      <c r="FM32" s="47"/>
      <c r="FN32" s="47"/>
      <c r="FO32" s="47"/>
      <c r="FP32" s="47"/>
      <c r="FQ32" s="47"/>
      <c r="FR32" s="47"/>
      <c r="FS32" s="47"/>
      <c r="FT32" s="47"/>
      <c r="FU32" s="47"/>
      <c r="FV32" s="47"/>
      <c r="FW32" s="47"/>
      <c r="FX32" s="47"/>
      <c r="FY32" s="47"/>
      <c r="FZ32" s="47"/>
      <c r="GA32" s="47"/>
      <c r="GB32" s="47"/>
      <c r="GC32" s="47"/>
      <c r="GD32" s="47"/>
      <c r="GE32" s="47"/>
      <c r="GF32" s="47"/>
      <c r="GG32" s="47"/>
      <c r="GH32" s="47"/>
      <c r="GI32" s="47"/>
      <c r="GJ32" s="47"/>
      <c r="GK32" s="47"/>
      <c r="GL32" s="47"/>
      <c r="GM32" s="47"/>
      <c r="GN32" s="47"/>
      <c r="GO32" s="47"/>
      <c r="GP32" s="47"/>
      <c r="GQ32" s="47"/>
      <c r="GR32" s="47"/>
      <c r="GS32" s="47"/>
      <c r="GT32" s="47"/>
      <c r="GU32" s="47"/>
      <c r="GV32" s="47"/>
      <c r="GW32" s="47"/>
      <c r="GX32" s="47"/>
      <c r="GY32" s="47"/>
      <c r="GZ32" s="47"/>
      <c r="HA32" s="47"/>
      <c r="HB32" s="47"/>
      <c r="HC32" s="47"/>
      <c r="HD32" s="47"/>
      <c r="HE32" s="47"/>
      <c r="HF32" s="47"/>
      <c r="HG32" s="47"/>
      <c r="HH32" s="47"/>
      <c r="HI32" s="47"/>
      <c r="HJ32" s="47"/>
      <c r="HK32" s="47"/>
      <c r="HL32" s="47"/>
      <c r="HM32" s="47"/>
      <c r="HN32" s="47"/>
      <c r="HO32" s="47"/>
      <c r="HP32" s="47"/>
      <c r="HQ32" s="47"/>
      <c r="HR32" s="47"/>
      <c r="HS32" s="47"/>
      <c r="HT32" s="47"/>
      <c r="HU32" s="47"/>
      <c r="HV32" s="47"/>
      <c r="HW32" s="47"/>
      <c r="HX32" s="47"/>
      <c r="HY32" s="47"/>
      <c r="HZ32" s="47"/>
      <c r="IA32" s="47"/>
      <c r="IB32" s="47"/>
      <c r="IC32" s="47"/>
      <c r="ID32" s="47"/>
      <c r="IE32" s="47"/>
      <c r="IF32" s="47"/>
      <c r="IG32" s="47"/>
      <c r="IH32" s="47"/>
      <c r="II32" s="47"/>
      <c r="IJ32" s="47"/>
      <c r="IK32" s="47"/>
      <c r="IL32" s="47"/>
      <c r="IM32" s="47"/>
      <c r="IN32" s="47"/>
      <c r="IO32" s="47"/>
      <c r="IP32" s="47"/>
      <c r="IQ32" s="47"/>
      <c r="IR32" s="47"/>
      <c r="IS32" s="47"/>
      <c r="IT32" s="47"/>
      <c r="IU32" s="47"/>
      <c r="IV32" s="47"/>
      <c r="IW32" s="47"/>
      <c r="IX32" s="47"/>
      <c r="IY32" s="47"/>
      <c r="IZ32" s="47"/>
      <c r="JA32" s="47"/>
      <c r="JB32" s="47"/>
      <c r="JC32" s="47"/>
      <c r="JD32" s="47"/>
      <c r="JE32" s="47"/>
      <c r="JF32" s="47"/>
      <c r="JG32" s="47"/>
      <c r="JH32" s="47"/>
      <c r="JI32" s="47"/>
      <c r="JJ32" s="47"/>
      <c r="JK32" s="47"/>
      <c r="JL32" s="47"/>
      <c r="JM32" s="47"/>
      <c r="JN32" s="47"/>
      <c r="JO32" s="47"/>
      <c r="JP32" s="47"/>
      <c r="JQ32" s="47"/>
      <c r="JR32" s="47"/>
      <c r="JS32" s="47"/>
      <c r="JT32" s="47"/>
      <c r="JU32" s="47"/>
      <c r="JV32" s="47"/>
      <c r="JW32" s="47"/>
      <c r="JX32" s="47"/>
      <c r="JY32" s="47"/>
      <c r="JZ32" s="47"/>
      <c r="KA32" s="47"/>
      <c r="KB32" s="47"/>
      <c r="KC32" s="47"/>
      <c r="KD32" s="47"/>
      <c r="KE32" s="47"/>
      <c r="KF32" s="47"/>
      <c r="KG32" s="47"/>
      <c r="KH32" s="47"/>
      <c r="KI32" s="47"/>
      <c r="KJ32" s="47"/>
      <c r="KK32" s="47"/>
      <c r="KL32" s="47"/>
      <c r="KM32" s="47"/>
      <c r="KN32" s="47"/>
      <c r="KO32" s="47"/>
      <c r="KP32" s="47"/>
      <c r="KQ32" s="47"/>
      <c r="KR32" s="47"/>
      <c r="KS32" s="47"/>
      <c r="KT32" s="47"/>
      <c r="KU32" s="47"/>
      <c r="KV32" s="47"/>
      <c r="KW32" s="47"/>
      <c r="KX32" s="47"/>
      <c r="KY32" s="47"/>
      <c r="KZ32" s="47"/>
      <c r="LA32" s="47"/>
      <c r="LB32" s="47"/>
      <c r="LC32" s="47"/>
      <c r="LD32" s="47"/>
      <c r="LE32" s="47"/>
      <c r="LF32" s="47"/>
      <c r="LG32" s="47"/>
      <c r="LH32" s="47"/>
      <c r="LI32" s="47"/>
      <c r="LJ32" s="47"/>
      <c r="LK32" s="47"/>
      <c r="LL32" s="47"/>
      <c r="LM32" s="47"/>
      <c r="LN32" s="47"/>
      <c r="LO32" s="47"/>
      <c r="LP32" s="47"/>
      <c r="LQ32" s="47"/>
      <c r="LR32" s="47"/>
      <c r="LS32" s="47"/>
      <c r="LT32" s="47"/>
      <c r="LU32" s="47"/>
      <c r="LV32" s="47"/>
      <c r="LW32" s="47"/>
      <c r="LX32" s="47"/>
      <c r="LY32" s="47"/>
      <c r="LZ32" s="47"/>
      <c r="MA32" s="47"/>
      <c r="MB32" s="47"/>
      <c r="MC32" s="47"/>
      <c r="MD32" s="47"/>
      <c r="ME32" s="47"/>
      <c r="MF32" s="47"/>
      <c r="MG32" s="47"/>
      <c r="MH32" s="47"/>
      <c r="MI32" s="47"/>
      <c r="MJ32" s="47"/>
      <c r="MK32" s="47"/>
      <c r="ML32" s="47"/>
      <c r="MM32" s="47"/>
      <c r="MN32" s="47"/>
      <c r="MO32" s="47"/>
      <c r="MP32" s="47"/>
      <c r="MQ32" s="47"/>
      <c r="MR32" s="47"/>
      <c r="MS32" s="47"/>
      <c r="MT32" s="47"/>
      <c r="MU32" s="47"/>
      <c r="MV32" s="47"/>
      <c r="MW32" s="47"/>
      <c r="MX32" s="47"/>
      <c r="MY32" s="47"/>
      <c r="MZ32" s="47"/>
      <c r="NA32" s="47"/>
      <c r="NB32" s="47"/>
      <c r="NC32" s="47"/>
      <c r="ND32" s="47"/>
      <c r="NE32" s="47"/>
      <c r="NF32" s="47"/>
      <c r="NG32" s="47"/>
      <c r="NH32" s="47"/>
      <c r="NI32" s="47"/>
      <c r="NJ32" s="47"/>
      <c r="NK32" s="47"/>
      <c r="NL32" s="47"/>
      <c r="NM32" s="47"/>
      <c r="NN32" s="47"/>
      <c r="NO32" s="47"/>
      <c r="NP32" s="47"/>
      <c r="NQ32" s="47"/>
      <c r="NR32" s="47"/>
      <c r="NS32" s="47"/>
      <c r="NT32" s="47"/>
      <c r="NU32" s="47"/>
      <c r="NV32" s="47"/>
      <c r="NW32" s="47"/>
      <c r="NX32" s="47"/>
      <c r="NY32" s="47"/>
      <c r="NZ32" s="47"/>
      <c r="OA32" s="47"/>
      <c r="OB32" s="47"/>
      <c r="OC32" s="47"/>
      <c r="OD32" s="47"/>
      <c r="OE32" s="48"/>
    </row>
    <row r="33" spans="1:395">
      <c r="A33" s="33" t="str">
        <f t="shared" si="16"/>
        <v/>
      </c>
      <c r="C33" s="2" t="str">
        <f>IF(ISBLANK($B33),"",_xlfn.XLOOKUP($B33,Task_No,Project!$C$3:$C$144,"INVALID TASK"))</f>
        <v/>
      </c>
      <c r="D33" s="27"/>
      <c r="E33" s="7" t="str">
        <f t="shared" si="18"/>
        <v/>
      </c>
      <c r="F33" s="7" t="str">
        <f t="shared" si="17"/>
        <v/>
      </c>
      <c r="G33" s="34"/>
      <c r="H33" s="34" t="str" cm="1">
        <f t="array" ref="H33">IF($C33="","",SUMPRODUCT((TEXT($AE$5:$OE$5, "mmm")=LOWER(G$3))*$AE33:$OE33))</f>
        <v/>
      </c>
      <c r="I33" s="34"/>
      <c r="J33" s="34" t="str" cm="1">
        <f t="array" ref="J33">IF($C33="","",SUMPRODUCT((TEXT($AE$5:$OE$5, "mmm")=LOWER(I$3))*$AE33:$OE33))</f>
        <v/>
      </c>
      <c r="K33" s="34"/>
      <c r="L33" s="34" t="str" cm="1">
        <f t="array" ref="L33">IF($C33="","",SUMPRODUCT((TEXT($AE$5:$OE$5, "mmm")=LOWER(K$3))*$AE33:$OE33))</f>
        <v/>
      </c>
      <c r="M33" s="34"/>
      <c r="N33" s="34" t="str" cm="1">
        <f t="array" ref="N33">IF($C33="","",SUMPRODUCT((TEXT($AE$5:$OE$5, "mmm")=LOWER(M$3))*$AE33:$OE33))</f>
        <v/>
      </c>
      <c r="O33" s="34"/>
      <c r="P33" s="34" t="str" cm="1">
        <f t="array" ref="P33">IF($C33="","",SUMPRODUCT((TEXT($AE$5:$OE$5, "mmm")=LOWER(O$3))*$AE33:$OE33))</f>
        <v/>
      </c>
      <c r="Q33" s="34"/>
      <c r="R33" s="34" t="str" cm="1">
        <f t="array" ref="R33">IF($C33="","",SUMPRODUCT((TEXT($AE$5:$OE$5, "mmm")=LOWER(Q$3))*$AE33:$OE33))</f>
        <v/>
      </c>
      <c r="S33" s="34"/>
      <c r="T33" s="34" t="str" cm="1">
        <f t="array" ref="T33">IF($C33="","",SUMPRODUCT((TEXT($AE$5:$OE$5, "mmm")=LOWER(S$3))*$AE33:$OE33))</f>
        <v/>
      </c>
      <c r="U33" s="34"/>
      <c r="V33" s="34" t="str" cm="1">
        <f t="array" ref="V33">IF($C33="","",SUMPRODUCT((TEXT($AE$5:$OE$5, "mmm")=LOWER(U$3))*$AE33:$OE33))</f>
        <v/>
      </c>
      <c r="W33" s="34"/>
      <c r="X33" s="34" t="str" cm="1">
        <f t="array" ref="X33">IF($C33="","",SUMPRODUCT((TEXT($AE$5:$OE$5, "mmm")=LOWER(W$3))*$AE33:$OE33))</f>
        <v/>
      </c>
      <c r="Y33" s="34"/>
      <c r="Z33" s="34" t="str" cm="1">
        <f t="array" ref="Z33">IF($C33="","",SUMPRODUCT((TEXT($AE$5:$OE$5, "mmm")=LOWER(Y$3))*$AE33:$OE33))</f>
        <v/>
      </c>
      <c r="AA33" s="34"/>
      <c r="AB33" s="34" t="str" cm="1">
        <f t="array" ref="AB33">IF($C33="","",SUMPRODUCT((TEXT($AE$5:$OE$5, "mmm")=LOWER(AA$3))*$AE33:$OE33))</f>
        <v/>
      </c>
      <c r="AC33" s="34"/>
      <c r="AD33" s="34" t="str" cm="1">
        <f t="array" ref="AD33">IF($C33="","",SUMPRODUCT((TEXT($AE$5:$OE$5, "mmm")=LOWER(AC$3))*$AE33:$OE33))</f>
        <v/>
      </c>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47"/>
      <c r="BN33" s="47"/>
      <c r="BO33" s="47"/>
      <c r="BP33" s="47"/>
      <c r="BQ33" s="47"/>
      <c r="BR33" s="47"/>
      <c r="BS33" s="47"/>
      <c r="BT33" s="47"/>
      <c r="BU33" s="47"/>
      <c r="BV33" s="47"/>
      <c r="BW33" s="47"/>
      <c r="BX33" s="47"/>
      <c r="BY33" s="47"/>
      <c r="BZ33" s="47"/>
      <c r="CA33" s="47"/>
      <c r="CB33" s="47"/>
      <c r="CC33" s="47"/>
      <c r="CD33" s="47"/>
      <c r="CE33" s="47"/>
      <c r="CF33" s="47"/>
      <c r="CG33" s="47"/>
      <c r="CH33" s="47"/>
      <c r="CI33" s="47"/>
      <c r="CJ33" s="47"/>
      <c r="CK33" s="47"/>
      <c r="CL33" s="47"/>
      <c r="CM33" s="47"/>
      <c r="CN33" s="47"/>
      <c r="CO33" s="47"/>
      <c r="CP33" s="47"/>
      <c r="CQ33" s="47"/>
      <c r="CR33" s="47"/>
      <c r="CS33" s="47"/>
      <c r="CT33" s="47"/>
      <c r="CU33" s="47"/>
      <c r="CV33" s="47"/>
      <c r="CW33" s="47"/>
      <c r="CX33" s="47"/>
      <c r="CY33" s="47"/>
      <c r="CZ33" s="47"/>
      <c r="DA33" s="47"/>
      <c r="DB33" s="47"/>
      <c r="DC33" s="47"/>
      <c r="DD33" s="47"/>
      <c r="DE33" s="47"/>
      <c r="DF33" s="47"/>
      <c r="DG33" s="47"/>
      <c r="DH33" s="47"/>
      <c r="DI33" s="47"/>
      <c r="DJ33" s="47"/>
      <c r="DK33" s="47"/>
      <c r="DL33" s="47"/>
      <c r="DM33" s="47"/>
      <c r="DN33" s="47"/>
      <c r="DO33" s="47"/>
      <c r="DP33" s="47"/>
      <c r="DQ33" s="47"/>
      <c r="DR33" s="47"/>
      <c r="DS33" s="47"/>
      <c r="DT33" s="47"/>
      <c r="DU33" s="47"/>
      <c r="DV33" s="47"/>
      <c r="DW33" s="47"/>
      <c r="DX33" s="47"/>
      <c r="DY33" s="47"/>
      <c r="DZ33" s="47"/>
      <c r="EA33" s="47"/>
      <c r="EB33" s="47"/>
      <c r="EC33" s="47"/>
      <c r="ED33" s="47"/>
      <c r="EE33" s="47"/>
      <c r="EF33" s="47"/>
      <c r="EG33" s="47"/>
      <c r="EH33" s="47"/>
      <c r="EI33" s="47"/>
      <c r="EJ33" s="47"/>
      <c r="EK33" s="47"/>
      <c r="EL33" s="47"/>
      <c r="EM33" s="47"/>
      <c r="EN33" s="47"/>
      <c r="EO33" s="47"/>
      <c r="EP33" s="47"/>
      <c r="EQ33" s="47"/>
      <c r="ER33" s="47"/>
      <c r="ES33" s="47"/>
      <c r="ET33" s="47"/>
      <c r="EU33" s="47"/>
      <c r="EV33" s="47"/>
      <c r="EW33" s="47"/>
      <c r="EX33" s="47"/>
      <c r="EY33" s="47"/>
      <c r="EZ33" s="47"/>
      <c r="FA33" s="47"/>
      <c r="FB33" s="47"/>
      <c r="FC33" s="47"/>
      <c r="FD33" s="47"/>
      <c r="FE33" s="47"/>
      <c r="FF33" s="47"/>
      <c r="FG33" s="47"/>
      <c r="FH33" s="47"/>
      <c r="FI33" s="47"/>
      <c r="FJ33" s="47"/>
      <c r="FK33" s="47"/>
      <c r="FL33" s="47"/>
      <c r="FM33" s="47"/>
      <c r="FN33" s="47"/>
      <c r="FO33" s="47"/>
      <c r="FP33" s="47"/>
      <c r="FQ33" s="47"/>
      <c r="FR33" s="47"/>
      <c r="FS33" s="47"/>
      <c r="FT33" s="47"/>
      <c r="FU33" s="47"/>
      <c r="FV33" s="47"/>
      <c r="FW33" s="47"/>
      <c r="FX33" s="47"/>
      <c r="FY33" s="47"/>
      <c r="FZ33" s="47"/>
      <c r="GA33" s="47"/>
      <c r="GB33" s="47"/>
      <c r="GC33" s="47"/>
      <c r="GD33" s="47"/>
      <c r="GE33" s="47"/>
      <c r="GF33" s="47"/>
      <c r="GG33" s="47"/>
      <c r="GH33" s="47"/>
      <c r="GI33" s="47"/>
      <c r="GJ33" s="47"/>
      <c r="GK33" s="47"/>
      <c r="GL33" s="47"/>
      <c r="GM33" s="47"/>
      <c r="GN33" s="47"/>
      <c r="GO33" s="47"/>
      <c r="GP33" s="47"/>
      <c r="GQ33" s="47"/>
      <c r="GR33" s="47"/>
      <c r="GS33" s="47"/>
      <c r="GT33" s="47"/>
      <c r="GU33" s="47"/>
      <c r="GV33" s="47"/>
      <c r="GW33" s="47"/>
      <c r="GX33" s="47"/>
      <c r="GY33" s="47"/>
      <c r="GZ33" s="47"/>
      <c r="HA33" s="47"/>
      <c r="HB33" s="47"/>
      <c r="HC33" s="47"/>
      <c r="HD33" s="47"/>
      <c r="HE33" s="47"/>
      <c r="HF33" s="47"/>
      <c r="HG33" s="47"/>
      <c r="HH33" s="47"/>
      <c r="HI33" s="47"/>
      <c r="HJ33" s="47"/>
      <c r="HK33" s="47"/>
      <c r="HL33" s="47"/>
      <c r="HM33" s="47"/>
      <c r="HN33" s="47"/>
      <c r="HO33" s="47"/>
      <c r="HP33" s="47"/>
      <c r="HQ33" s="47"/>
      <c r="HR33" s="47"/>
      <c r="HS33" s="47"/>
      <c r="HT33" s="47"/>
      <c r="HU33" s="47"/>
      <c r="HV33" s="47"/>
      <c r="HW33" s="47"/>
      <c r="HX33" s="47"/>
      <c r="HY33" s="47"/>
      <c r="HZ33" s="47"/>
      <c r="IA33" s="47"/>
      <c r="IB33" s="47"/>
      <c r="IC33" s="47"/>
      <c r="ID33" s="47"/>
      <c r="IE33" s="47"/>
      <c r="IF33" s="47"/>
      <c r="IG33" s="47"/>
      <c r="IH33" s="47"/>
      <c r="II33" s="47"/>
      <c r="IJ33" s="47"/>
      <c r="IK33" s="47"/>
      <c r="IL33" s="47"/>
      <c r="IM33" s="47"/>
      <c r="IN33" s="47"/>
      <c r="IO33" s="47"/>
      <c r="IP33" s="47"/>
      <c r="IQ33" s="47"/>
      <c r="IR33" s="47"/>
      <c r="IS33" s="47"/>
      <c r="IT33" s="47"/>
      <c r="IU33" s="47"/>
      <c r="IV33" s="47"/>
      <c r="IW33" s="47"/>
      <c r="IX33" s="47"/>
      <c r="IY33" s="47"/>
      <c r="IZ33" s="47"/>
      <c r="JA33" s="47"/>
      <c r="JB33" s="47"/>
      <c r="JC33" s="47"/>
      <c r="JD33" s="47"/>
      <c r="JE33" s="47"/>
      <c r="JF33" s="47"/>
      <c r="JG33" s="47"/>
      <c r="JH33" s="47"/>
      <c r="JI33" s="47"/>
      <c r="JJ33" s="47"/>
      <c r="JK33" s="47"/>
      <c r="JL33" s="47"/>
      <c r="JM33" s="47"/>
      <c r="JN33" s="47"/>
      <c r="JO33" s="47"/>
      <c r="JP33" s="47"/>
      <c r="JQ33" s="47"/>
      <c r="JR33" s="47"/>
      <c r="JS33" s="47"/>
      <c r="JT33" s="47"/>
      <c r="JU33" s="47"/>
      <c r="JV33" s="47"/>
      <c r="JW33" s="47"/>
      <c r="JX33" s="47"/>
      <c r="JY33" s="47"/>
      <c r="JZ33" s="47"/>
      <c r="KA33" s="47"/>
      <c r="KB33" s="47"/>
      <c r="KC33" s="47"/>
      <c r="KD33" s="47"/>
      <c r="KE33" s="47"/>
      <c r="KF33" s="47"/>
      <c r="KG33" s="47"/>
      <c r="KH33" s="47"/>
      <c r="KI33" s="47"/>
      <c r="KJ33" s="47"/>
      <c r="KK33" s="47"/>
      <c r="KL33" s="47"/>
      <c r="KM33" s="47"/>
      <c r="KN33" s="47"/>
      <c r="KO33" s="47"/>
      <c r="KP33" s="47"/>
      <c r="KQ33" s="47"/>
      <c r="KR33" s="47"/>
      <c r="KS33" s="47"/>
      <c r="KT33" s="47"/>
      <c r="KU33" s="47"/>
      <c r="KV33" s="47"/>
      <c r="KW33" s="47"/>
      <c r="KX33" s="47"/>
      <c r="KY33" s="47"/>
      <c r="KZ33" s="47"/>
      <c r="LA33" s="47"/>
      <c r="LB33" s="47"/>
      <c r="LC33" s="47"/>
      <c r="LD33" s="47"/>
      <c r="LE33" s="47"/>
      <c r="LF33" s="47"/>
      <c r="LG33" s="47"/>
      <c r="LH33" s="47"/>
      <c r="LI33" s="47"/>
      <c r="LJ33" s="47"/>
      <c r="LK33" s="47"/>
      <c r="LL33" s="47"/>
      <c r="LM33" s="47"/>
      <c r="LN33" s="47"/>
      <c r="LO33" s="47"/>
      <c r="LP33" s="47"/>
      <c r="LQ33" s="47"/>
      <c r="LR33" s="47"/>
      <c r="LS33" s="47"/>
      <c r="LT33" s="47"/>
      <c r="LU33" s="47"/>
      <c r="LV33" s="47"/>
      <c r="LW33" s="47"/>
      <c r="LX33" s="47"/>
      <c r="LY33" s="47"/>
      <c r="LZ33" s="47"/>
      <c r="MA33" s="47"/>
      <c r="MB33" s="47"/>
      <c r="MC33" s="47"/>
      <c r="MD33" s="47"/>
      <c r="ME33" s="47"/>
      <c r="MF33" s="47"/>
      <c r="MG33" s="47"/>
      <c r="MH33" s="47"/>
      <c r="MI33" s="47"/>
      <c r="MJ33" s="47"/>
      <c r="MK33" s="47"/>
      <c r="ML33" s="47"/>
      <c r="MM33" s="47"/>
      <c r="MN33" s="47"/>
      <c r="MO33" s="47"/>
      <c r="MP33" s="47"/>
      <c r="MQ33" s="47"/>
      <c r="MR33" s="47"/>
      <c r="MS33" s="47"/>
      <c r="MT33" s="47"/>
      <c r="MU33" s="47"/>
      <c r="MV33" s="47"/>
      <c r="MW33" s="47"/>
      <c r="MX33" s="47"/>
      <c r="MY33" s="47"/>
      <c r="MZ33" s="47"/>
      <c r="NA33" s="47"/>
      <c r="NB33" s="47"/>
      <c r="NC33" s="47"/>
      <c r="ND33" s="47"/>
      <c r="NE33" s="47"/>
      <c r="NF33" s="47"/>
      <c r="NG33" s="47"/>
      <c r="NH33" s="47"/>
      <c r="NI33" s="47"/>
      <c r="NJ33" s="47"/>
      <c r="NK33" s="47"/>
      <c r="NL33" s="47"/>
      <c r="NM33" s="47"/>
      <c r="NN33" s="47"/>
      <c r="NO33" s="47"/>
      <c r="NP33" s="47"/>
      <c r="NQ33" s="47"/>
      <c r="NR33" s="47"/>
      <c r="NS33" s="47"/>
      <c r="NT33" s="47"/>
      <c r="NU33" s="47"/>
      <c r="NV33" s="47"/>
      <c r="NW33" s="47"/>
      <c r="NX33" s="47"/>
      <c r="NY33" s="47"/>
      <c r="NZ33" s="47"/>
      <c r="OA33" s="47"/>
      <c r="OB33" s="47"/>
      <c r="OC33" s="47"/>
      <c r="OD33" s="47"/>
      <c r="OE33" s="48"/>
    </row>
    <row r="34" spans="1:395">
      <c r="A34" s="33" t="str">
        <f t="shared" si="16"/>
        <v/>
      </c>
      <c r="C34" s="2" t="str">
        <f>IF(ISBLANK($B34),"",_xlfn.XLOOKUP($B34,Task_No,Project!$C$3:$C$144,"INVALID TASK"))</f>
        <v/>
      </c>
      <c r="D34" s="27"/>
      <c r="E34" s="7" t="str">
        <f t="shared" si="18"/>
        <v/>
      </c>
      <c r="F34" s="7" t="str">
        <f t="shared" si="17"/>
        <v/>
      </c>
      <c r="G34" s="34"/>
      <c r="H34" s="34" t="str" cm="1">
        <f t="array" ref="H34">IF($C34="","",SUMPRODUCT((TEXT($AE$5:$OE$5, "mmm")=LOWER(G$3))*$AE34:$OE34))</f>
        <v/>
      </c>
      <c r="I34" s="34"/>
      <c r="J34" s="34" t="str" cm="1">
        <f t="array" ref="J34">IF($C34="","",SUMPRODUCT((TEXT($AE$5:$OE$5, "mmm")=LOWER(I$3))*$AE34:$OE34))</f>
        <v/>
      </c>
      <c r="K34" s="34"/>
      <c r="L34" s="34" t="str" cm="1">
        <f t="array" ref="L34">IF($C34="","",SUMPRODUCT((TEXT($AE$5:$OE$5, "mmm")=LOWER(K$3))*$AE34:$OE34))</f>
        <v/>
      </c>
      <c r="M34" s="34"/>
      <c r="N34" s="34" t="str" cm="1">
        <f t="array" ref="N34">IF($C34="","",SUMPRODUCT((TEXT($AE$5:$OE$5, "mmm")=LOWER(M$3))*$AE34:$OE34))</f>
        <v/>
      </c>
      <c r="O34" s="34"/>
      <c r="P34" s="34" t="str" cm="1">
        <f t="array" ref="P34">IF($C34="","",SUMPRODUCT((TEXT($AE$5:$OE$5, "mmm")=LOWER(O$3))*$AE34:$OE34))</f>
        <v/>
      </c>
      <c r="Q34" s="34"/>
      <c r="R34" s="34" t="str" cm="1">
        <f t="array" ref="R34">IF($C34="","",SUMPRODUCT((TEXT($AE$5:$OE$5, "mmm")=LOWER(Q$3))*$AE34:$OE34))</f>
        <v/>
      </c>
      <c r="S34" s="34"/>
      <c r="T34" s="34" t="str" cm="1">
        <f t="array" ref="T34">IF($C34="","",SUMPRODUCT((TEXT($AE$5:$OE$5, "mmm")=LOWER(S$3))*$AE34:$OE34))</f>
        <v/>
      </c>
      <c r="U34" s="34"/>
      <c r="V34" s="34" t="str" cm="1">
        <f t="array" ref="V34">IF($C34="","",SUMPRODUCT((TEXT($AE$5:$OE$5, "mmm")=LOWER(U$3))*$AE34:$OE34))</f>
        <v/>
      </c>
      <c r="W34" s="34"/>
      <c r="X34" s="34" t="str" cm="1">
        <f t="array" ref="X34">IF($C34="","",SUMPRODUCT((TEXT($AE$5:$OE$5, "mmm")=LOWER(W$3))*$AE34:$OE34))</f>
        <v/>
      </c>
      <c r="Y34" s="34"/>
      <c r="Z34" s="34" t="str" cm="1">
        <f t="array" ref="Z34">IF($C34="","",SUMPRODUCT((TEXT($AE$5:$OE$5, "mmm")=LOWER(Y$3))*$AE34:$OE34))</f>
        <v/>
      </c>
      <c r="AA34" s="34"/>
      <c r="AB34" s="34" t="str" cm="1">
        <f t="array" ref="AB34">IF($C34="","",SUMPRODUCT((TEXT($AE$5:$OE$5, "mmm")=LOWER(AA$3))*$AE34:$OE34))</f>
        <v/>
      </c>
      <c r="AC34" s="34"/>
      <c r="AD34" s="34" t="str" cm="1">
        <f t="array" ref="AD34">IF($C34="","",SUMPRODUCT((TEXT($AE$5:$OE$5, "mmm")=LOWER(AC$3))*$AE34:$OE34))</f>
        <v/>
      </c>
      <c r="AE34" s="47"/>
      <c r="AF34" s="47"/>
      <c r="AG34" s="47"/>
      <c r="AH34" s="47"/>
      <c r="AI34" s="47"/>
      <c r="AJ34" s="47"/>
      <c r="AK34" s="47"/>
      <c r="AL34" s="47"/>
      <c r="AM34" s="47"/>
      <c r="AN34" s="47"/>
      <c r="AO34" s="47"/>
      <c r="AP34" s="47"/>
      <c r="AQ34" s="47"/>
      <c r="AR34" s="47"/>
      <c r="AS34" s="47"/>
      <c r="AT34" s="47"/>
      <c r="AU34" s="47"/>
      <c r="AV34" s="47"/>
      <c r="AW34" s="47"/>
      <c r="AX34" s="47"/>
      <c r="AY34" s="47"/>
      <c r="AZ34" s="47"/>
      <c r="BA34" s="47"/>
      <c r="BB34" s="47"/>
      <c r="BC34" s="47"/>
      <c r="BD34" s="47"/>
      <c r="BE34" s="47"/>
      <c r="BF34" s="47"/>
      <c r="BG34" s="47"/>
      <c r="BH34" s="47"/>
      <c r="BI34" s="47"/>
      <c r="BJ34" s="47"/>
      <c r="BK34" s="47"/>
      <c r="BL34" s="47"/>
      <c r="BM34" s="47"/>
      <c r="BN34" s="47"/>
      <c r="BO34" s="47"/>
      <c r="BP34" s="47"/>
      <c r="BQ34" s="47"/>
      <c r="BR34" s="47"/>
      <c r="BS34" s="47"/>
      <c r="BT34" s="47"/>
      <c r="BU34" s="47"/>
      <c r="BV34" s="47"/>
      <c r="BW34" s="47"/>
      <c r="BX34" s="47"/>
      <c r="BY34" s="47"/>
      <c r="BZ34" s="47"/>
      <c r="CA34" s="47"/>
      <c r="CB34" s="47"/>
      <c r="CC34" s="47"/>
      <c r="CD34" s="47"/>
      <c r="CE34" s="47"/>
      <c r="CF34" s="47"/>
      <c r="CG34" s="47"/>
      <c r="CH34" s="47"/>
      <c r="CI34" s="47"/>
      <c r="CJ34" s="47"/>
      <c r="CK34" s="47"/>
      <c r="CL34" s="47"/>
      <c r="CM34" s="47"/>
      <c r="CN34" s="47"/>
      <c r="CO34" s="47"/>
      <c r="CP34" s="47"/>
      <c r="CQ34" s="47"/>
      <c r="CR34" s="47"/>
      <c r="CS34" s="47"/>
      <c r="CT34" s="47"/>
      <c r="CU34" s="47"/>
      <c r="CV34" s="47"/>
      <c r="CW34" s="47"/>
      <c r="CX34" s="47"/>
      <c r="CY34" s="47"/>
      <c r="CZ34" s="47"/>
      <c r="DA34" s="47"/>
      <c r="DB34" s="47"/>
      <c r="DC34" s="47"/>
      <c r="DD34" s="47"/>
      <c r="DE34" s="47"/>
      <c r="DF34" s="47"/>
      <c r="DG34" s="47"/>
      <c r="DH34" s="47"/>
      <c r="DI34" s="47"/>
      <c r="DJ34" s="47"/>
      <c r="DK34" s="47"/>
      <c r="DL34" s="47"/>
      <c r="DM34" s="47"/>
      <c r="DN34" s="47"/>
      <c r="DO34" s="47"/>
      <c r="DP34" s="47"/>
      <c r="DQ34" s="47"/>
      <c r="DR34" s="47"/>
      <c r="DS34" s="47"/>
      <c r="DT34" s="47"/>
      <c r="DU34" s="47"/>
      <c r="DV34" s="47"/>
      <c r="DW34" s="47"/>
      <c r="DX34" s="47"/>
      <c r="DY34" s="47"/>
      <c r="DZ34" s="47"/>
      <c r="EA34" s="47"/>
      <c r="EB34" s="47"/>
      <c r="EC34" s="47"/>
      <c r="ED34" s="47"/>
      <c r="EE34" s="47"/>
      <c r="EF34" s="47"/>
      <c r="EG34" s="47"/>
      <c r="EH34" s="47"/>
      <c r="EI34" s="47"/>
      <c r="EJ34" s="47"/>
      <c r="EK34" s="47"/>
      <c r="EL34" s="47"/>
      <c r="EM34" s="47"/>
      <c r="EN34" s="47"/>
      <c r="EO34" s="47"/>
      <c r="EP34" s="47"/>
      <c r="EQ34" s="47"/>
      <c r="ER34" s="47"/>
      <c r="ES34" s="47"/>
      <c r="ET34" s="47"/>
      <c r="EU34" s="47"/>
      <c r="EV34" s="47"/>
      <c r="EW34" s="47"/>
      <c r="EX34" s="47"/>
      <c r="EY34" s="47"/>
      <c r="EZ34" s="47"/>
      <c r="FA34" s="47"/>
      <c r="FB34" s="47"/>
      <c r="FC34" s="47"/>
      <c r="FD34" s="47"/>
      <c r="FE34" s="47"/>
      <c r="FF34" s="47"/>
      <c r="FG34" s="47"/>
      <c r="FH34" s="47"/>
      <c r="FI34" s="47"/>
      <c r="FJ34" s="47"/>
      <c r="FK34" s="47"/>
      <c r="FL34" s="47"/>
      <c r="FM34" s="47"/>
      <c r="FN34" s="47"/>
      <c r="FO34" s="47"/>
      <c r="FP34" s="47"/>
      <c r="FQ34" s="47"/>
      <c r="FR34" s="47"/>
      <c r="FS34" s="47"/>
      <c r="FT34" s="47"/>
      <c r="FU34" s="47"/>
      <c r="FV34" s="47"/>
      <c r="FW34" s="47"/>
      <c r="FX34" s="47"/>
      <c r="FY34" s="47"/>
      <c r="FZ34" s="47"/>
      <c r="GA34" s="47"/>
      <c r="GB34" s="47"/>
      <c r="GC34" s="47"/>
      <c r="GD34" s="47"/>
      <c r="GE34" s="47"/>
      <c r="GF34" s="47"/>
      <c r="GG34" s="47"/>
      <c r="GH34" s="47"/>
      <c r="GI34" s="47"/>
      <c r="GJ34" s="47"/>
      <c r="GK34" s="47"/>
      <c r="GL34" s="47"/>
      <c r="GM34" s="47"/>
      <c r="GN34" s="47"/>
      <c r="GO34" s="47"/>
      <c r="GP34" s="47"/>
      <c r="GQ34" s="47"/>
      <c r="GR34" s="47"/>
      <c r="GS34" s="47"/>
      <c r="GT34" s="47"/>
      <c r="GU34" s="47"/>
      <c r="GV34" s="47"/>
      <c r="GW34" s="47"/>
      <c r="GX34" s="47"/>
      <c r="GY34" s="47"/>
      <c r="GZ34" s="47"/>
      <c r="HA34" s="47"/>
      <c r="HB34" s="47"/>
      <c r="HC34" s="47"/>
      <c r="HD34" s="47"/>
      <c r="HE34" s="47"/>
      <c r="HF34" s="47"/>
      <c r="HG34" s="47"/>
      <c r="HH34" s="47"/>
      <c r="HI34" s="47"/>
      <c r="HJ34" s="47"/>
      <c r="HK34" s="47"/>
      <c r="HL34" s="47"/>
      <c r="HM34" s="47"/>
      <c r="HN34" s="47"/>
      <c r="HO34" s="47"/>
      <c r="HP34" s="47"/>
      <c r="HQ34" s="47"/>
      <c r="HR34" s="47"/>
      <c r="HS34" s="47"/>
      <c r="HT34" s="47"/>
      <c r="HU34" s="47"/>
      <c r="HV34" s="47"/>
      <c r="HW34" s="47"/>
      <c r="HX34" s="47"/>
      <c r="HY34" s="47"/>
      <c r="HZ34" s="47"/>
      <c r="IA34" s="47"/>
      <c r="IB34" s="47"/>
      <c r="IC34" s="47"/>
      <c r="ID34" s="47"/>
      <c r="IE34" s="47"/>
      <c r="IF34" s="47"/>
      <c r="IG34" s="47"/>
      <c r="IH34" s="47"/>
      <c r="II34" s="47"/>
      <c r="IJ34" s="47"/>
      <c r="IK34" s="47"/>
      <c r="IL34" s="47"/>
      <c r="IM34" s="47"/>
      <c r="IN34" s="47"/>
      <c r="IO34" s="47"/>
      <c r="IP34" s="47"/>
      <c r="IQ34" s="47"/>
      <c r="IR34" s="47"/>
      <c r="IS34" s="47"/>
      <c r="IT34" s="47"/>
      <c r="IU34" s="47"/>
      <c r="IV34" s="47"/>
      <c r="IW34" s="47"/>
      <c r="IX34" s="47"/>
      <c r="IY34" s="47"/>
      <c r="IZ34" s="47"/>
      <c r="JA34" s="47"/>
      <c r="JB34" s="47"/>
      <c r="JC34" s="47"/>
      <c r="JD34" s="47"/>
      <c r="JE34" s="47"/>
      <c r="JF34" s="47"/>
      <c r="JG34" s="47"/>
      <c r="JH34" s="47"/>
      <c r="JI34" s="47"/>
      <c r="JJ34" s="47"/>
      <c r="JK34" s="47"/>
      <c r="JL34" s="47"/>
      <c r="JM34" s="47"/>
      <c r="JN34" s="47"/>
      <c r="JO34" s="47"/>
      <c r="JP34" s="47"/>
      <c r="JQ34" s="47"/>
      <c r="JR34" s="47"/>
      <c r="JS34" s="47"/>
      <c r="JT34" s="47"/>
      <c r="JU34" s="47"/>
      <c r="JV34" s="47"/>
      <c r="JW34" s="47"/>
      <c r="JX34" s="47"/>
      <c r="JY34" s="47"/>
      <c r="JZ34" s="47"/>
      <c r="KA34" s="47"/>
      <c r="KB34" s="47"/>
      <c r="KC34" s="47"/>
      <c r="KD34" s="47"/>
      <c r="KE34" s="47"/>
      <c r="KF34" s="47"/>
      <c r="KG34" s="47"/>
      <c r="KH34" s="47"/>
      <c r="KI34" s="47"/>
      <c r="KJ34" s="47"/>
      <c r="KK34" s="47"/>
      <c r="KL34" s="47"/>
      <c r="KM34" s="47"/>
      <c r="KN34" s="47"/>
      <c r="KO34" s="47"/>
      <c r="KP34" s="47"/>
      <c r="KQ34" s="47"/>
      <c r="KR34" s="47"/>
      <c r="KS34" s="47"/>
      <c r="KT34" s="47"/>
      <c r="KU34" s="47"/>
      <c r="KV34" s="47"/>
      <c r="KW34" s="47"/>
      <c r="KX34" s="47"/>
      <c r="KY34" s="47"/>
      <c r="KZ34" s="47"/>
      <c r="LA34" s="47"/>
      <c r="LB34" s="47"/>
      <c r="LC34" s="47"/>
      <c r="LD34" s="47"/>
      <c r="LE34" s="47"/>
      <c r="LF34" s="47"/>
      <c r="LG34" s="47"/>
      <c r="LH34" s="47"/>
      <c r="LI34" s="47"/>
      <c r="LJ34" s="47"/>
      <c r="LK34" s="47"/>
      <c r="LL34" s="47"/>
      <c r="LM34" s="47"/>
      <c r="LN34" s="47"/>
      <c r="LO34" s="47"/>
      <c r="LP34" s="47"/>
      <c r="LQ34" s="47"/>
      <c r="LR34" s="47"/>
      <c r="LS34" s="47"/>
      <c r="LT34" s="47"/>
      <c r="LU34" s="47"/>
      <c r="LV34" s="47"/>
      <c r="LW34" s="47"/>
      <c r="LX34" s="47"/>
      <c r="LY34" s="47"/>
      <c r="LZ34" s="47"/>
      <c r="MA34" s="47"/>
      <c r="MB34" s="47"/>
      <c r="MC34" s="47"/>
      <c r="MD34" s="47"/>
      <c r="ME34" s="47"/>
      <c r="MF34" s="47"/>
      <c r="MG34" s="47"/>
      <c r="MH34" s="47"/>
      <c r="MI34" s="47"/>
      <c r="MJ34" s="47"/>
      <c r="MK34" s="47"/>
      <c r="ML34" s="47"/>
      <c r="MM34" s="47"/>
      <c r="MN34" s="47"/>
      <c r="MO34" s="47"/>
      <c r="MP34" s="47"/>
      <c r="MQ34" s="47"/>
      <c r="MR34" s="47"/>
      <c r="MS34" s="47"/>
      <c r="MT34" s="47"/>
      <c r="MU34" s="47"/>
      <c r="MV34" s="47"/>
      <c r="MW34" s="47"/>
      <c r="MX34" s="47"/>
      <c r="MY34" s="47"/>
      <c r="MZ34" s="47"/>
      <c r="NA34" s="47"/>
      <c r="NB34" s="47"/>
      <c r="NC34" s="47"/>
      <c r="ND34" s="47"/>
      <c r="NE34" s="47"/>
      <c r="NF34" s="47"/>
      <c r="NG34" s="47"/>
      <c r="NH34" s="47"/>
      <c r="NI34" s="47"/>
      <c r="NJ34" s="47"/>
      <c r="NK34" s="47"/>
      <c r="NL34" s="47"/>
      <c r="NM34" s="47"/>
      <c r="NN34" s="47"/>
      <c r="NO34" s="47"/>
      <c r="NP34" s="47"/>
      <c r="NQ34" s="47"/>
      <c r="NR34" s="47"/>
      <c r="NS34" s="47"/>
      <c r="NT34" s="47"/>
      <c r="NU34" s="47"/>
      <c r="NV34" s="47"/>
      <c r="NW34" s="47"/>
      <c r="NX34" s="47"/>
      <c r="NY34" s="47"/>
      <c r="NZ34" s="47"/>
      <c r="OA34" s="47"/>
      <c r="OB34" s="47"/>
      <c r="OC34" s="47"/>
      <c r="OD34" s="47"/>
      <c r="OE34" s="48"/>
    </row>
    <row r="35" spans="1:395">
      <c r="A35" s="33" t="str">
        <f t="shared" si="16"/>
        <v/>
      </c>
      <c r="C35" s="2" t="str">
        <f>IF(ISBLANK($B35),"",_xlfn.XLOOKUP($B35,Task_No,Project!$C$3:$C$144,"INVALID TASK"))</f>
        <v/>
      </c>
      <c r="D35" s="27"/>
      <c r="E35" s="7" t="str">
        <f t="shared" si="18"/>
        <v/>
      </c>
      <c r="F35" s="7" t="str">
        <f t="shared" si="17"/>
        <v/>
      </c>
      <c r="G35" s="34"/>
      <c r="H35" s="34" t="str" cm="1">
        <f t="array" ref="H35">IF($C35="","",SUMPRODUCT((TEXT($AE$5:$OE$5, "mmm")=LOWER(G$3))*$AE35:$OE35))</f>
        <v/>
      </c>
      <c r="I35" s="34"/>
      <c r="J35" s="34" t="str" cm="1">
        <f t="array" ref="J35">IF($C35="","",SUMPRODUCT((TEXT($AE$5:$OE$5, "mmm")=LOWER(I$3))*$AE35:$OE35))</f>
        <v/>
      </c>
      <c r="K35" s="34"/>
      <c r="L35" s="34" t="str" cm="1">
        <f t="array" ref="L35">IF($C35="","",SUMPRODUCT((TEXT($AE$5:$OE$5, "mmm")=LOWER(K$3))*$AE35:$OE35))</f>
        <v/>
      </c>
      <c r="M35" s="34"/>
      <c r="N35" s="34" t="str" cm="1">
        <f t="array" ref="N35">IF($C35="","",SUMPRODUCT((TEXT($AE$5:$OE$5, "mmm")=LOWER(M$3))*$AE35:$OE35))</f>
        <v/>
      </c>
      <c r="O35" s="34"/>
      <c r="P35" s="34" t="str" cm="1">
        <f t="array" ref="P35">IF($C35="","",SUMPRODUCT((TEXT($AE$5:$OE$5, "mmm")=LOWER(O$3))*$AE35:$OE35))</f>
        <v/>
      </c>
      <c r="Q35" s="34"/>
      <c r="R35" s="34" t="str" cm="1">
        <f t="array" ref="R35">IF($C35="","",SUMPRODUCT((TEXT($AE$5:$OE$5, "mmm")=LOWER(Q$3))*$AE35:$OE35))</f>
        <v/>
      </c>
      <c r="S35" s="34"/>
      <c r="T35" s="34" t="str" cm="1">
        <f t="array" ref="T35">IF($C35="","",SUMPRODUCT((TEXT($AE$5:$OE$5, "mmm")=LOWER(S$3))*$AE35:$OE35))</f>
        <v/>
      </c>
      <c r="U35" s="34"/>
      <c r="V35" s="34" t="str" cm="1">
        <f t="array" ref="V35">IF($C35="","",SUMPRODUCT((TEXT($AE$5:$OE$5, "mmm")=LOWER(U$3))*$AE35:$OE35))</f>
        <v/>
      </c>
      <c r="W35" s="34"/>
      <c r="X35" s="34" t="str" cm="1">
        <f t="array" ref="X35">IF($C35="","",SUMPRODUCT((TEXT($AE$5:$OE$5, "mmm")=LOWER(W$3))*$AE35:$OE35))</f>
        <v/>
      </c>
      <c r="Y35" s="34"/>
      <c r="Z35" s="34" t="str" cm="1">
        <f t="array" ref="Z35">IF($C35="","",SUMPRODUCT((TEXT($AE$5:$OE$5, "mmm")=LOWER(Y$3))*$AE35:$OE35))</f>
        <v/>
      </c>
      <c r="AA35" s="34"/>
      <c r="AB35" s="34" t="str" cm="1">
        <f t="array" ref="AB35">IF($C35="","",SUMPRODUCT((TEXT($AE$5:$OE$5, "mmm")=LOWER(AA$3))*$AE35:$OE35))</f>
        <v/>
      </c>
      <c r="AC35" s="34"/>
      <c r="AD35" s="34" t="str" cm="1">
        <f t="array" ref="AD35">IF($C35="","",SUMPRODUCT((TEXT($AE$5:$OE$5, "mmm")=LOWER(AC$3))*$AE35:$OE35))</f>
        <v/>
      </c>
      <c r="AE35" s="47"/>
      <c r="AF35" s="47"/>
      <c r="AG35" s="47"/>
      <c r="AH35" s="47"/>
      <c r="AI35" s="47"/>
      <c r="AJ35" s="47"/>
      <c r="AK35" s="47"/>
      <c r="AL35" s="47"/>
      <c r="AM35" s="47"/>
      <c r="AN35" s="47"/>
      <c r="AO35" s="47"/>
      <c r="AP35" s="47"/>
      <c r="AQ35" s="47"/>
      <c r="AR35" s="47"/>
      <c r="AS35" s="47"/>
      <c r="AT35" s="47"/>
      <c r="AU35" s="47"/>
      <c r="AV35" s="47"/>
      <c r="AW35" s="47"/>
      <c r="AX35" s="47"/>
      <c r="AY35" s="47"/>
      <c r="AZ35" s="47"/>
      <c r="BA35" s="47"/>
      <c r="BB35" s="47"/>
      <c r="BC35" s="47"/>
      <c r="BD35" s="47"/>
      <c r="BE35" s="47"/>
      <c r="BF35" s="47"/>
      <c r="BG35" s="47"/>
      <c r="BH35" s="47"/>
      <c r="BI35" s="47"/>
      <c r="BJ35" s="47"/>
      <c r="BK35" s="47"/>
      <c r="BL35" s="47"/>
      <c r="BM35" s="47"/>
      <c r="BN35" s="47"/>
      <c r="BO35" s="47"/>
      <c r="BP35" s="47"/>
      <c r="BQ35" s="47"/>
      <c r="BR35" s="47"/>
      <c r="BS35" s="47"/>
      <c r="BT35" s="47"/>
      <c r="BU35" s="47"/>
      <c r="BV35" s="47"/>
      <c r="BW35" s="47"/>
      <c r="BX35" s="47"/>
      <c r="BY35" s="47"/>
      <c r="BZ35" s="47"/>
      <c r="CA35" s="47"/>
      <c r="CB35" s="47"/>
      <c r="CC35" s="47"/>
      <c r="CD35" s="47"/>
      <c r="CE35" s="47"/>
      <c r="CF35" s="47"/>
      <c r="CG35" s="47"/>
      <c r="CH35" s="47"/>
      <c r="CI35" s="47"/>
      <c r="CJ35" s="47"/>
      <c r="CK35" s="47"/>
      <c r="CL35" s="47"/>
      <c r="CM35" s="47"/>
      <c r="CN35" s="47"/>
      <c r="CO35" s="47"/>
      <c r="CP35" s="47"/>
      <c r="CQ35" s="47"/>
      <c r="CR35" s="47"/>
      <c r="CS35" s="47"/>
      <c r="CT35" s="47"/>
      <c r="CU35" s="47"/>
      <c r="CV35" s="47"/>
      <c r="CW35" s="47"/>
      <c r="CX35" s="47"/>
      <c r="CY35" s="47"/>
      <c r="CZ35" s="47"/>
      <c r="DA35" s="47"/>
      <c r="DB35" s="47"/>
      <c r="DC35" s="47"/>
      <c r="DD35" s="47"/>
      <c r="DE35" s="47"/>
      <c r="DF35" s="47"/>
      <c r="DG35" s="47"/>
      <c r="DH35" s="47"/>
      <c r="DI35" s="47"/>
      <c r="DJ35" s="47"/>
      <c r="DK35" s="47"/>
      <c r="DL35" s="47"/>
      <c r="DM35" s="47"/>
      <c r="DN35" s="47"/>
      <c r="DO35" s="47"/>
      <c r="DP35" s="47"/>
      <c r="DQ35" s="47"/>
      <c r="DR35" s="47"/>
      <c r="DS35" s="47"/>
      <c r="DT35" s="47"/>
      <c r="DU35" s="47"/>
      <c r="DV35" s="47"/>
      <c r="DW35" s="47"/>
      <c r="DX35" s="47"/>
      <c r="DY35" s="47"/>
      <c r="DZ35" s="47"/>
      <c r="EA35" s="47"/>
      <c r="EB35" s="47"/>
      <c r="EC35" s="47"/>
      <c r="ED35" s="47"/>
      <c r="EE35" s="47"/>
      <c r="EF35" s="47"/>
      <c r="EG35" s="47"/>
      <c r="EH35" s="47"/>
      <c r="EI35" s="47"/>
      <c r="EJ35" s="47"/>
      <c r="EK35" s="47"/>
      <c r="EL35" s="47"/>
      <c r="EM35" s="47"/>
      <c r="EN35" s="47"/>
      <c r="EO35" s="47"/>
      <c r="EP35" s="47"/>
      <c r="EQ35" s="47"/>
      <c r="ER35" s="47"/>
      <c r="ES35" s="47"/>
      <c r="ET35" s="47"/>
      <c r="EU35" s="47"/>
      <c r="EV35" s="47"/>
      <c r="EW35" s="47"/>
      <c r="EX35" s="47"/>
      <c r="EY35" s="47"/>
      <c r="EZ35" s="47"/>
      <c r="FA35" s="47"/>
      <c r="FB35" s="47"/>
      <c r="FC35" s="47"/>
      <c r="FD35" s="47"/>
      <c r="FE35" s="47"/>
      <c r="FF35" s="47"/>
      <c r="FG35" s="47"/>
      <c r="FH35" s="47"/>
      <c r="FI35" s="47"/>
      <c r="FJ35" s="47"/>
      <c r="FK35" s="47"/>
      <c r="FL35" s="47"/>
      <c r="FM35" s="47"/>
      <c r="FN35" s="47"/>
      <c r="FO35" s="47"/>
      <c r="FP35" s="47"/>
      <c r="FQ35" s="47"/>
      <c r="FR35" s="47"/>
      <c r="FS35" s="47"/>
      <c r="FT35" s="47"/>
      <c r="FU35" s="47"/>
      <c r="FV35" s="47"/>
      <c r="FW35" s="47"/>
      <c r="FX35" s="47"/>
      <c r="FY35" s="47"/>
      <c r="FZ35" s="47"/>
      <c r="GA35" s="47"/>
      <c r="GB35" s="47"/>
      <c r="GC35" s="47"/>
      <c r="GD35" s="47"/>
      <c r="GE35" s="47"/>
      <c r="GF35" s="47"/>
      <c r="GG35" s="47"/>
      <c r="GH35" s="47"/>
      <c r="GI35" s="47"/>
      <c r="GJ35" s="47"/>
      <c r="GK35" s="47"/>
      <c r="GL35" s="47"/>
      <c r="GM35" s="47"/>
      <c r="GN35" s="47"/>
      <c r="GO35" s="47"/>
      <c r="GP35" s="47"/>
      <c r="GQ35" s="47"/>
      <c r="GR35" s="47"/>
      <c r="GS35" s="47"/>
      <c r="GT35" s="47"/>
      <c r="GU35" s="47"/>
      <c r="GV35" s="47"/>
      <c r="GW35" s="47"/>
      <c r="GX35" s="47"/>
      <c r="GY35" s="47"/>
      <c r="GZ35" s="47"/>
      <c r="HA35" s="47"/>
      <c r="HB35" s="47"/>
      <c r="HC35" s="47"/>
      <c r="HD35" s="47"/>
      <c r="HE35" s="47"/>
      <c r="HF35" s="47"/>
      <c r="HG35" s="47"/>
      <c r="HH35" s="47"/>
      <c r="HI35" s="47"/>
      <c r="HJ35" s="47"/>
      <c r="HK35" s="47"/>
      <c r="HL35" s="47"/>
      <c r="HM35" s="47"/>
      <c r="HN35" s="47"/>
      <c r="HO35" s="47"/>
      <c r="HP35" s="47"/>
      <c r="HQ35" s="47"/>
      <c r="HR35" s="47"/>
      <c r="HS35" s="47"/>
      <c r="HT35" s="47"/>
      <c r="HU35" s="47"/>
      <c r="HV35" s="47"/>
      <c r="HW35" s="47"/>
      <c r="HX35" s="47"/>
      <c r="HY35" s="47"/>
      <c r="HZ35" s="47"/>
      <c r="IA35" s="47"/>
      <c r="IB35" s="47"/>
      <c r="IC35" s="47"/>
      <c r="ID35" s="47"/>
      <c r="IE35" s="47"/>
      <c r="IF35" s="47"/>
      <c r="IG35" s="47"/>
      <c r="IH35" s="47"/>
      <c r="II35" s="47"/>
      <c r="IJ35" s="47"/>
      <c r="IK35" s="47"/>
      <c r="IL35" s="47"/>
      <c r="IM35" s="47"/>
      <c r="IN35" s="47"/>
      <c r="IO35" s="47"/>
      <c r="IP35" s="47"/>
      <c r="IQ35" s="47"/>
      <c r="IR35" s="47"/>
      <c r="IS35" s="47"/>
      <c r="IT35" s="47"/>
      <c r="IU35" s="47"/>
      <c r="IV35" s="47"/>
      <c r="IW35" s="47"/>
      <c r="IX35" s="47"/>
      <c r="IY35" s="47"/>
      <c r="IZ35" s="47"/>
      <c r="JA35" s="47"/>
      <c r="JB35" s="47"/>
      <c r="JC35" s="47"/>
      <c r="JD35" s="47"/>
      <c r="JE35" s="47"/>
      <c r="JF35" s="47"/>
      <c r="JG35" s="47"/>
      <c r="JH35" s="47"/>
      <c r="JI35" s="47"/>
      <c r="JJ35" s="47"/>
      <c r="JK35" s="47"/>
      <c r="JL35" s="47"/>
      <c r="JM35" s="47"/>
      <c r="JN35" s="47"/>
      <c r="JO35" s="47"/>
      <c r="JP35" s="47"/>
      <c r="JQ35" s="47"/>
      <c r="JR35" s="47"/>
      <c r="JS35" s="47"/>
      <c r="JT35" s="47"/>
      <c r="JU35" s="47"/>
      <c r="JV35" s="47"/>
      <c r="JW35" s="47"/>
      <c r="JX35" s="47"/>
      <c r="JY35" s="47"/>
      <c r="JZ35" s="47"/>
      <c r="KA35" s="47"/>
      <c r="KB35" s="47"/>
      <c r="KC35" s="47"/>
      <c r="KD35" s="47"/>
      <c r="KE35" s="47"/>
      <c r="KF35" s="47"/>
      <c r="KG35" s="47"/>
      <c r="KH35" s="47"/>
      <c r="KI35" s="47"/>
      <c r="KJ35" s="47"/>
      <c r="KK35" s="47"/>
      <c r="KL35" s="47"/>
      <c r="KM35" s="47"/>
      <c r="KN35" s="47"/>
      <c r="KO35" s="47"/>
      <c r="KP35" s="47"/>
      <c r="KQ35" s="47"/>
      <c r="KR35" s="47"/>
      <c r="KS35" s="47"/>
      <c r="KT35" s="47"/>
      <c r="KU35" s="47"/>
      <c r="KV35" s="47"/>
      <c r="KW35" s="47"/>
      <c r="KX35" s="47"/>
      <c r="KY35" s="47"/>
      <c r="KZ35" s="47"/>
      <c r="LA35" s="47"/>
      <c r="LB35" s="47"/>
      <c r="LC35" s="47"/>
      <c r="LD35" s="47"/>
      <c r="LE35" s="47"/>
      <c r="LF35" s="47"/>
      <c r="LG35" s="47"/>
      <c r="LH35" s="47"/>
      <c r="LI35" s="47"/>
      <c r="LJ35" s="47"/>
      <c r="LK35" s="47"/>
      <c r="LL35" s="47"/>
      <c r="LM35" s="47"/>
      <c r="LN35" s="47"/>
      <c r="LO35" s="47"/>
      <c r="LP35" s="47"/>
      <c r="LQ35" s="47"/>
      <c r="LR35" s="47"/>
      <c r="LS35" s="47"/>
      <c r="LT35" s="47"/>
      <c r="LU35" s="47"/>
      <c r="LV35" s="47"/>
      <c r="LW35" s="47"/>
      <c r="LX35" s="47"/>
      <c r="LY35" s="47"/>
      <c r="LZ35" s="47"/>
      <c r="MA35" s="47"/>
      <c r="MB35" s="47"/>
      <c r="MC35" s="47"/>
      <c r="MD35" s="47"/>
      <c r="ME35" s="47"/>
      <c r="MF35" s="47"/>
      <c r="MG35" s="47"/>
      <c r="MH35" s="47"/>
      <c r="MI35" s="47"/>
      <c r="MJ35" s="47"/>
      <c r="MK35" s="47"/>
      <c r="ML35" s="47"/>
      <c r="MM35" s="47"/>
      <c r="MN35" s="47"/>
      <c r="MO35" s="47"/>
      <c r="MP35" s="47"/>
      <c r="MQ35" s="47"/>
      <c r="MR35" s="47"/>
      <c r="MS35" s="47"/>
      <c r="MT35" s="47"/>
      <c r="MU35" s="47"/>
      <c r="MV35" s="47"/>
      <c r="MW35" s="47"/>
      <c r="MX35" s="47"/>
      <c r="MY35" s="47"/>
      <c r="MZ35" s="47"/>
      <c r="NA35" s="47"/>
      <c r="NB35" s="47"/>
      <c r="NC35" s="47"/>
      <c r="ND35" s="47"/>
      <c r="NE35" s="47"/>
      <c r="NF35" s="47"/>
      <c r="NG35" s="47"/>
      <c r="NH35" s="47"/>
      <c r="NI35" s="47"/>
      <c r="NJ35" s="47"/>
      <c r="NK35" s="47"/>
      <c r="NL35" s="47"/>
      <c r="NM35" s="47"/>
      <c r="NN35" s="47"/>
      <c r="NO35" s="47"/>
      <c r="NP35" s="47"/>
      <c r="NQ35" s="47"/>
      <c r="NR35" s="47"/>
      <c r="NS35" s="47"/>
      <c r="NT35" s="47"/>
      <c r="NU35" s="47"/>
      <c r="NV35" s="47"/>
      <c r="NW35" s="47"/>
      <c r="NX35" s="47"/>
      <c r="NY35" s="47"/>
      <c r="NZ35" s="47"/>
      <c r="OA35" s="47"/>
      <c r="OB35" s="47"/>
      <c r="OC35" s="47"/>
      <c r="OD35" s="47"/>
      <c r="OE35" s="48"/>
    </row>
    <row r="36" spans="1:395">
      <c r="A36" s="33" t="str">
        <f t="shared" si="16"/>
        <v/>
      </c>
      <c r="C36" s="2" t="str">
        <f>IF(ISBLANK($B36),"",_xlfn.XLOOKUP($B36,Task_No,Project!$C$3:$C$144,"INVALID TASK"))</f>
        <v/>
      </c>
      <c r="D36" s="27"/>
      <c r="E36" s="7" t="str">
        <f t="shared" si="18"/>
        <v/>
      </c>
      <c r="F36" s="7" t="str">
        <f t="shared" si="17"/>
        <v/>
      </c>
      <c r="G36" s="34"/>
      <c r="H36" s="34" t="str" cm="1">
        <f t="array" ref="H36">IF($C36="","",SUMPRODUCT((TEXT($AE$5:$OE$5, "mmm")=LOWER(G$3))*$AE36:$OE36))</f>
        <v/>
      </c>
      <c r="I36" s="34"/>
      <c r="J36" s="34" t="str" cm="1">
        <f t="array" ref="J36">IF($C36="","",SUMPRODUCT((TEXT($AE$5:$OE$5, "mmm")=LOWER(I$3))*$AE36:$OE36))</f>
        <v/>
      </c>
      <c r="K36" s="34"/>
      <c r="L36" s="34" t="str" cm="1">
        <f t="array" ref="L36">IF($C36="","",SUMPRODUCT((TEXT($AE$5:$OE$5, "mmm")=LOWER(K$3))*$AE36:$OE36))</f>
        <v/>
      </c>
      <c r="M36" s="34"/>
      <c r="N36" s="34" t="str" cm="1">
        <f t="array" ref="N36">IF($C36="","",SUMPRODUCT((TEXT($AE$5:$OE$5, "mmm")=LOWER(M$3))*$AE36:$OE36))</f>
        <v/>
      </c>
      <c r="O36" s="34"/>
      <c r="P36" s="34" t="str" cm="1">
        <f t="array" ref="P36">IF($C36="","",SUMPRODUCT((TEXT($AE$5:$OE$5, "mmm")=LOWER(O$3))*$AE36:$OE36))</f>
        <v/>
      </c>
      <c r="Q36" s="34"/>
      <c r="R36" s="34" t="str" cm="1">
        <f t="array" ref="R36">IF($C36="","",SUMPRODUCT((TEXT($AE$5:$OE$5, "mmm")=LOWER(Q$3))*$AE36:$OE36))</f>
        <v/>
      </c>
      <c r="S36" s="34"/>
      <c r="T36" s="34" t="str" cm="1">
        <f t="array" ref="T36">IF($C36="","",SUMPRODUCT((TEXT($AE$5:$OE$5, "mmm")=LOWER(S$3))*$AE36:$OE36))</f>
        <v/>
      </c>
      <c r="U36" s="34"/>
      <c r="V36" s="34" t="str" cm="1">
        <f t="array" ref="V36">IF($C36="","",SUMPRODUCT((TEXT($AE$5:$OE$5, "mmm")=LOWER(U$3))*$AE36:$OE36))</f>
        <v/>
      </c>
      <c r="W36" s="34"/>
      <c r="X36" s="34" t="str" cm="1">
        <f t="array" ref="X36">IF($C36="","",SUMPRODUCT((TEXT($AE$5:$OE$5, "mmm")=LOWER(W$3))*$AE36:$OE36))</f>
        <v/>
      </c>
      <c r="Y36" s="34"/>
      <c r="Z36" s="34" t="str" cm="1">
        <f t="array" ref="Z36">IF($C36="","",SUMPRODUCT((TEXT($AE$5:$OE$5, "mmm")=LOWER(Y$3))*$AE36:$OE36))</f>
        <v/>
      </c>
      <c r="AA36" s="34"/>
      <c r="AB36" s="34" t="str" cm="1">
        <f t="array" ref="AB36">IF($C36="","",SUMPRODUCT((TEXT($AE$5:$OE$5, "mmm")=LOWER(AA$3))*$AE36:$OE36))</f>
        <v/>
      </c>
      <c r="AC36" s="34"/>
      <c r="AD36" s="34" t="str" cm="1">
        <f t="array" ref="AD36">IF($C36="","",SUMPRODUCT((TEXT($AE$5:$OE$5, "mmm")=LOWER(AC$3))*$AE36:$OE36))</f>
        <v/>
      </c>
      <c r="AE36" s="47"/>
      <c r="AF36" s="47"/>
      <c r="AG36" s="47"/>
      <c r="AH36" s="47"/>
      <c r="AI36" s="47"/>
      <c r="AJ36" s="47"/>
      <c r="AK36" s="47"/>
      <c r="AL36" s="47"/>
      <c r="AM36" s="47"/>
      <c r="AN36" s="47"/>
      <c r="AO36" s="47"/>
      <c r="AP36" s="47"/>
      <c r="AQ36" s="47"/>
      <c r="AR36" s="47"/>
      <c r="AS36" s="47"/>
      <c r="AT36" s="47"/>
      <c r="AU36" s="47"/>
      <c r="AV36" s="47"/>
      <c r="AW36" s="47"/>
      <c r="AX36" s="47"/>
      <c r="AY36" s="47"/>
      <c r="AZ36" s="47"/>
      <c r="BA36" s="47"/>
      <c r="BB36" s="47"/>
      <c r="BC36" s="47"/>
      <c r="BD36" s="47"/>
      <c r="BE36" s="47"/>
      <c r="BF36" s="47"/>
      <c r="BG36" s="47"/>
      <c r="BH36" s="47"/>
      <c r="BI36" s="47"/>
      <c r="BJ36" s="47"/>
      <c r="BK36" s="47"/>
      <c r="BL36" s="47"/>
      <c r="BM36" s="47"/>
      <c r="BN36" s="47"/>
      <c r="BO36" s="47"/>
      <c r="BP36" s="47"/>
      <c r="BQ36" s="47"/>
      <c r="BR36" s="47"/>
      <c r="BS36" s="47"/>
      <c r="BT36" s="47"/>
      <c r="BU36" s="47"/>
      <c r="BV36" s="47"/>
      <c r="BW36" s="47"/>
      <c r="BX36" s="47"/>
      <c r="BY36" s="47"/>
      <c r="BZ36" s="47"/>
      <c r="CA36" s="47"/>
      <c r="CB36" s="47"/>
      <c r="CC36" s="47"/>
      <c r="CD36" s="47"/>
      <c r="CE36" s="47"/>
      <c r="CF36" s="47"/>
      <c r="CG36" s="47"/>
      <c r="CH36" s="47"/>
      <c r="CI36" s="47"/>
      <c r="CJ36" s="47"/>
      <c r="CK36" s="47"/>
      <c r="CL36" s="47"/>
      <c r="CM36" s="47"/>
      <c r="CN36" s="47"/>
      <c r="CO36" s="47"/>
      <c r="CP36" s="47"/>
      <c r="CQ36" s="47"/>
      <c r="CR36" s="47"/>
      <c r="CS36" s="47"/>
      <c r="CT36" s="47"/>
      <c r="CU36" s="47"/>
      <c r="CV36" s="47"/>
      <c r="CW36" s="47"/>
      <c r="CX36" s="47"/>
      <c r="CY36" s="47"/>
      <c r="CZ36" s="47"/>
      <c r="DA36" s="47"/>
      <c r="DB36" s="47"/>
      <c r="DC36" s="47"/>
      <c r="DD36" s="47"/>
      <c r="DE36" s="47"/>
      <c r="DF36" s="47"/>
      <c r="DG36" s="47"/>
      <c r="DH36" s="47"/>
      <c r="DI36" s="47"/>
      <c r="DJ36" s="47"/>
      <c r="DK36" s="47"/>
      <c r="DL36" s="47"/>
      <c r="DM36" s="47"/>
      <c r="DN36" s="47"/>
      <c r="DO36" s="47"/>
      <c r="DP36" s="47"/>
      <c r="DQ36" s="47"/>
      <c r="DR36" s="47"/>
      <c r="DS36" s="47"/>
      <c r="DT36" s="47"/>
      <c r="DU36" s="47"/>
      <c r="DV36" s="47"/>
      <c r="DW36" s="47"/>
      <c r="DX36" s="47"/>
      <c r="DY36" s="47"/>
      <c r="DZ36" s="47"/>
      <c r="EA36" s="47"/>
      <c r="EB36" s="47"/>
      <c r="EC36" s="47"/>
      <c r="ED36" s="47"/>
      <c r="EE36" s="47"/>
      <c r="EF36" s="47"/>
      <c r="EG36" s="47"/>
      <c r="EH36" s="47"/>
      <c r="EI36" s="47"/>
      <c r="EJ36" s="47"/>
      <c r="EK36" s="47"/>
      <c r="EL36" s="47"/>
      <c r="EM36" s="47"/>
      <c r="EN36" s="47"/>
      <c r="EO36" s="47"/>
      <c r="EP36" s="47"/>
      <c r="EQ36" s="47"/>
      <c r="ER36" s="47"/>
      <c r="ES36" s="47"/>
      <c r="ET36" s="47"/>
      <c r="EU36" s="47"/>
      <c r="EV36" s="47"/>
      <c r="EW36" s="47"/>
      <c r="EX36" s="47"/>
      <c r="EY36" s="47"/>
      <c r="EZ36" s="47"/>
      <c r="FA36" s="47"/>
      <c r="FB36" s="47"/>
      <c r="FC36" s="47"/>
      <c r="FD36" s="47"/>
      <c r="FE36" s="47"/>
      <c r="FF36" s="47"/>
      <c r="FG36" s="47"/>
      <c r="FH36" s="47"/>
      <c r="FI36" s="47"/>
      <c r="FJ36" s="47"/>
      <c r="FK36" s="47"/>
      <c r="FL36" s="47"/>
      <c r="FM36" s="47"/>
      <c r="FN36" s="47"/>
      <c r="FO36" s="47"/>
      <c r="FP36" s="47"/>
      <c r="FQ36" s="47"/>
      <c r="FR36" s="47"/>
      <c r="FS36" s="47"/>
      <c r="FT36" s="47"/>
      <c r="FU36" s="47"/>
      <c r="FV36" s="47"/>
      <c r="FW36" s="47"/>
      <c r="FX36" s="47"/>
      <c r="FY36" s="47"/>
      <c r="FZ36" s="47"/>
      <c r="GA36" s="47"/>
      <c r="GB36" s="47"/>
      <c r="GC36" s="47"/>
      <c r="GD36" s="47"/>
      <c r="GE36" s="47"/>
      <c r="GF36" s="47"/>
      <c r="GG36" s="47"/>
      <c r="GH36" s="47"/>
      <c r="GI36" s="47"/>
      <c r="GJ36" s="47"/>
      <c r="GK36" s="47"/>
      <c r="GL36" s="47"/>
      <c r="GM36" s="47"/>
      <c r="GN36" s="47"/>
      <c r="GO36" s="47"/>
      <c r="GP36" s="47"/>
      <c r="GQ36" s="47"/>
      <c r="GR36" s="47"/>
      <c r="GS36" s="47"/>
      <c r="GT36" s="47"/>
      <c r="GU36" s="47"/>
      <c r="GV36" s="47"/>
      <c r="GW36" s="47"/>
      <c r="GX36" s="47"/>
      <c r="GY36" s="47"/>
      <c r="GZ36" s="47"/>
      <c r="HA36" s="47"/>
      <c r="HB36" s="47"/>
      <c r="HC36" s="47"/>
      <c r="HD36" s="47"/>
      <c r="HE36" s="47"/>
      <c r="HF36" s="47"/>
      <c r="HG36" s="47"/>
      <c r="HH36" s="47"/>
      <c r="HI36" s="47"/>
      <c r="HJ36" s="47"/>
      <c r="HK36" s="47"/>
      <c r="HL36" s="47"/>
      <c r="HM36" s="47"/>
      <c r="HN36" s="47"/>
      <c r="HO36" s="47"/>
      <c r="HP36" s="47"/>
      <c r="HQ36" s="47"/>
      <c r="HR36" s="47"/>
      <c r="HS36" s="47"/>
      <c r="HT36" s="47"/>
      <c r="HU36" s="47"/>
      <c r="HV36" s="47"/>
      <c r="HW36" s="47"/>
      <c r="HX36" s="47"/>
      <c r="HY36" s="47"/>
      <c r="HZ36" s="47"/>
      <c r="IA36" s="47"/>
      <c r="IB36" s="47"/>
      <c r="IC36" s="47"/>
      <c r="ID36" s="47"/>
      <c r="IE36" s="47"/>
      <c r="IF36" s="47"/>
      <c r="IG36" s="47"/>
      <c r="IH36" s="47"/>
      <c r="II36" s="47"/>
      <c r="IJ36" s="47"/>
      <c r="IK36" s="47"/>
      <c r="IL36" s="47"/>
      <c r="IM36" s="47"/>
      <c r="IN36" s="47"/>
      <c r="IO36" s="47"/>
      <c r="IP36" s="47"/>
      <c r="IQ36" s="47"/>
      <c r="IR36" s="47"/>
      <c r="IS36" s="47"/>
      <c r="IT36" s="47"/>
      <c r="IU36" s="47"/>
      <c r="IV36" s="47"/>
      <c r="IW36" s="47"/>
      <c r="IX36" s="47"/>
      <c r="IY36" s="47"/>
      <c r="IZ36" s="47"/>
      <c r="JA36" s="47"/>
      <c r="JB36" s="47"/>
      <c r="JC36" s="47"/>
      <c r="JD36" s="47"/>
      <c r="JE36" s="47"/>
      <c r="JF36" s="47"/>
      <c r="JG36" s="47"/>
      <c r="JH36" s="47"/>
      <c r="JI36" s="47"/>
      <c r="JJ36" s="47"/>
      <c r="JK36" s="47"/>
      <c r="JL36" s="47"/>
      <c r="JM36" s="47"/>
      <c r="JN36" s="47"/>
      <c r="JO36" s="47"/>
      <c r="JP36" s="47"/>
      <c r="JQ36" s="47"/>
      <c r="JR36" s="47"/>
      <c r="JS36" s="47"/>
      <c r="JT36" s="47"/>
      <c r="JU36" s="47"/>
      <c r="JV36" s="47"/>
      <c r="JW36" s="47"/>
      <c r="JX36" s="47"/>
      <c r="JY36" s="47"/>
      <c r="JZ36" s="47"/>
      <c r="KA36" s="47"/>
      <c r="KB36" s="47"/>
      <c r="KC36" s="47"/>
      <c r="KD36" s="47"/>
      <c r="KE36" s="47"/>
      <c r="KF36" s="47"/>
      <c r="KG36" s="47"/>
      <c r="KH36" s="47"/>
      <c r="KI36" s="47"/>
      <c r="KJ36" s="47"/>
      <c r="KK36" s="47"/>
      <c r="KL36" s="47"/>
      <c r="KM36" s="47"/>
      <c r="KN36" s="47"/>
      <c r="KO36" s="47"/>
      <c r="KP36" s="47"/>
      <c r="KQ36" s="47"/>
      <c r="KR36" s="47"/>
      <c r="KS36" s="47"/>
      <c r="KT36" s="47"/>
      <c r="KU36" s="47"/>
      <c r="KV36" s="47"/>
      <c r="KW36" s="47"/>
      <c r="KX36" s="47"/>
      <c r="KY36" s="47"/>
      <c r="KZ36" s="47"/>
      <c r="LA36" s="47"/>
      <c r="LB36" s="47"/>
      <c r="LC36" s="47"/>
      <c r="LD36" s="47"/>
      <c r="LE36" s="47"/>
      <c r="LF36" s="47"/>
      <c r="LG36" s="47"/>
      <c r="LH36" s="47"/>
      <c r="LI36" s="47"/>
      <c r="LJ36" s="47"/>
      <c r="LK36" s="47"/>
      <c r="LL36" s="47"/>
      <c r="LM36" s="47"/>
      <c r="LN36" s="47"/>
      <c r="LO36" s="47"/>
      <c r="LP36" s="47"/>
      <c r="LQ36" s="47"/>
      <c r="LR36" s="47"/>
      <c r="LS36" s="47"/>
      <c r="LT36" s="47"/>
      <c r="LU36" s="47"/>
      <c r="LV36" s="47"/>
      <c r="LW36" s="47"/>
      <c r="LX36" s="47"/>
      <c r="LY36" s="47"/>
      <c r="LZ36" s="47"/>
      <c r="MA36" s="47"/>
      <c r="MB36" s="47"/>
      <c r="MC36" s="47"/>
      <c r="MD36" s="47"/>
      <c r="ME36" s="47"/>
      <c r="MF36" s="47"/>
      <c r="MG36" s="47"/>
      <c r="MH36" s="47"/>
      <c r="MI36" s="47"/>
      <c r="MJ36" s="47"/>
      <c r="MK36" s="47"/>
      <c r="ML36" s="47"/>
      <c r="MM36" s="47"/>
      <c r="MN36" s="47"/>
      <c r="MO36" s="47"/>
      <c r="MP36" s="47"/>
      <c r="MQ36" s="47"/>
      <c r="MR36" s="47"/>
      <c r="MS36" s="47"/>
      <c r="MT36" s="47"/>
      <c r="MU36" s="47"/>
      <c r="MV36" s="47"/>
      <c r="MW36" s="47"/>
      <c r="MX36" s="47"/>
      <c r="MY36" s="47"/>
      <c r="MZ36" s="47"/>
      <c r="NA36" s="47"/>
      <c r="NB36" s="47"/>
      <c r="NC36" s="47"/>
      <c r="ND36" s="47"/>
      <c r="NE36" s="47"/>
      <c r="NF36" s="47"/>
      <c r="NG36" s="47"/>
      <c r="NH36" s="47"/>
      <c r="NI36" s="47"/>
      <c r="NJ36" s="47"/>
      <c r="NK36" s="47"/>
      <c r="NL36" s="47"/>
      <c r="NM36" s="47"/>
      <c r="NN36" s="47"/>
      <c r="NO36" s="47"/>
      <c r="NP36" s="47"/>
      <c r="NQ36" s="47"/>
      <c r="NR36" s="47"/>
      <c r="NS36" s="47"/>
      <c r="NT36" s="47"/>
      <c r="NU36" s="47"/>
      <c r="NV36" s="47"/>
      <c r="NW36" s="47"/>
      <c r="NX36" s="47"/>
      <c r="NY36" s="47"/>
      <c r="NZ36" s="47"/>
      <c r="OA36" s="47"/>
      <c r="OB36" s="47"/>
      <c r="OC36" s="47"/>
      <c r="OD36" s="47"/>
      <c r="OE36" s="48"/>
    </row>
    <row r="37" spans="1:395">
      <c r="A37" s="33" t="str">
        <f t="shared" si="16"/>
        <v/>
      </c>
      <c r="C37" s="2" t="str">
        <f>IF(ISBLANK($B37),"",_xlfn.XLOOKUP($B37,Task_No,Project!$C$3:$C$144,"INVALID TASK"))</f>
        <v/>
      </c>
      <c r="D37" s="27"/>
      <c r="E37" s="7" t="str">
        <f t="shared" si="18"/>
        <v/>
      </c>
      <c r="F37" s="7" t="str">
        <f t="shared" si="17"/>
        <v/>
      </c>
      <c r="G37" s="34"/>
      <c r="H37" s="34" t="str" cm="1">
        <f t="array" ref="H37">IF($C37="","",SUMPRODUCT((TEXT($AE$5:$OE$5, "mmm")=LOWER(G$3))*$AE37:$OE37))</f>
        <v/>
      </c>
      <c r="I37" s="34"/>
      <c r="J37" s="34" t="str" cm="1">
        <f t="array" ref="J37">IF($C37="","",SUMPRODUCT((TEXT($AE$5:$OE$5, "mmm")=LOWER(I$3))*$AE37:$OE37))</f>
        <v/>
      </c>
      <c r="K37" s="34"/>
      <c r="L37" s="34" t="str" cm="1">
        <f t="array" ref="L37">IF($C37="","",SUMPRODUCT((TEXT($AE$5:$OE$5, "mmm")=LOWER(K$3))*$AE37:$OE37))</f>
        <v/>
      </c>
      <c r="M37" s="34"/>
      <c r="N37" s="34" t="str" cm="1">
        <f t="array" ref="N37">IF($C37="","",SUMPRODUCT((TEXT($AE$5:$OE$5, "mmm")=LOWER(M$3))*$AE37:$OE37))</f>
        <v/>
      </c>
      <c r="O37" s="34"/>
      <c r="P37" s="34" t="str" cm="1">
        <f t="array" ref="P37">IF($C37="","",SUMPRODUCT((TEXT($AE$5:$OE$5, "mmm")=LOWER(O$3))*$AE37:$OE37))</f>
        <v/>
      </c>
      <c r="Q37" s="34"/>
      <c r="R37" s="34" t="str" cm="1">
        <f t="array" ref="R37">IF($C37="","",SUMPRODUCT((TEXT($AE$5:$OE$5, "mmm")=LOWER(Q$3))*$AE37:$OE37))</f>
        <v/>
      </c>
      <c r="S37" s="34"/>
      <c r="T37" s="34" t="str" cm="1">
        <f t="array" ref="T37">IF($C37="","",SUMPRODUCT((TEXT($AE$5:$OE$5, "mmm")=LOWER(S$3))*$AE37:$OE37))</f>
        <v/>
      </c>
      <c r="U37" s="34"/>
      <c r="V37" s="34" t="str" cm="1">
        <f t="array" ref="V37">IF($C37="","",SUMPRODUCT((TEXT($AE$5:$OE$5, "mmm")=LOWER(U$3))*$AE37:$OE37))</f>
        <v/>
      </c>
      <c r="W37" s="34"/>
      <c r="X37" s="34" t="str" cm="1">
        <f t="array" ref="X37">IF($C37="","",SUMPRODUCT((TEXT($AE$5:$OE$5, "mmm")=LOWER(W$3))*$AE37:$OE37))</f>
        <v/>
      </c>
      <c r="Y37" s="34"/>
      <c r="Z37" s="34" t="str" cm="1">
        <f t="array" ref="Z37">IF($C37="","",SUMPRODUCT((TEXT($AE$5:$OE$5, "mmm")=LOWER(Y$3))*$AE37:$OE37))</f>
        <v/>
      </c>
      <c r="AA37" s="34"/>
      <c r="AB37" s="34" t="str" cm="1">
        <f t="array" ref="AB37">IF($C37="","",SUMPRODUCT((TEXT($AE$5:$OE$5, "mmm")=LOWER(AA$3))*$AE37:$OE37))</f>
        <v/>
      </c>
      <c r="AC37" s="34"/>
      <c r="AD37" s="34" t="str" cm="1">
        <f t="array" ref="AD37">IF($C37="","",SUMPRODUCT((TEXT($AE$5:$OE$5, "mmm")=LOWER(AC$3))*$AE37:$OE37))</f>
        <v/>
      </c>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c r="CT37" s="47"/>
      <c r="CU37" s="47"/>
      <c r="CV37" s="47"/>
      <c r="CW37" s="47"/>
      <c r="CX37" s="47"/>
      <c r="CY37" s="47"/>
      <c r="CZ37" s="47"/>
      <c r="DA37" s="47"/>
      <c r="DB37" s="47"/>
      <c r="DC37" s="47"/>
      <c r="DD37" s="47"/>
      <c r="DE37" s="47"/>
      <c r="DF37" s="47"/>
      <c r="DG37" s="47"/>
      <c r="DH37" s="47"/>
      <c r="DI37" s="47"/>
      <c r="DJ37" s="47"/>
      <c r="DK37" s="47"/>
      <c r="DL37" s="47"/>
      <c r="DM37" s="47"/>
      <c r="DN37" s="47"/>
      <c r="DO37" s="47"/>
      <c r="DP37" s="47"/>
      <c r="DQ37" s="47"/>
      <c r="DR37" s="47"/>
      <c r="DS37" s="47"/>
      <c r="DT37" s="47"/>
      <c r="DU37" s="47"/>
      <c r="DV37" s="47"/>
      <c r="DW37" s="47"/>
      <c r="DX37" s="47"/>
      <c r="DY37" s="47"/>
      <c r="DZ37" s="47"/>
      <c r="EA37" s="47"/>
      <c r="EB37" s="47"/>
      <c r="EC37" s="47"/>
      <c r="ED37" s="47"/>
      <c r="EE37" s="47"/>
      <c r="EF37" s="47"/>
      <c r="EG37" s="47"/>
      <c r="EH37" s="47"/>
      <c r="EI37" s="47"/>
      <c r="EJ37" s="47"/>
      <c r="EK37" s="47"/>
      <c r="EL37" s="47"/>
      <c r="EM37" s="47"/>
      <c r="EN37" s="47"/>
      <c r="EO37" s="47"/>
      <c r="EP37" s="47"/>
      <c r="EQ37" s="47"/>
      <c r="ER37" s="47"/>
      <c r="ES37" s="47"/>
      <c r="ET37" s="47"/>
      <c r="EU37" s="47"/>
      <c r="EV37" s="47"/>
      <c r="EW37" s="47"/>
      <c r="EX37" s="47"/>
      <c r="EY37" s="47"/>
      <c r="EZ37" s="47"/>
      <c r="FA37" s="47"/>
      <c r="FB37" s="47"/>
      <c r="FC37" s="47"/>
      <c r="FD37" s="47"/>
      <c r="FE37" s="47"/>
      <c r="FF37" s="47"/>
      <c r="FG37" s="47"/>
      <c r="FH37" s="47"/>
      <c r="FI37" s="47"/>
      <c r="FJ37" s="47"/>
      <c r="FK37" s="47"/>
      <c r="FL37" s="47"/>
      <c r="FM37" s="47"/>
      <c r="FN37" s="47"/>
      <c r="FO37" s="47"/>
      <c r="FP37" s="47"/>
      <c r="FQ37" s="47"/>
      <c r="FR37" s="47"/>
      <c r="FS37" s="47"/>
      <c r="FT37" s="47"/>
      <c r="FU37" s="47"/>
      <c r="FV37" s="47"/>
      <c r="FW37" s="47"/>
      <c r="FX37" s="47"/>
      <c r="FY37" s="47"/>
      <c r="FZ37" s="47"/>
      <c r="GA37" s="47"/>
      <c r="GB37" s="47"/>
      <c r="GC37" s="47"/>
      <c r="GD37" s="47"/>
      <c r="GE37" s="47"/>
      <c r="GF37" s="47"/>
      <c r="GG37" s="47"/>
      <c r="GH37" s="47"/>
      <c r="GI37" s="47"/>
      <c r="GJ37" s="47"/>
      <c r="GK37" s="47"/>
      <c r="GL37" s="47"/>
      <c r="GM37" s="47"/>
      <c r="GN37" s="47"/>
      <c r="GO37" s="47"/>
      <c r="GP37" s="47"/>
      <c r="GQ37" s="47"/>
      <c r="GR37" s="47"/>
      <c r="GS37" s="47"/>
      <c r="GT37" s="47"/>
      <c r="GU37" s="47"/>
      <c r="GV37" s="47"/>
      <c r="GW37" s="47"/>
      <c r="GX37" s="47"/>
      <c r="GY37" s="47"/>
      <c r="GZ37" s="47"/>
      <c r="HA37" s="47"/>
      <c r="HB37" s="47"/>
      <c r="HC37" s="47"/>
      <c r="HD37" s="47"/>
      <c r="HE37" s="47"/>
      <c r="HF37" s="47"/>
      <c r="HG37" s="47"/>
      <c r="HH37" s="47"/>
      <c r="HI37" s="47"/>
      <c r="HJ37" s="47"/>
      <c r="HK37" s="47"/>
      <c r="HL37" s="47"/>
      <c r="HM37" s="47"/>
      <c r="HN37" s="47"/>
      <c r="HO37" s="47"/>
      <c r="HP37" s="47"/>
      <c r="HQ37" s="47"/>
      <c r="HR37" s="47"/>
      <c r="HS37" s="47"/>
      <c r="HT37" s="47"/>
      <c r="HU37" s="47"/>
      <c r="HV37" s="47"/>
      <c r="HW37" s="47"/>
      <c r="HX37" s="47"/>
      <c r="HY37" s="47"/>
      <c r="HZ37" s="47"/>
      <c r="IA37" s="47"/>
      <c r="IB37" s="47"/>
      <c r="IC37" s="47"/>
      <c r="ID37" s="47"/>
      <c r="IE37" s="47"/>
      <c r="IF37" s="47"/>
      <c r="IG37" s="47"/>
      <c r="IH37" s="47"/>
      <c r="II37" s="47"/>
      <c r="IJ37" s="47"/>
      <c r="IK37" s="47"/>
      <c r="IL37" s="47"/>
      <c r="IM37" s="47"/>
      <c r="IN37" s="47"/>
      <c r="IO37" s="47"/>
      <c r="IP37" s="47"/>
      <c r="IQ37" s="47"/>
      <c r="IR37" s="47"/>
      <c r="IS37" s="47"/>
      <c r="IT37" s="47"/>
      <c r="IU37" s="47"/>
      <c r="IV37" s="47"/>
      <c r="IW37" s="47"/>
      <c r="IX37" s="47"/>
      <c r="IY37" s="47"/>
      <c r="IZ37" s="47"/>
      <c r="JA37" s="47"/>
      <c r="JB37" s="47"/>
      <c r="JC37" s="47"/>
      <c r="JD37" s="47"/>
      <c r="JE37" s="47"/>
      <c r="JF37" s="47"/>
      <c r="JG37" s="47"/>
      <c r="JH37" s="47"/>
      <c r="JI37" s="47"/>
      <c r="JJ37" s="47"/>
      <c r="JK37" s="47"/>
      <c r="JL37" s="47"/>
      <c r="JM37" s="47"/>
      <c r="JN37" s="47"/>
      <c r="JO37" s="47"/>
      <c r="JP37" s="47"/>
      <c r="JQ37" s="47"/>
      <c r="JR37" s="47"/>
      <c r="JS37" s="47"/>
      <c r="JT37" s="47"/>
      <c r="JU37" s="47"/>
      <c r="JV37" s="47"/>
      <c r="JW37" s="47"/>
      <c r="JX37" s="47"/>
      <c r="JY37" s="47"/>
      <c r="JZ37" s="47"/>
      <c r="KA37" s="47"/>
      <c r="KB37" s="47"/>
      <c r="KC37" s="47"/>
      <c r="KD37" s="47"/>
      <c r="KE37" s="47"/>
      <c r="KF37" s="47"/>
      <c r="KG37" s="47"/>
      <c r="KH37" s="47"/>
      <c r="KI37" s="47"/>
      <c r="KJ37" s="47"/>
      <c r="KK37" s="47"/>
      <c r="KL37" s="47"/>
      <c r="KM37" s="47"/>
      <c r="KN37" s="47"/>
      <c r="KO37" s="47"/>
      <c r="KP37" s="47"/>
      <c r="KQ37" s="47"/>
      <c r="KR37" s="47"/>
      <c r="KS37" s="47"/>
      <c r="KT37" s="47"/>
      <c r="KU37" s="47"/>
      <c r="KV37" s="47"/>
      <c r="KW37" s="47"/>
      <c r="KX37" s="47"/>
      <c r="KY37" s="47"/>
      <c r="KZ37" s="47"/>
      <c r="LA37" s="47"/>
      <c r="LB37" s="47"/>
      <c r="LC37" s="47"/>
      <c r="LD37" s="47"/>
      <c r="LE37" s="47"/>
      <c r="LF37" s="47"/>
      <c r="LG37" s="47"/>
      <c r="LH37" s="47"/>
      <c r="LI37" s="47"/>
      <c r="LJ37" s="47"/>
      <c r="LK37" s="47"/>
      <c r="LL37" s="47"/>
      <c r="LM37" s="47"/>
      <c r="LN37" s="47"/>
      <c r="LO37" s="47"/>
      <c r="LP37" s="47"/>
      <c r="LQ37" s="47"/>
      <c r="LR37" s="47"/>
      <c r="LS37" s="47"/>
      <c r="LT37" s="47"/>
      <c r="LU37" s="47"/>
      <c r="LV37" s="47"/>
      <c r="LW37" s="47"/>
      <c r="LX37" s="47"/>
      <c r="LY37" s="47"/>
      <c r="LZ37" s="47"/>
      <c r="MA37" s="47"/>
      <c r="MB37" s="47"/>
      <c r="MC37" s="47"/>
      <c r="MD37" s="47"/>
      <c r="ME37" s="47"/>
      <c r="MF37" s="47"/>
      <c r="MG37" s="47"/>
      <c r="MH37" s="47"/>
      <c r="MI37" s="47"/>
      <c r="MJ37" s="47"/>
      <c r="MK37" s="47"/>
      <c r="ML37" s="47"/>
      <c r="MM37" s="47"/>
      <c r="MN37" s="47"/>
      <c r="MO37" s="47"/>
      <c r="MP37" s="47"/>
      <c r="MQ37" s="47"/>
      <c r="MR37" s="47"/>
      <c r="MS37" s="47"/>
      <c r="MT37" s="47"/>
      <c r="MU37" s="47"/>
      <c r="MV37" s="47"/>
      <c r="MW37" s="47"/>
      <c r="MX37" s="47"/>
      <c r="MY37" s="47"/>
      <c r="MZ37" s="47"/>
      <c r="NA37" s="47"/>
      <c r="NB37" s="47"/>
      <c r="NC37" s="47"/>
      <c r="ND37" s="47"/>
      <c r="NE37" s="47"/>
      <c r="NF37" s="47"/>
      <c r="NG37" s="47"/>
      <c r="NH37" s="47"/>
      <c r="NI37" s="47"/>
      <c r="NJ37" s="47"/>
      <c r="NK37" s="47"/>
      <c r="NL37" s="47"/>
      <c r="NM37" s="47"/>
      <c r="NN37" s="47"/>
      <c r="NO37" s="47"/>
      <c r="NP37" s="47"/>
      <c r="NQ37" s="47"/>
      <c r="NR37" s="47"/>
      <c r="NS37" s="47"/>
      <c r="NT37" s="47"/>
      <c r="NU37" s="47"/>
      <c r="NV37" s="47"/>
      <c r="NW37" s="47"/>
      <c r="NX37" s="47"/>
      <c r="NY37" s="47"/>
      <c r="NZ37" s="47"/>
      <c r="OA37" s="47"/>
      <c r="OB37" s="47"/>
      <c r="OC37" s="47"/>
      <c r="OD37" s="47"/>
      <c r="OE37" s="48"/>
    </row>
    <row r="38" spans="1:395">
      <c r="A38" s="33" t="str">
        <f t="shared" si="16"/>
        <v/>
      </c>
      <c r="C38" s="2" t="str">
        <f>IF(ISBLANK($B38),"",_xlfn.XLOOKUP($B38,Task_No,Project!$C$3:$C$144,"INVALID TASK"))</f>
        <v/>
      </c>
      <c r="D38" s="27"/>
      <c r="E38" s="7" t="str">
        <f t="shared" si="18"/>
        <v/>
      </c>
      <c r="F38" s="7" t="str">
        <f t="shared" si="17"/>
        <v/>
      </c>
      <c r="G38" s="34"/>
      <c r="H38" s="34" t="str" cm="1">
        <f t="array" ref="H38">IF($C38="","",SUMPRODUCT((TEXT($AE$5:$OE$5, "mmm")=LOWER(G$3))*$AE38:$OE38))</f>
        <v/>
      </c>
      <c r="I38" s="34"/>
      <c r="J38" s="34" t="str" cm="1">
        <f t="array" ref="J38">IF($C38="","",SUMPRODUCT((TEXT($AE$5:$OE$5, "mmm")=LOWER(I$3))*$AE38:$OE38))</f>
        <v/>
      </c>
      <c r="K38" s="34"/>
      <c r="L38" s="34" t="str" cm="1">
        <f t="array" ref="L38">IF($C38="","",SUMPRODUCT((TEXT($AE$5:$OE$5, "mmm")=LOWER(K$3))*$AE38:$OE38))</f>
        <v/>
      </c>
      <c r="M38" s="34"/>
      <c r="N38" s="34" t="str" cm="1">
        <f t="array" ref="N38">IF($C38="","",SUMPRODUCT((TEXT($AE$5:$OE$5, "mmm")=LOWER(M$3))*$AE38:$OE38))</f>
        <v/>
      </c>
      <c r="O38" s="34"/>
      <c r="P38" s="34" t="str" cm="1">
        <f t="array" ref="P38">IF($C38="","",SUMPRODUCT((TEXT($AE$5:$OE$5, "mmm")=LOWER(O$3))*$AE38:$OE38))</f>
        <v/>
      </c>
      <c r="Q38" s="34"/>
      <c r="R38" s="34" t="str" cm="1">
        <f t="array" ref="R38">IF($C38="","",SUMPRODUCT((TEXT($AE$5:$OE$5, "mmm")=LOWER(Q$3))*$AE38:$OE38))</f>
        <v/>
      </c>
      <c r="S38" s="34"/>
      <c r="T38" s="34" t="str" cm="1">
        <f t="array" ref="T38">IF($C38="","",SUMPRODUCT((TEXT($AE$5:$OE$5, "mmm")=LOWER(S$3))*$AE38:$OE38))</f>
        <v/>
      </c>
      <c r="U38" s="34"/>
      <c r="V38" s="34" t="str" cm="1">
        <f t="array" ref="V38">IF($C38="","",SUMPRODUCT((TEXT($AE$5:$OE$5, "mmm")=LOWER(U$3))*$AE38:$OE38))</f>
        <v/>
      </c>
      <c r="W38" s="34"/>
      <c r="X38" s="34" t="str" cm="1">
        <f t="array" ref="X38">IF($C38="","",SUMPRODUCT((TEXT($AE$5:$OE$5, "mmm")=LOWER(W$3))*$AE38:$OE38))</f>
        <v/>
      </c>
      <c r="Y38" s="34"/>
      <c r="Z38" s="34" t="str" cm="1">
        <f t="array" ref="Z38">IF($C38="","",SUMPRODUCT((TEXT($AE$5:$OE$5, "mmm")=LOWER(Y$3))*$AE38:$OE38))</f>
        <v/>
      </c>
      <c r="AA38" s="34"/>
      <c r="AB38" s="34" t="str" cm="1">
        <f t="array" ref="AB38">IF($C38="","",SUMPRODUCT((TEXT($AE$5:$OE$5, "mmm")=LOWER(AA$3))*$AE38:$OE38))</f>
        <v/>
      </c>
      <c r="AC38" s="34"/>
      <c r="AD38" s="34" t="str" cm="1">
        <f t="array" ref="AD38">IF($C38="","",SUMPRODUCT((TEXT($AE$5:$OE$5, "mmm")=LOWER(AC$3))*$AE38:$OE38))</f>
        <v/>
      </c>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c r="CG38" s="47"/>
      <c r="CH38" s="47"/>
      <c r="CI38" s="47"/>
      <c r="CJ38" s="47"/>
      <c r="CK38" s="47"/>
      <c r="CL38" s="47"/>
      <c r="CM38" s="47"/>
      <c r="CN38" s="47"/>
      <c r="CO38" s="47"/>
      <c r="CP38" s="47"/>
      <c r="CQ38" s="47"/>
      <c r="CR38" s="47"/>
      <c r="CS38" s="47"/>
      <c r="CT38" s="47"/>
      <c r="CU38" s="47"/>
      <c r="CV38" s="47"/>
      <c r="CW38" s="47"/>
      <c r="CX38" s="47"/>
      <c r="CY38" s="47"/>
      <c r="CZ38" s="47"/>
      <c r="DA38" s="47"/>
      <c r="DB38" s="47"/>
      <c r="DC38" s="47"/>
      <c r="DD38" s="47"/>
      <c r="DE38" s="47"/>
      <c r="DF38" s="47"/>
      <c r="DG38" s="47"/>
      <c r="DH38" s="47"/>
      <c r="DI38" s="47"/>
      <c r="DJ38" s="47"/>
      <c r="DK38" s="47"/>
      <c r="DL38" s="47"/>
      <c r="DM38" s="47"/>
      <c r="DN38" s="47"/>
      <c r="DO38" s="47"/>
      <c r="DP38" s="47"/>
      <c r="DQ38" s="47"/>
      <c r="DR38" s="47"/>
      <c r="DS38" s="47"/>
      <c r="DT38" s="47"/>
      <c r="DU38" s="47"/>
      <c r="DV38" s="47"/>
      <c r="DW38" s="47"/>
      <c r="DX38" s="47"/>
      <c r="DY38" s="47"/>
      <c r="DZ38" s="47"/>
      <c r="EA38" s="47"/>
      <c r="EB38" s="47"/>
      <c r="EC38" s="47"/>
      <c r="ED38" s="47"/>
      <c r="EE38" s="47"/>
      <c r="EF38" s="47"/>
      <c r="EG38" s="47"/>
      <c r="EH38" s="47"/>
      <c r="EI38" s="47"/>
      <c r="EJ38" s="47"/>
      <c r="EK38" s="47"/>
      <c r="EL38" s="47"/>
      <c r="EM38" s="47"/>
      <c r="EN38" s="47"/>
      <c r="EO38" s="47"/>
      <c r="EP38" s="47"/>
      <c r="EQ38" s="47"/>
      <c r="ER38" s="47"/>
      <c r="ES38" s="47"/>
      <c r="ET38" s="47"/>
      <c r="EU38" s="47"/>
      <c r="EV38" s="47"/>
      <c r="EW38" s="47"/>
      <c r="EX38" s="47"/>
      <c r="EY38" s="47"/>
      <c r="EZ38" s="47"/>
      <c r="FA38" s="47"/>
      <c r="FB38" s="47"/>
      <c r="FC38" s="47"/>
      <c r="FD38" s="47"/>
      <c r="FE38" s="47"/>
      <c r="FF38" s="47"/>
      <c r="FG38" s="47"/>
      <c r="FH38" s="47"/>
      <c r="FI38" s="47"/>
      <c r="FJ38" s="47"/>
      <c r="FK38" s="47"/>
      <c r="FL38" s="47"/>
      <c r="FM38" s="47"/>
      <c r="FN38" s="47"/>
      <c r="FO38" s="47"/>
      <c r="FP38" s="47"/>
      <c r="FQ38" s="47"/>
      <c r="FR38" s="47"/>
      <c r="FS38" s="47"/>
      <c r="FT38" s="47"/>
      <c r="FU38" s="47"/>
      <c r="FV38" s="47"/>
      <c r="FW38" s="47"/>
      <c r="FX38" s="47"/>
      <c r="FY38" s="47"/>
      <c r="FZ38" s="47"/>
      <c r="GA38" s="47"/>
      <c r="GB38" s="47"/>
      <c r="GC38" s="47"/>
      <c r="GD38" s="47"/>
      <c r="GE38" s="47"/>
      <c r="GF38" s="47"/>
      <c r="GG38" s="47"/>
      <c r="GH38" s="47"/>
      <c r="GI38" s="47"/>
      <c r="GJ38" s="47"/>
      <c r="GK38" s="47"/>
      <c r="GL38" s="47"/>
      <c r="GM38" s="47"/>
      <c r="GN38" s="47"/>
      <c r="GO38" s="47"/>
      <c r="GP38" s="47"/>
      <c r="GQ38" s="47"/>
      <c r="GR38" s="47"/>
      <c r="GS38" s="47"/>
      <c r="GT38" s="47"/>
      <c r="GU38" s="47"/>
      <c r="GV38" s="47"/>
      <c r="GW38" s="47"/>
      <c r="GX38" s="47"/>
      <c r="GY38" s="47"/>
      <c r="GZ38" s="47"/>
      <c r="HA38" s="47"/>
      <c r="HB38" s="47"/>
      <c r="HC38" s="47"/>
      <c r="HD38" s="47"/>
      <c r="HE38" s="47"/>
      <c r="HF38" s="47"/>
      <c r="HG38" s="47"/>
      <c r="HH38" s="47"/>
      <c r="HI38" s="47"/>
      <c r="HJ38" s="47"/>
      <c r="HK38" s="47"/>
      <c r="HL38" s="47"/>
      <c r="HM38" s="47"/>
      <c r="HN38" s="47"/>
      <c r="HO38" s="47"/>
      <c r="HP38" s="47"/>
      <c r="HQ38" s="47"/>
      <c r="HR38" s="47"/>
      <c r="HS38" s="47"/>
      <c r="HT38" s="47"/>
      <c r="HU38" s="47"/>
      <c r="HV38" s="47"/>
      <c r="HW38" s="47"/>
      <c r="HX38" s="47"/>
      <c r="HY38" s="47"/>
      <c r="HZ38" s="47"/>
      <c r="IA38" s="47"/>
      <c r="IB38" s="47"/>
      <c r="IC38" s="47"/>
      <c r="ID38" s="47"/>
      <c r="IE38" s="47"/>
      <c r="IF38" s="47"/>
      <c r="IG38" s="47"/>
      <c r="IH38" s="47"/>
      <c r="II38" s="47"/>
      <c r="IJ38" s="47"/>
      <c r="IK38" s="47"/>
      <c r="IL38" s="47"/>
      <c r="IM38" s="47"/>
      <c r="IN38" s="47"/>
      <c r="IO38" s="47"/>
      <c r="IP38" s="47"/>
      <c r="IQ38" s="47"/>
      <c r="IR38" s="47"/>
      <c r="IS38" s="47"/>
      <c r="IT38" s="47"/>
      <c r="IU38" s="47"/>
      <c r="IV38" s="47"/>
      <c r="IW38" s="47"/>
      <c r="IX38" s="47"/>
      <c r="IY38" s="47"/>
      <c r="IZ38" s="47"/>
      <c r="JA38" s="47"/>
      <c r="JB38" s="47"/>
      <c r="JC38" s="47"/>
      <c r="JD38" s="47"/>
      <c r="JE38" s="47"/>
      <c r="JF38" s="47"/>
      <c r="JG38" s="47"/>
      <c r="JH38" s="47"/>
      <c r="JI38" s="47"/>
      <c r="JJ38" s="47"/>
      <c r="JK38" s="47"/>
      <c r="JL38" s="47"/>
      <c r="JM38" s="47"/>
      <c r="JN38" s="47"/>
      <c r="JO38" s="47"/>
      <c r="JP38" s="47"/>
      <c r="JQ38" s="47"/>
      <c r="JR38" s="47"/>
      <c r="JS38" s="47"/>
      <c r="JT38" s="47"/>
      <c r="JU38" s="47"/>
      <c r="JV38" s="47"/>
      <c r="JW38" s="47"/>
      <c r="JX38" s="47"/>
      <c r="JY38" s="47"/>
      <c r="JZ38" s="47"/>
      <c r="KA38" s="47"/>
      <c r="KB38" s="47"/>
      <c r="KC38" s="47"/>
      <c r="KD38" s="47"/>
      <c r="KE38" s="47"/>
      <c r="KF38" s="47"/>
      <c r="KG38" s="47"/>
      <c r="KH38" s="47"/>
      <c r="KI38" s="47"/>
      <c r="KJ38" s="47"/>
      <c r="KK38" s="47"/>
      <c r="KL38" s="47"/>
      <c r="KM38" s="47"/>
      <c r="KN38" s="47"/>
      <c r="KO38" s="47"/>
      <c r="KP38" s="47"/>
      <c r="KQ38" s="47"/>
      <c r="KR38" s="47"/>
      <c r="KS38" s="47"/>
      <c r="KT38" s="47"/>
      <c r="KU38" s="47"/>
      <c r="KV38" s="47"/>
      <c r="KW38" s="47"/>
      <c r="KX38" s="47"/>
      <c r="KY38" s="47"/>
      <c r="KZ38" s="47"/>
      <c r="LA38" s="47"/>
      <c r="LB38" s="47"/>
      <c r="LC38" s="47"/>
      <c r="LD38" s="47"/>
      <c r="LE38" s="47"/>
      <c r="LF38" s="47"/>
      <c r="LG38" s="47"/>
      <c r="LH38" s="47"/>
      <c r="LI38" s="47"/>
      <c r="LJ38" s="47"/>
      <c r="LK38" s="47"/>
      <c r="LL38" s="47"/>
      <c r="LM38" s="47"/>
      <c r="LN38" s="47"/>
      <c r="LO38" s="47"/>
      <c r="LP38" s="47"/>
      <c r="LQ38" s="47"/>
      <c r="LR38" s="47"/>
      <c r="LS38" s="47"/>
      <c r="LT38" s="47"/>
      <c r="LU38" s="47"/>
      <c r="LV38" s="47"/>
      <c r="LW38" s="47"/>
      <c r="LX38" s="47"/>
      <c r="LY38" s="47"/>
      <c r="LZ38" s="47"/>
      <c r="MA38" s="47"/>
      <c r="MB38" s="47"/>
      <c r="MC38" s="47"/>
      <c r="MD38" s="47"/>
      <c r="ME38" s="47"/>
      <c r="MF38" s="47"/>
      <c r="MG38" s="47"/>
      <c r="MH38" s="47"/>
      <c r="MI38" s="47"/>
      <c r="MJ38" s="47"/>
      <c r="MK38" s="47"/>
      <c r="ML38" s="47"/>
      <c r="MM38" s="47"/>
      <c r="MN38" s="47"/>
      <c r="MO38" s="47"/>
      <c r="MP38" s="47"/>
      <c r="MQ38" s="47"/>
      <c r="MR38" s="47"/>
      <c r="MS38" s="47"/>
      <c r="MT38" s="47"/>
      <c r="MU38" s="47"/>
      <c r="MV38" s="47"/>
      <c r="MW38" s="47"/>
      <c r="MX38" s="47"/>
      <c r="MY38" s="47"/>
      <c r="MZ38" s="47"/>
      <c r="NA38" s="47"/>
      <c r="NB38" s="47"/>
      <c r="NC38" s="47"/>
      <c r="ND38" s="47"/>
      <c r="NE38" s="47"/>
      <c r="NF38" s="47"/>
      <c r="NG38" s="47"/>
      <c r="NH38" s="47"/>
      <c r="NI38" s="47"/>
      <c r="NJ38" s="47"/>
      <c r="NK38" s="47"/>
      <c r="NL38" s="47"/>
      <c r="NM38" s="47"/>
      <c r="NN38" s="47"/>
      <c r="NO38" s="47"/>
      <c r="NP38" s="47"/>
      <c r="NQ38" s="47"/>
      <c r="NR38" s="47"/>
      <c r="NS38" s="47"/>
      <c r="NT38" s="47"/>
      <c r="NU38" s="47"/>
      <c r="NV38" s="47"/>
      <c r="NW38" s="47"/>
      <c r="NX38" s="47"/>
      <c r="NY38" s="47"/>
      <c r="NZ38" s="47"/>
      <c r="OA38" s="47"/>
      <c r="OB38" s="47"/>
      <c r="OC38" s="47"/>
      <c r="OD38" s="47"/>
      <c r="OE38" s="48"/>
    </row>
    <row r="39" spans="1:395">
      <c r="A39" s="33" t="str">
        <f t="shared" si="16"/>
        <v/>
      </c>
      <c r="C39" s="2" t="str">
        <f>IF(ISBLANK($B39),"",_xlfn.XLOOKUP($B39,Task_No,Project!$C$3:$C$144,"INVALID TASK"))</f>
        <v/>
      </c>
      <c r="D39" s="27"/>
      <c r="E39" s="7" t="str">
        <f t="shared" si="18"/>
        <v/>
      </c>
      <c r="F39" s="7" t="str">
        <f t="shared" si="17"/>
        <v/>
      </c>
      <c r="G39" s="34"/>
      <c r="H39" s="34" t="str" cm="1">
        <f t="array" ref="H39">IF($C39="","",SUMPRODUCT((TEXT($AE$5:$OE$5, "mmm")=LOWER(G$3))*$AE39:$OE39))</f>
        <v/>
      </c>
      <c r="I39" s="34"/>
      <c r="J39" s="34" t="str" cm="1">
        <f t="array" ref="J39">IF($C39="","",SUMPRODUCT((TEXT($AE$5:$OE$5, "mmm")=LOWER(I$3))*$AE39:$OE39))</f>
        <v/>
      </c>
      <c r="K39" s="34"/>
      <c r="L39" s="34" t="str" cm="1">
        <f t="array" ref="L39">IF($C39="","",SUMPRODUCT((TEXT($AE$5:$OE$5, "mmm")=LOWER(K$3))*$AE39:$OE39))</f>
        <v/>
      </c>
      <c r="M39" s="34"/>
      <c r="N39" s="34" t="str" cm="1">
        <f t="array" ref="N39">IF($C39="","",SUMPRODUCT((TEXT($AE$5:$OE$5, "mmm")=LOWER(M$3))*$AE39:$OE39))</f>
        <v/>
      </c>
      <c r="O39" s="34"/>
      <c r="P39" s="34" t="str" cm="1">
        <f t="array" ref="P39">IF($C39="","",SUMPRODUCT((TEXT($AE$5:$OE$5, "mmm")=LOWER(O$3))*$AE39:$OE39))</f>
        <v/>
      </c>
      <c r="Q39" s="34"/>
      <c r="R39" s="34" t="str" cm="1">
        <f t="array" ref="R39">IF($C39="","",SUMPRODUCT((TEXT($AE$5:$OE$5, "mmm")=LOWER(Q$3))*$AE39:$OE39))</f>
        <v/>
      </c>
      <c r="S39" s="34"/>
      <c r="T39" s="34" t="str" cm="1">
        <f t="array" ref="T39">IF($C39="","",SUMPRODUCT((TEXT($AE$5:$OE$5, "mmm")=LOWER(S$3))*$AE39:$OE39))</f>
        <v/>
      </c>
      <c r="U39" s="34"/>
      <c r="V39" s="34" t="str" cm="1">
        <f t="array" ref="V39">IF($C39="","",SUMPRODUCT((TEXT($AE$5:$OE$5, "mmm")=LOWER(U$3))*$AE39:$OE39))</f>
        <v/>
      </c>
      <c r="W39" s="34"/>
      <c r="X39" s="34" t="str" cm="1">
        <f t="array" ref="X39">IF($C39="","",SUMPRODUCT((TEXT($AE$5:$OE$5, "mmm")=LOWER(W$3))*$AE39:$OE39))</f>
        <v/>
      </c>
      <c r="Y39" s="34"/>
      <c r="Z39" s="34" t="str" cm="1">
        <f t="array" ref="Z39">IF($C39="","",SUMPRODUCT((TEXT($AE$5:$OE$5, "mmm")=LOWER(Y$3))*$AE39:$OE39))</f>
        <v/>
      </c>
      <c r="AA39" s="34"/>
      <c r="AB39" s="34" t="str" cm="1">
        <f t="array" ref="AB39">IF($C39="","",SUMPRODUCT((TEXT($AE$5:$OE$5, "mmm")=LOWER(AA$3))*$AE39:$OE39))</f>
        <v/>
      </c>
      <c r="AC39" s="34"/>
      <c r="AD39" s="34" t="str" cm="1">
        <f t="array" ref="AD39">IF($C39="","",SUMPRODUCT((TEXT($AE$5:$OE$5, "mmm")=LOWER(AC$3))*$AE39:$OE39))</f>
        <v/>
      </c>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c r="CK39" s="47"/>
      <c r="CL39" s="47"/>
      <c r="CM39" s="47"/>
      <c r="CN39" s="47"/>
      <c r="CO39" s="47"/>
      <c r="CP39" s="47"/>
      <c r="CQ39" s="47"/>
      <c r="CR39" s="47"/>
      <c r="CS39" s="47"/>
      <c r="CT39" s="47"/>
      <c r="CU39" s="47"/>
      <c r="CV39" s="47"/>
      <c r="CW39" s="47"/>
      <c r="CX39" s="47"/>
      <c r="CY39" s="47"/>
      <c r="CZ39" s="47"/>
      <c r="DA39" s="47"/>
      <c r="DB39" s="47"/>
      <c r="DC39" s="47"/>
      <c r="DD39" s="47"/>
      <c r="DE39" s="47"/>
      <c r="DF39" s="47"/>
      <c r="DG39" s="47"/>
      <c r="DH39" s="47"/>
      <c r="DI39" s="47"/>
      <c r="DJ39" s="47"/>
      <c r="DK39" s="47"/>
      <c r="DL39" s="47"/>
      <c r="DM39" s="47"/>
      <c r="DN39" s="47"/>
      <c r="DO39" s="47"/>
      <c r="DP39" s="47"/>
      <c r="DQ39" s="47"/>
      <c r="DR39" s="47"/>
      <c r="DS39" s="47"/>
      <c r="DT39" s="47"/>
      <c r="DU39" s="47"/>
      <c r="DV39" s="47"/>
      <c r="DW39" s="47"/>
      <c r="DX39" s="47"/>
      <c r="DY39" s="47"/>
      <c r="DZ39" s="47"/>
      <c r="EA39" s="47"/>
      <c r="EB39" s="47"/>
      <c r="EC39" s="47"/>
      <c r="ED39" s="47"/>
      <c r="EE39" s="47"/>
      <c r="EF39" s="47"/>
      <c r="EG39" s="47"/>
      <c r="EH39" s="47"/>
      <c r="EI39" s="47"/>
      <c r="EJ39" s="47"/>
      <c r="EK39" s="47"/>
      <c r="EL39" s="47"/>
      <c r="EM39" s="47"/>
      <c r="EN39" s="47"/>
      <c r="EO39" s="47"/>
      <c r="EP39" s="47"/>
      <c r="EQ39" s="47"/>
      <c r="ER39" s="47"/>
      <c r="ES39" s="47"/>
      <c r="ET39" s="47"/>
      <c r="EU39" s="47"/>
      <c r="EV39" s="47"/>
      <c r="EW39" s="47"/>
      <c r="EX39" s="47"/>
      <c r="EY39" s="47"/>
      <c r="EZ39" s="47"/>
      <c r="FA39" s="47"/>
      <c r="FB39" s="47"/>
      <c r="FC39" s="47"/>
      <c r="FD39" s="47"/>
      <c r="FE39" s="47"/>
      <c r="FF39" s="47"/>
      <c r="FG39" s="47"/>
      <c r="FH39" s="47"/>
      <c r="FI39" s="47"/>
      <c r="FJ39" s="47"/>
      <c r="FK39" s="47"/>
      <c r="FL39" s="47"/>
      <c r="FM39" s="47"/>
      <c r="FN39" s="47"/>
      <c r="FO39" s="47"/>
      <c r="FP39" s="47"/>
      <c r="FQ39" s="47"/>
      <c r="FR39" s="47"/>
      <c r="FS39" s="47"/>
      <c r="FT39" s="47"/>
      <c r="FU39" s="47"/>
      <c r="FV39" s="47"/>
      <c r="FW39" s="47"/>
      <c r="FX39" s="47"/>
      <c r="FY39" s="47"/>
      <c r="FZ39" s="47"/>
      <c r="GA39" s="47"/>
      <c r="GB39" s="47"/>
      <c r="GC39" s="47"/>
      <c r="GD39" s="47"/>
      <c r="GE39" s="47"/>
      <c r="GF39" s="47"/>
      <c r="GG39" s="47"/>
      <c r="GH39" s="47"/>
      <c r="GI39" s="47"/>
      <c r="GJ39" s="47"/>
      <c r="GK39" s="47"/>
      <c r="GL39" s="47"/>
      <c r="GM39" s="47"/>
      <c r="GN39" s="47"/>
      <c r="GO39" s="47"/>
      <c r="GP39" s="47"/>
      <c r="GQ39" s="47"/>
      <c r="GR39" s="47"/>
      <c r="GS39" s="47"/>
      <c r="GT39" s="47"/>
      <c r="GU39" s="47"/>
      <c r="GV39" s="47"/>
      <c r="GW39" s="47"/>
      <c r="GX39" s="47"/>
      <c r="GY39" s="47"/>
      <c r="GZ39" s="47"/>
      <c r="HA39" s="47"/>
      <c r="HB39" s="47"/>
      <c r="HC39" s="47"/>
      <c r="HD39" s="47"/>
      <c r="HE39" s="47"/>
      <c r="HF39" s="47"/>
      <c r="HG39" s="47"/>
      <c r="HH39" s="47"/>
      <c r="HI39" s="47"/>
      <c r="HJ39" s="47"/>
      <c r="HK39" s="47"/>
      <c r="HL39" s="47"/>
      <c r="HM39" s="47"/>
      <c r="HN39" s="47"/>
      <c r="HO39" s="47"/>
      <c r="HP39" s="47"/>
      <c r="HQ39" s="47"/>
      <c r="HR39" s="47"/>
      <c r="HS39" s="47"/>
      <c r="HT39" s="47"/>
      <c r="HU39" s="47"/>
      <c r="HV39" s="47"/>
      <c r="HW39" s="47"/>
      <c r="HX39" s="47"/>
      <c r="HY39" s="47"/>
      <c r="HZ39" s="47"/>
      <c r="IA39" s="47"/>
      <c r="IB39" s="47"/>
      <c r="IC39" s="47"/>
      <c r="ID39" s="47"/>
      <c r="IE39" s="47"/>
      <c r="IF39" s="47"/>
      <c r="IG39" s="47"/>
      <c r="IH39" s="47"/>
      <c r="II39" s="47"/>
      <c r="IJ39" s="47"/>
      <c r="IK39" s="47"/>
      <c r="IL39" s="47"/>
      <c r="IM39" s="47"/>
      <c r="IN39" s="47"/>
      <c r="IO39" s="47"/>
      <c r="IP39" s="47"/>
      <c r="IQ39" s="47"/>
      <c r="IR39" s="47"/>
      <c r="IS39" s="47"/>
      <c r="IT39" s="47"/>
      <c r="IU39" s="47"/>
      <c r="IV39" s="47"/>
      <c r="IW39" s="47"/>
      <c r="IX39" s="47"/>
      <c r="IY39" s="47"/>
      <c r="IZ39" s="47"/>
      <c r="JA39" s="47"/>
      <c r="JB39" s="47"/>
      <c r="JC39" s="47"/>
      <c r="JD39" s="47"/>
      <c r="JE39" s="47"/>
      <c r="JF39" s="47"/>
      <c r="JG39" s="47"/>
      <c r="JH39" s="47"/>
      <c r="JI39" s="47"/>
      <c r="JJ39" s="47"/>
      <c r="JK39" s="47"/>
      <c r="JL39" s="47"/>
      <c r="JM39" s="47"/>
      <c r="JN39" s="47"/>
      <c r="JO39" s="47"/>
      <c r="JP39" s="47"/>
      <c r="JQ39" s="47"/>
      <c r="JR39" s="47"/>
      <c r="JS39" s="47"/>
      <c r="JT39" s="47"/>
      <c r="JU39" s="47"/>
      <c r="JV39" s="47"/>
      <c r="JW39" s="47"/>
      <c r="JX39" s="47"/>
      <c r="JY39" s="47"/>
      <c r="JZ39" s="47"/>
      <c r="KA39" s="47"/>
      <c r="KB39" s="47"/>
      <c r="KC39" s="47"/>
      <c r="KD39" s="47"/>
      <c r="KE39" s="47"/>
      <c r="KF39" s="47"/>
      <c r="KG39" s="47"/>
      <c r="KH39" s="47"/>
      <c r="KI39" s="47"/>
      <c r="KJ39" s="47"/>
      <c r="KK39" s="47"/>
      <c r="KL39" s="47"/>
      <c r="KM39" s="47"/>
      <c r="KN39" s="47"/>
      <c r="KO39" s="47"/>
      <c r="KP39" s="47"/>
      <c r="KQ39" s="47"/>
      <c r="KR39" s="47"/>
      <c r="KS39" s="47"/>
      <c r="KT39" s="47"/>
      <c r="KU39" s="47"/>
      <c r="KV39" s="47"/>
      <c r="KW39" s="47"/>
      <c r="KX39" s="47"/>
      <c r="KY39" s="47"/>
      <c r="KZ39" s="47"/>
      <c r="LA39" s="47"/>
      <c r="LB39" s="47"/>
      <c r="LC39" s="47"/>
      <c r="LD39" s="47"/>
      <c r="LE39" s="47"/>
      <c r="LF39" s="47"/>
      <c r="LG39" s="47"/>
      <c r="LH39" s="47"/>
      <c r="LI39" s="47"/>
      <c r="LJ39" s="47"/>
      <c r="LK39" s="47"/>
      <c r="LL39" s="47"/>
      <c r="LM39" s="47"/>
      <c r="LN39" s="47"/>
      <c r="LO39" s="47"/>
      <c r="LP39" s="47"/>
      <c r="LQ39" s="47"/>
      <c r="LR39" s="47"/>
      <c r="LS39" s="47"/>
      <c r="LT39" s="47"/>
      <c r="LU39" s="47"/>
      <c r="LV39" s="47"/>
      <c r="LW39" s="47"/>
      <c r="LX39" s="47"/>
      <c r="LY39" s="47"/>
      <c r="LZ39" s="47"/>
      <c r="MA39" s="47"/>
      <c r="MB39" s="47"/>
      <c r="MC39" s="47"/>
      <c r="MD39" s="47"/>
      <c r="ME39" s="47"/>
      <c r="MF39" s="47"/>
      <c r="MG39" s="47"/>
      <c r="MH39" s="47"/>
      <c r="MI39" s="47"/>
      <c r="MJ39" s="47"/>
      <c r="MK39" s="47"/>
      <c r="ML39" s="47"/>
      <c r="MM39" s="47"/>
      <c r="MN39" s="47"/>
      <c r="MO39" s="47"/>
      <c r="MP39" s="47"/>
      <c r="MQ39" s="47"/>
      <c r="MR39" s="47"/>
      <c r="MS39" s="47"/>
      <c r="MT39" s="47"/>
      <c r="MU39" s="47"/>
      <c r="MV39" s="47"/>
      <c r="MW39" s="47"/>
      <c r="MX39" s="47"/>
      <c r="MY39" s="47"/>
      <c r="MZ39" s="47"/>
      <c r="NA39" s="47"/>
      <c r="NB39" s="47"/>
      <c r="NC39" s="47"/>
      <c r="ND39" s="47"/>
      <c r="NE39" s="47"/>
      <c r="NF39" s="47"/>
      <c r="NG39" s="47"/>
      <c r="NH39" s="47"/>
      <c r="NI39" s="47"/>
      <c r="NJ39" s="47"/>
      <c r="NK39" s="47"/>
      <c r="NL39" s="47"/>
      <c r="NM39" s="47"/>
      <c r="NN39" s="47"/>
      <c r="NO39" s="47"/>
      <c r="NP39" s="47"/>
      <c r="NQ39" s="47"/>
      <c r="NR39" s="47"/>
      <c r="NS39" s="47"/>
      <c r="NT39" s="47"/>
      <c r="NU39" s="47"/>
      <c r="NV39" s="47"/>
      <c r="NW39" s="47"/>
      <c r="NX39" s="47"/>
      <c r="NY39" s="47"/>
      <c r="NZ39" s="47"/>
      <c r="OA39" s="47"/>
      <c r="OB39" s="47"/>
      <c r="OC39" s="47"/>
      <c r="OD39" s="47"/>
      <c r="OE39" s="48"/>
    </row>
    <row r="40" spans="1:395">
      <c r="A40" s="33" t="str">
        <f t="shared" si="16"/>
        <v/>
      </c>
      <c r="C40" s="2" t="str">
        <f>IF(ISBLANK($B40),"",_xlfn.XLOOKUP($B40,Task_No,Project!$C$3:$C$144,"INVALID TASK"))</f>
        <v/>
      </c>
      <c r="D40" s="27"/>
      <c r="E40" s="7" t="str">
        <f t="shared" si="18"/>
        <v/>
      </c>
      <c r="F40" s="7" t="str">
        <f t="shared" si="17"/>
        <v/>
      </c>
      <c r="G40" s="34"/>
      <c r="H40" s="34" t="str" cm="1">
        <f t="array" ref="H40">IF($C40="","",SUMPRODUCT((TEXT($AE$5:$OE$5, "mmm")=LOWER(G$3))*$AE40:$OE40))</f>
        <v/>
      </c>
      <c r="I40" s="34"/>
      <c r="J40" s="34" t="str" cm="1">
        <f t="array" ref="J40">IF($C40="","",SUMPRODUCT((TEXT($AE$5:$OE$5, "mmm")=LOWER(I$3))*$AE40:$OE40))</f>
        <v/>
      </c>
      <c r="K40" s="34"/>
      <c r="L40" s="34" t="str" cm="1">
        <f t="array" ref="L40">IF($C40="","",SUMPRODUCT((TEXT($AE$5:$OE$5, "mmm")=LOWER(K$3))*$AE40:$OE40))</f>
        <v/>
      </c>
      <c r="M40" s="34"/>
      <c r="N40" s="34" t="str" cm="1">
        <f t="array" ref="N40">IF($C40="","",SUMPRODUCT((TEXT($AE$5:$OE$5, "mmm")=LOWER(M$3))*$AE40:$OE40))</f>
        <v/>
      </c>
      <c r="O40" s="34"/>
      <c r="P40" s="34" t="str" cm="1">
        <f t="array" ref="P40">IF($C40="","",SUMPRODUCT((TEXT($AE$5:$OE$5, "mmm")=LOWER(O$3))*$AE40:$OE40))</f>
        <v/>
      </c>
      <c r="Q40" s="34"/>
      <c r="R40" s="34" t="str" cm="1">
        <f t="array" ref="R40">IF($C40="","",SUMPRODUCT((TEXT($AE$5:$OE$5, "mmm")=LOWER(Q$3))*$AE40:$OE40))</f>
        <v/>
      </c>
      <c r="S40" s="34"/>
      <c r="T40" s="34" t="str" cm="1">
        <f t="array" ref="T40">IF($C40="","",SUMPRODUCT((TEXT($AE$5:$OE$5, "mmm")=LOWER(S$3))*$AE40:$OE40))</f>
        <v/>
      </c>
      <c r="U40" s="34"/>
      <c r="V40" s="34" t="str" cm="1">
        <f t="array" ref="V40">IF($C40="","",SUMPRODUCT((TEXT($AE$5:$OE$5, "mmm")=LOWER(U$3))*$AE40:$OE40))</f>
        <v/>
      </c>
      <c r="W40" s="34"/>
      <c r="X40" s="34" t="str" cm="1">
        <f t="array" ref="X40">IF($C40="","",SUMPRODUCT((TEXT($AE$5:$OE$5, "mmm")=LOWER(W$3))*$AE40:$OE40))</f>
        <v/>
      </c>
      <c r="Y40" s="34"/>
      <c r="Z40" s="34" t="str" cm="1">
        <f t="array" ref="Z40">IF($C40="","",SUMPRODUCT((TEXT($AE$5:$OE$5, "mmm")=LOWER(Y$3))*$AE40:$OE40))</f>
        <v/>
      </c>
      <c r="AA40" s="34"/>
      <c r="AB40" s="34" t="str" cm="1">
        <f t="array" ref="AB40">IF($C40="","",SUMPRODUCT((TEXT($AE$5:$OE$5, "mmm")=LOWER(AA$3))*$AE40:$OE40))</f>
        <v/>
      </c>
      <c r="AC40" s="34"/>
      <c r="AD40" s="34" t="str" cm="1">
        <f t="array" ref="AD40">IF($C40="","",SUMPRODUCT((TEXT($AE$5:$OE$5, "mmm")=LOWER(AC$3))*$AE40:$OE40))</f>
        <v/>
      </c>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c r="CK40" s="47"/>
      <c r="CL40" s="47"/>
      <c r="CM40" s="47"/>
      <c r="CN40" s="47"/>
      <c r="CO40" s="47"/>
      <c r="CP40" s="47"/>
      <c r="CQ40" s="47"/>
      <c r="CR40" s="47"/>
      <c r="CS40" s="47"/>
      <c r="CT40" s="47"/>
      <c r="CU40" s="47"/>
      <c r="CV40" s="47"/>
      <c r="CW40" s="47"/>
      <c r="CX40" s="47"/>
      <c r="CY40" s="47"/>
      <c r="CZ40" s="47"/>
      <c r="DA40" s="47"/>
      <c r="DB40" s="47"/>
      <c r="DC40" s="47"/>
      <c r="DD40" s="47"/>
      <c r="DE40" s="47"/>
      <c r="DF40" s="47"/>
      <c r="DG40" s="47"/>
      <c r="DH40" s="47"/>
      <c r="DI40" s="47"/>
      <c r="DJ40" s="47"/>
      <c r="DK40" s="47"/>
      <c r="DL40" s="47"/>
      <c r="DM40" s="47"/>
      <c r="DN40" s="47"/>
      <c r="DO40" s="47"/>
      <c r="DP40" s="47"/>
      <c r="DQ40" s="47"/>
      <c r="DR40" s="47"/>
      <c r="DS40" s="47"/>
      <c r="DT40" s="47"/>
      <c r="DU40" s="47"/>
      <c r="DV40" s="47"/>
      <c r="DW40" s="47"/>
      <c r="DX40" s="47"/>
      <c r="DY40" s="47"/>
      <c r="DZ40" s="47"/>
      <c r="EA40" s="47"/>
      <c r="EB40" s="47"/>
      <c r="EC40" s="47"/>
      <c r="ED40" s="47"/>
      <c r="EE40" s="47"/>
      <c r="EF40" s="47"/>
      <c r="EG40" s="47"/>
      <c r="EH40" s="47"/>
      <c r="EI40" s="47"/>
      <c r="EJ40" s="47"/>
      <c r="EK40" s="47"/>
      <c r="EL40" s="47"/>
      <c r="EM40" s="47"/>
      <c r="EN40" s="47"/>
      <c r="EO40" s="47"/>
      <c r="EP40" s="47"/>
      <c r="EQ40" s="47"/>
      <c r="ER40" s="47"/>
      <c r="ES40" s="47"/>
      <c r="ET40" s="47"/>
      <c r="EU40" s="47"/>
      <c r="EV40" s="47"/>
      <c r="EW40" s="47"/>
      <c r="EX40" s="47"/>
      <c r="EY40" s="47"/>
      <c r="EZ40" s="47"/>
      <c r="FA40" s="47"/>
      <c r="FB40" s="47"/>
      <c r="FC40" s="47"/>
      <c r="FD40" s="47"/>
      <c r="FE40" s="47"/>
      <c r="FF40" s="47"/>
      <c r="FG40" s="47"/>
      <c r="FH40" s="47"/>
      <c r="FI40" s="47"/>
      <c r="FJ40" s="47"/>
      <c r="FK40" s="47"/>
      <c r="FL40" s="47"/>
      <c r="FM40" s="47"/>
      <c r="FN40" s="47"/>
      <c r="FO40" s="47"/>
      <c r="FP40" s="47"/>
      <c r="FQ40" s="47"/>
      <c r="FR40" s="47"/>
      <c r="FS40" s="47"/>
      <c r="FT40" s="47"/>
      <c r="FU40" s="47"/>
      <c r="FV40" s="47"/>
      <c r="FW40" s="47"/>
      <c r="FX40" s="47"/>
      <c r="FY40" s="47"/>
      <c r="FZ40" s="47"/>
      <c r="GA40" s="47"/>
      <c r="GB40" s="47"/>
      <c r="GC40" s="47"/>
      <c r="GD40" s="47"/>
      <c r="GE40" s="47"/>
      <c r="GF40" s="47"/>
      <c r="GG40" s="47"/>
      <c r="GH40" s="47"/>
      <c r="GI40" s="47"/>
      <c r="GJ40" s="47"/>
      <c r="GK40" s="47"/>
      <c r="GL40" s="47"/>
      <c r="GM40" s="47"/>
      <c r="GN40" s="47"/>
      <c r="GO40" s="47"/>
      <c r="GP40" s="47"/>
      <c r="GQ40" s="47"/>
      <c r="GR40" s="47"/>
      <c r="GS40" s="47"/>
      <c r="GT40" s="47"/>
      <c r="GU40" s="47"/>
      <c r="GV40" s="47"/>
      <c r="GW40" s="47"/>
      <c r="GX40" s="47"/>
      <c r="GY40" s="47"/>
      <c r="GZ40" s="47"/>
      <c r="HA40" s="47"/>
      <c r="HB40" s="47"/>
      <c r="HC40" s="47"/>
      <c r="HD40" s="47"/>
      <c r="HE40" s="47"/>
      <c r="HF40" s="47"/>
      <c r="HG40" s="47"/>
      <c r="HH40" s="47"/>
      <c r="HI40" s="47"/>
      <c r="HJ40" s="47"/>
      <c r="HK40" s="47"/>
      <c r="HL40" s="47"/>
      <c r="HM40" s="47"/>
      <c r="HN40" s="47"/>
      <c r="HO40" s="47"/>
      <c r="HP40" s="47"/>
      <c r="HQ40" s="47"/>
      <c r="HR40" s="47"/>
      <c r="HS40" s="47"/>
      <c r="HT40" s="47"/>
      <c r="HU40" s="47"/>
      <c r="HV40" s="47"/>
      <c r="HW40" s="47"/>
      <c r="HX40" s="47"/>
      <c r="HY40" s="47"/>
      <c r="HZ40" s="47"/>
      <c r="IA40" s="47"/>
      <c r="IB40" s="47"/>
      <c r="IC40" s="47"/>
      <c r="ID40" s="47"/>
      <c r="IE40" s="47"/>
      <c r="IF40" s="47"/>
      <c r="IG40" s="47"/>
      <c r="IH40" s="47"/>
      <c r="II40" s="47"/>
      <c r="IJ40" s="47"/>
      <c r="IK40" s="47"/>
      <c r="IL40" s="47"/>
      <c r="IM40" s="47"/>
      <c r="IN40" s="47"/>
      <c r="IO40" s="47"/>
      <c r="IP40" s="47"/>
      <c r="IQ40" s="47"/>
      <c r="IR40" s="47"/>
      <c r="IS40" s="47"/>
      <c r="IT40" s="47"/>
      <c r="IU40" s="47"/>
      <c r="IV40" s="47"/>
      <c r="IW40" s="47"/>
      <c r="IX40" s="47"/>
      <c r="IY40" s="47"/>
      <c r="IZ40" s="47"/>
      <c r="JA40" s="47"/>
      <c r="JB40" s="47"/>
      <c r="JC40" s="47"/>
      <c r="JD40" s="47"/>
      <c r="JE40" s="47"/>
      <c r="JF40" s="47"/>
      <c r="JG40" s="47"/>
      <c r="JH40" s="47"/>
      <c r="JI40" s="47"/>
      <c r="JJ40" s="47"/>
      <c r="JK40" s="47"/>
      <c r="JL40" s="47"/>
      <c r="JM40" s="47"/>
      <c r="JN40" s="47"/>
      <c r="JO40" s="47"/>
      <c r="JP40" s="47"/>
      <c r="JQ40" s="47"/>
      <c r="JR40" s="47"/>
      <c r="JS40" s="47"/>
      <c r="JT40" s="47"/>
      <c r="JU40" s="47"/>
      <c r="JV40" s="47"/>
      <c r="JW40" s="47"/>
      <c r="JX40" s="47"/>
      <c r="JY40" s="47"/>
      <c r="JZ40" s="47"/>
      <c r="KA40" s="47"/>
      <c r="KB40" s="47"/>
      <c r="KC40" s="47"/>
      <c r="KD40" s="47"/>
      <c r="KE40" s="47"/>
      <c r="KF40" s="47"/>
      <c r="KG40" s="47"/>
      <c r="KH40" s="47"/>
      <c r="KI40" s="47"/>
      <c r="KJ40" s="47"/>
      <c r="KK40" s="47"/>
      <c r="KL40" s="47"/>
      <c r="KM40" s="47"/>
      <c r="KN40" s="47"/>
      <c r="KO40" s="47"/>
      <c r="KP40" s="47"/>
      <c r="KQ40" s="47"/>
      <c r="KR40" s="47"/>
      <c r="KS40" s="47"/>
      <c r="KT40" s="47"/>
      <c r="KU40" s="47"/>
      <c r="KV40" s="47"/>
      <c r="KW40" s="47"/>
      <c r="KX40" s="47"/>
      <c r="KY40" s="47"/>
      <c r="KZ40" s="47"/>
      <c r="LA40" s="47"/>
      <c r="LB40" s="47"/>
      <c r="LC40" s="47"/>
      <c r="LD40" s="47"/>
      <c r="LE40" s="47"/>
      <c r="LF40" s="47"/>
      <c r="LG40" s="47"/>
      <c r="LH40" s="47"/>
      <c r="LI40" s="47"/>
      <c r="LJ40" s="47"/>
      <c r="LK40" s="47"/>
      <c r="LL40" s="47"/>
      <c r="LM40" s="47"/>
      <c r="LN40" s="47"/>
      <c r="LO40" s="47"/>
      <c r="LP40" s="47"/>
      <c r="LQ40" s="47"/>
      <c r="LR40" s="47"/>
      <c r="LS40" s="47"/>
      <c r="LT40" s="47"/>
      <c r="LU40" s="47"/>
      <c r="LV40" s="47"/>
      <c r="LW40" s="47"/>
      <c r="LX40" s="47"/>
      <c r="LY40" s="47"/>
      <c r="LZ40" s="47"/>
      <c r="MA40" s="47"/>
      <c r="MB40" s="47"/>
      <c r="MC40" s="47"/>
      <c r="MD40" s="47"/>
      <c r="ME40" s="47"/>
      <c r="MF40" s="47"/>
      <c r="MG40" s="47"/>
      <c r="MH40" s="47"/>
      <c r="MI40" s="47"/>
      <c r="MJ40" s="47"/>
      <c r="MK40" s="47"/>
      <c r="ML40" s="47"/>
      <c r="MM40" s="47"/>
      <c r="MN40" s="47"/>
      <c r="MO40" s="47"/>
      <c r="MP40" s="47"/>
      <c r="MQ40" s="47"/>
      <c r="MR40" s="47"/>
      <c r="MS40" s="47"/>
      <c r="MT40" s="47"/>
      <c r="MU40" s="47"/>
      <c r="MV40" s="47"/>
      <c r="MW40" s="47"/>
      <c r="MX40" s="47"/>
      <c r="MY40" s="47"/>
      <c r="MZ40" s="47"/>
      <c r="NA40" s="47"/>
      <c r="NB40" s="47"/>
      <c r="NC40" s="47"/>
      <c r="ND40" s="47"/>
      <c r="NE40" s="47"/>
      <c r="NF40" s="47"/>
      <c r="NG40" s="47"/>
      <c r="NH40" s="47"/>
      <c r="NI40" s="47"/>
      <c r="NJ40" s="47"/>
      <c r="NK40" s="47"/>
      <c r="NL40" s="47"/>
      <c r="NM40" s="47"/>
      <c r="NN40" s="47"/>
      <c r="NO40" s="47"/>
      <c r="NP40" s="47"/>
      <c r="NQ40" s="47"/>
      <c r="NR40" s="47"/>
      <c r="NS40" s="47"/>
      <c r="NT40" s="47"/>
      <c r="NU40" s="47"/>
      <c r="NV40" s="47"/>
      <c r="NW40" s="47"/>
      <c r="NX40" s="47"/>
      <c r="NY40" s="47"/>
      <c r="NZ40" s="47"/>
      <c r="OA40" s="47"/>
      <c r="OB40" s="47"/>
      <c r="OC40" s="47"/>
      <c r="OD40" s="47"/>
      <c r="OE40" s="48"/>
    </row>
    <row r="41" spans="1:395">
      <c r="A41" s="33" t="str">
        <f t="shared" si="16"/>
        <v/>
      </c>
      <c r="C41" s="2" t="str">
        <f>IF(ISBLANK($B41),"",_xlfn.XLOOKUP($B41,Task_No,Project!$C$3:$C$144,"INVALID TASK"))</f>
        <v/>
      </c>
      <c r="D41" s="27"/>
      <c r="E41" s="7" t="str">
        <f t="shared" si="18"/>
        <v/>
      </c>
      <c r="F41" s="7" t="str">
        <f t="shared" si="17"/>
        <v/>
      </c>
      <c r="G41" s="34"/>
      <c r="H41" s="34" t="str" cm="1">
        <f t="array" ref="H41">IF($C41="","",SUMPRODUCT((TEXT($AE$5:$OE$5, "mmm")=LOWER(G$3))*$AE41:$OE41))</f>
        <v/>
      </c>
      <c r="I41" s="34"/>
      <c r="J41" s="34" t="str" cm="1">
        <f t="array" ref="J41">IF($C41="","",SUMPRODUCT((TEXT($AE$5:$OE$5, "mmm")=LOWER(I$3))*$AE41:$OE41))</f>
        <v/>
      </c>
      <c r="K41" s="34"/>
      <c r="L41" s="34" t="str" cm="1">
        <f t="array" ref="L41">IF($C41="","",SUMPRODUCT((TEXT($AE$5:$OE$5, "mmm")=LOWER(K$3))*$AE41:$OE41))</f>
        <v/>
      </c>
      <c r="M41" s="34"/>
      <c r="N41" s="34" t="str" cm="1">
        <f t="array" ref="N41">IF($C41="","",SUMPRODUCT((TEXT($AE$5:$OE$5, "mmm")=LOWER(M$3))*$AE41:$OE41))</f>
        <v/>
      </c>
      <c r="O41" s="34"/>
      <c r="P41" s="34" t="str" cm="1">
        <f t="array" ref="P41">IF($C41="","",SUMPRODUCT((TEXT($AE$5:$OE$5, "mmm")=LOWER(O$3))*$AE41:$OE41))</f>
        <v/>
      </c>
      <c r="Q41" s="34"/>
      <c r="R41" s="34" t="str" cm="1">
        <f t="array" ref="R41">IF($C41="","",SUMPRODUCT((TEXT($AE$5:$OE$5, "mmm")=LOWER(Q$3))*$AE41:$OE41))</f>
        <v/>
      </c>
      <c r="S41" s="34"/>
      <c r="T41" s="34" t="str" cm="1">
        <f t="array" ref="T41">IF($C41="","",SUMPRODUCT((TEXT($AE$5:$OE$5, "mmm")=LOWER(S$3))*$AE41:$OE41))</f>
        <v/>
      </c>
      <c r="U41" s="34"/>
      <c r="V41" s="34" t="str" cm="1">
        <f t="array" ref="V41">IF($C41="","",SUMPRODUCT((TEXT($AE$5:$OE$5, "mmm")=LOWER(U$3))*$AE41:$OE41))</f>
        <v/>
      </c>
      <c r="W41" s="34"/>
      <c r="X41" s="34" t="str" cm="1">
        <f t="array" ref="X41">IF($C41="","",SUMPRODUCT((TEXT($AE$5:$OE$5, "mmm")=LOWER(W$3))*$AE41:$OE41))</f>
        <v/>
      </c>
      <c r="Y41" s="34"/>
      <c r="Z41" s="34" t="str" cm="1">
        <f t="array" ref="Z41">IF($C41="","",SUMPRODUCT((TEXT($AE$5:$OE$5, "mmm")=LOWER(Y$3))*$AE41:$OE41))</f>
        <v/>
      </c>
      <c r="AA41" s="34"/>
      <c r="AB41" s="34" t="str" cm="1">
        <f t="array" ref="AB41">IF($C41="","",SUMPRODUCT((TEXT($AE$5:$OE$5, "mmm")=LOWER(AA$3))*$AE41:$OE41))</f>
        <v/>
      </c>
      <c r="AC41" s="34"/>
      <c r="AD41" s="34" t="str" cm="1">
        <f t="array" ref="AD41">IF($C41="","",SUMPRODUCT((TEXT($AE$5:$OE$5, "mmm")=LOWER(AC$3))*$AE41:$OE41))</f>
        <v/>
      </c>
      <c r="AE41" s="47"/>
      <c r="AF41" s="47"/>
      <c r="AG41" s="47"/>
      <c r="AH41" s="47"/>
      <c r="AI41" s="47"/>
      <c r="AJ41" s="47"/>
      <c r="AK41" s="47"/>
      <c r="AL41" s="47"/>
      <c r="AM41" s="47"/>
      <c r="AN41" s="47"/>
      <c r="AO41" s="47"/>
      <c r="AP41" s="47"/>
      <c r="AQ41" s="47"/>
      <c r="AR41" s="47"/>
      <c r="AS41" s="47"/>
      <c r="AT41" s="47"/>
      <c r="AU41" s="47"/>
      <c r="AV41" s="47"/>
      <c r="AW41" s="47"/>
      <c r="AX41" s="47"/>
      <c r="AY41" s="47"/>
      <c r="AZ41" s="47"/>
      <c r="BA41" s="47"/>
      <c r="BB41" s="47"/>
      <c r="BC41" s="47"/>
      <c r="BD41" s="47"/>
      <c r="BE41" s="47"/>
      <c r="BF41" s="47"/>
      <c r="BG41" s="47"/>
      <c r="BH41" s="47"/>
      <c r="BI41" s="47"/>
      <c r="BJ41" s="47"/>
      <c r="BK41" s="47"/>
      <c r="BL41" s="47"/>
      <c r="BM41" s="47"/>
      <c r="BN41" s="47"/>
      <c r="BO41" s="47"/>
      <c r="BP41" s="47"/>
      <c r="BQ41" s="47"/>
      <c r="BR41" s="47"/>
      <c r="BS41" s="47"/>
      <c r="BT41" s="47"/>
      <c r="BU41" s="47"/>
      <c r="BV41" s="47"/>
      <c r="BW41" s="47"/>
      <c r="BX41" s="47"/>
      <c r="BY41" s="47"/>
      <c r="BZ41" s="47"/>
      <c r="CA41" s="47"/>
      <c r="CB41" s="47"/>
      <c r="CC41" s="47"/>
      <c r="CD41" s="47"/>
      <c r="CE41" s="47"/>
      <c r="CF41" s="47"/>
      <c r="CG41" s="47"/>
      <c r="CH41" s="47"/>
      <c r="CI41" s="47"/>
      <c r="CJ41" s="47"/>
      <c r="CK41" s="47"/>
      <c r="CL41" s="47"/>
      <c r="CM41" s="47"/>
      <c r="CN41" s="47"/>
      <c r="CO41" s="47"/>
      <c r="CP41" s="47"/>
      <c r="CQ41" s="47"/>
      <c r="CR41" s="47"/>
      <c r="CS41" s="47"/>
      <c r="CT41" s="47"/>
      <c r="CU41" s="47"/>
      <c r="CV41" s="47"/>
      <c r="CW41" s="47"/>
      <c r="CX41" s="47"/>
      <c r="CY41" s="47"/>
      <c r="CZ41" s="47"/>
      <c r="DA41" s="47"/>
      <c r="DB41" s="47"/>
      <c r="DC41" s="47"/>
      <c r="DD41" s="47"/>
      <c r="DE41" s="47"/>
      <c r="DF41" s="47"/>
      <c r="DG41" s="47"/>
      <c r="DH41" s="47"/>
      <c r="DI41" s="47"/>
      <c r="DJ41" s="47"/>
      <c r="DK41" s="47"/>
      <c r="DL41" s="47"/>
      <c r="DM41" s="47"/>
      <c r="DN41" s="47"/>
      <c r="DO41" s="47"/>
      <c r="DP41" s="47"/>
      <c r="DQ41" s="47"/>
      <c r="DR41" s="47"/>
      <c r="DS41" s="47"/>
      <c r="DT41" s="47"/>
      <c r="DU41" s="47"/>
      <c r="DV41" s="47"/>
      <c r="DW41" s="47"/>
      <c r="DX41" s="47"/>
      <c r="DY41" s="47"/>
      <c r="DZ41" s="47"/>
      <c r="EA41" s="47"/>
      <c r="EB41" s="47"/>
      <c r="EC41" s="47"/>
      <c r="ED41" s="47"/>
      <c r="EE41" s="47"/>
      <c r="EF41" s="47"/>
      <c r="EG41" s="47"/>
      <c r="EH41" s="47"/>
      <c r="EI41" s="47"/>
      <c r="EJ41" s="47"/>
      <c r="EK41" s="47"/>
      <c r="EL41" s="47"/>
      <c r="EM41" s="47"/>
      <c r="EN41" s="47"/>
      <c r="EO41" s="47"/>
      <c r="EP41" s="47"/>
      <c r="EQ41" s="47"/>
      <c r="ER41" s="47"/>
      <c r="ES41" s="47"/>
      <c r="ET41" s="47"/>
      <c r="EU41" s="47"/>
      <c r="EV41" s="47"/>
      <c r="EW41" s="47"/>
      <c r="EX41" s="47"/>
      <c r="EY41" s="47"/>
      <c r="EZ41" s="47"/>
      <c r="FA41" s="47"/>
      <c r="FB41" s="47"/>
      <c r="FC41" s="47"/>
      <c r="FD41" s="47"/>
      <c r="FE41" s="47"/>
      <c r="FF41" s="47"/>
      <c r="FG41" s="47"/>
      <c r="FH41" s="47"/>
      <c r="FI41" s="47"/>
      <c r="FJ41" s="47"/>
      <c r="FK41" s="47"/>
      <c r="FL41" s="47"/>
      <c r="FM41" s="47"/>
      <c r="FN41" s="47"/>
      <c r="FO41" s="47"/>
      <c r="FP41" s="47"/>
      <c r="FQ41" s="47"/>
      <c r="FR41" s="47"/>
      <c r="FS41" s="47"/>
      <c r="FT41" s="47"/>
      <c r="FU41" s="47"/>
      <c r="FV41" s="47"/>
      <c r="FW41" s="47"/>
      <c r="FX41" s="47"/>
      <c r="FY41" s="47"/>
      <c r="FZ41" s="47"/>
      <c r="GA41" s="47"/>
      <c r="GB41" s="47"/>
      <c r="GC41" s="47"/>
      <c r="GD41" s="47"/>
      <c r="GE41" s="47"/>
      <c r="GF41" s="47"/>
      <c r="GG41" s="47"/>
      <c r="GH41" s="47"/>
      <c r="GI41" s="47"/>
      <c r="GJ41" s="47"/>
      <c r="GK41" s="47"/>
      <c r="GL41" s="47"/>
      <c r="GM41" s="47"/>
      <c r="GN41" s="47"/>
      <c r="GO41" s="47"/>
      <c r="GP41" s="47"/>
      <c r="GQ41" s="47"/>
      <c r="GR41" s="47"/>
      <c r="GS41" s="47"/>
      <c r="GT41" s="47"/>
      <c r="GU41" s="47"/>
      <c r="GV41" s="47"/>
      <c r="GW41" s="47"/>
      <c r="GX41" s="47"/>
      <c r="GY41" s="47"/>
      <c r="GZ41" s="47"/>
      <c r="HA41" s="47"/>
      <c r="HB41" s="47"/>
      <c r="HC41" s="47"/>
      <c r="HD41" s="47"/>
      <c r="HE41" s="47"/>
      <c r="HF41" s="47"/>
      <c r="HG41" s="47"/>
      <c r="HH41" s="47"/>
      <c r="HI41" s="47"/>
      <c r="HJ41" s="47"/>
      <c r="HK41" s="47"/>
      <c r="HL41" s="47"/>
      <c r="HM41" s="47"/>
      <c r="HN41" s="47"/>
      <c r="HO41" s="47"/>
      <c r="HP41" s="47"/>
      <c r="HQ41" s="47"/>
      <c r="HR41" s="47"/>
      <c r="HS41" s="47"/>
      <c r="HT41" s="47"/>
      <c r="HU41" s="47"/>
      <c r="HV41" s="47"/>
      <c r="HW41" s="47"/>
      <c r="HX41" s="47"/>
      <c r="HY41" s="47"/>
      <c r="HZ41" s="47"/>
      <c r="IA41" s="47"/>
      <c r="IB41" s="47"/>
      <c r="IC41" s="47"/>
      <c r="ID41" s="47"/>
      <c r="IE41" s="47"/>
      <c r="IF41" s="47"/>
      <c r="IG41" s="47"/>
      <c r="IH41" s="47"/>
      <c r="II41" s="47"/>
      <c r="IJ41" s="47"/>
      <c r="IK41" s="47"/>
      <c r="IL41" s="47"/>
      <c r="IM41" s="47"/>
      <c r="IN41" s="47"/>
      <c r="IO41" s="47"/>
      <c r="IP41" s="47"/>
      <c r="IQ41" s="47"/>
      <c r="IR41" s="47"/>
      <c r="IS41" s="47"/>
      <c r="IT41" s="47"/>
      <c r="IU41" s="47"/>
      <c r="IV41" s="47"/>
      <c r="IW41" s="47"/>
      <c r="IX41" s="47"/>
      <c r="IY41" s="47"/>
      <c r="IZ41" s="47"/>
      <c r="JA41" s="47"/>
      <c r="JB41" s="47"/>
      <c r="JC41" s="47"/>
      <c r="JD41" s="47"/>
      <c r="JE41" s="47"/>
      <c r="JF41" s="47"/>
      <c r="JG41" s="47"/>
      <c r="JH41" s="47"/>
      <c r="JI41" s="47"/>
      <c r="JJ41" s="47"/>
      <c r="JK41" s="47"/>
      <c r="JL41" s="47"/>
      <c r="JM41" s="47"/>
      <c r="JN41" s="47"/>
      <c r="JO41" s="47"/>
      <c r="JP41" s="47"/>
      <c r="JQ41" s="47"/>
      <c r="JR41" s="47"/>
      <c r="JS41" s="47"/>
      <c r="JT41" s="47"/>
      <c r="JU41" s="47"/>
      <c r="JV41" s="47"/>
      <c r="JW41" s="47"/>
      <c r="JX41" s="47"/>
      <c r="JY41" s="47"/>
      <c r="JZ41" s="47"/>
      <c r="KA41" s="47"/>
      <c r="KB41" s="47"/>
      <c r="KC41" s="47"/>
      <c r="KD41" s="47"/>
      <c r="KE41" s="47"/>
      <c r="KF41" s="47"/>
      <c r="KG41" s="47"/>
      <c r="KH41" s="47"/>
      <c r="KI41" s="47"/>
      <c r="KJ41" s="47"/>
      <c r="KK41" s="47"/>
      <c r="KL41" s="47"/>
      <c r="KM41" s="47"/>
      <c r="KN41" s="47"/>
      <c r="KO41" s="47"/>
      <c r="KP41" s="47"/>
      <c r="KQ41" s="47"/>
      <c r="KR41" s="47"/>
      <c r="KS41" s="47"/>
      <c r="KT41" s="47"/>
      <c r="KU41" s="47"/>
      <c r="KV41" s="47"/>
      <c r="KW41" s="47"/>
      <c r="KX41" s="47"/>
      <c r="KY41" s="47"/>
      <c r="KZ41" s="47"/>
      <c r="LA41" s="47"/>
      <c r="LB41" s="47"/>
      <c r="LC41" s="47"/>
      <c r="LD41" s="47"/>
      <c r="LE41" s="47"/>
      <c r="LF41" s="47"/>
      <c r="LG41" s="47"/>
      <c r="LH41" s="47"/>
      <c r="LI41" s="47"/>
      <c r="LJ41" s="47"/>
      <c r="LK41" s="47"/>
      <c r="LL41" s="47"/>
      <c r="LM41" s="47"/>
      <c r="LN41" s="47"/>
      <c r="LO41" s="47"/>
      <c r="LP41" s="47"/>
      <c r="LQ41" s="47"/>
      <c r="LR41" s="47"/>
      <c r="LS41" s="47"/>
      <c r="LT41" s="47"/>
      <c r="LU41" s="47"/>
      <c r="LV41" s="47"/>
      <c r="LW41" s="47"/>
      <c r="LX41" s="47"/>
      <c r="LY41" s="47"/>
      <c r="LZ41" s="47"/>
      <c r="MA41" s="47"/>
      <c r="MB41" s="47"/>
      <c r="MC41" s="47"/>
      <c r="MD41" s="47"/>
      <c r="ME41" s="47"/>
      <c r="MF41" s="47"/>
      <c r="MG41" s="47"/>
      <c r="MH41" s="47"/>
      <c r="MI41" s="47"/>
      <c r="MJ41" s="47"/>
      <c r="MK41" s="47"/>
      <c r="ML41" s="47"/>
      <c r="MM41" s="47"/>
      <c r="MN41" s="47"/>
      <c r="MO41" s="47"/>
      <c r="MP41" s="47"/>
      <c r="MQ41" s="47"/>
      <c r="MR41" s="47"/>
      <c r="MS41" s="47"/>
      <c r="MT41" s="47"/>
      <c r="MU41" s="47"/>
      <c r="MV41" s="47"/>
      <c r="MW41" s="47"/>
      <c r="MX41" s="47"/>
      <c r="MY41" s="47"/>
      <c r="MZ41" s="47"/>
      <c r="NA41" s="47"/>
      <c r="NB41" s="47"/>
      <c r="NC41" s="47"/>
      <c r="ND41" s="47"/>
      <c r="NE41" s="47"/>
      <c r="NF41" s="47"/>
      <c r="NG41" s="47"/>
      <c r="NH41" s="47"/>
      <c r="NI41" s="47"/>
      <c r="NJ41" s="47"/>
      <c r="NK41" s="47"/>
      <c r="NL41" s="47"/>
      <c r="NM41" s="47"/>
      <c r="NN41" s="47"/>
      <c r="NO41" s="47"/>
      <c r="NP41" s="47"/>
      <c r="NQ41" s="47"/>
      <c r="NR41" s="47"/>
      <c r="NS41" s="47"/>
      <c r="NT41" s="47"/>
      <c r="NU41" s="47"/>
      <c r="NV41" s="47"/>
      <c r="NW41" s="47"/>
      <c r="NX41" s="47"/>
      <c r="NY41" s="47"/>
      <c r="NZ41" s="47"/>
      <c r="OA41" s="47"/>
      <c r="OB41" s="47"/>
      <c r="OC41" s="47"/>
      <c r="OD41" s="47"/>
      <c r="OE41" s="48"/>
    </row>
    <row r="42" spans="1:395">
      <c r="A42" s="33" t="str">
        <f t="shared" si="16"/>
        <v/>
      </c>
      <c r="C42" s="2" t="str">
        <f>IF(ISBLANK($B42),"",_xlfn.XLOOKUP($B42,Task_No,Project!$C$3:$C$144,"INVALID TASK"))</f>
        <v/>
      </c>
      <c r="D42" s="27"/>
      <c r="E42" s="7" t="str">
        <f t="shared" si="18"/>
        <v/>
      </c>
      <c r="F42" s="7" t="str">
        <f t="shared" si="17"/>
        <v/>
      </c>
      <c r="G42" s="34"/>
      <c r="H42" s="34" t="str" cm="1">
        <f t="array" ref="H42">IF($C42="","",SUMPRODUCT((TEXT($AE$5:$OE$5, "mmm")=LOWER(G$3))*$AE42:$OE42))</f>
        <v/>
      </c>
      <c r="I42" s="34"/>
      <c r="J42" s="34" t="str" cm="1">
        <f t="array" ref="J42">IF($C42="","",SUMPRODUCT((TEXT($AE$5:$OE$5, "mmm")=LOWER(I$3))*$AE42:$OE42))</f>
        <v/>
      </c>
      <c r="K42" s="34"/>
      <c r="L42" s="34" t="str" cm="1">
        <f t="array" ref="L42">IF($C42="","",SUMPRODUCT((TEXT($AE$5:$OE$5, "mmm")=LOWER(K$3))*$AE42:$OE42))</f>
        <v/>
      </c>
      <c r="M42" s="34"/>
      <c r="N42" s="34" t="str" cm="1">
        <f t="array" ref="N42">IF($C42="","",SUMPRODUCT((TEXT($AE$5:$OE$5, "mmm")=LOWER(M$3))*$AE42:$OE42))</f>
        <v/>
      </c>
      <c r="O42" s="34"/>
      <c r="P42" s="34" t="str" cm="1">
        <f t="array" ref="P42">IF($C42="","",SUMPRODUCT((TEXT($AE$5:$OE$5, "mmm")=LOWER(O$3))*$AE42:$OE42))</f>
        <v/>
      </c>
      <c r="Q42" s="34"/>
      <c r="R42" s="34" t="str" cm="1">
        <f t="array" ref="R42">IF($C42="","",SUMPRODUCT((TEXT($AE$5:$OE$5, "mmm")=LOWER(Q$3))*$AE42:$OE42))</f>
        <v/>
      </c>
      <c r="S42" s="34"/>
      <c r="T42" s="34" t="str" cm="1">
        <f t="array" ref="T42">IF($C42="","",SUMPRODUCT((TEXT($AE$5:$OE$5, "mmm")=LOWER(S$3))*$AE42:$OE42))</f>
        <v/>
      </c>
      <c r="U42" s="34"/>
      <c r="V42" s="34" t="str" cm="1">
        <f t="array" ref="V42">IF($C42="","",SUMPRODUCT((TEXT($AE$5:$OE$5, "mmm")=LOWER(U$3))*$AE42:$OE42))</f>
        <v/>
      </c>
      <c r="W42" s="34"/>
      <c r="X42" s="34" t="str" cm="1">
        <f t="array" ref="X42">IF($C42="","",SUMPRODUCT((TEXT($AE$5:$OE$5, "mmm")=LOWER(W$3))*$AE42:$OE42))</f>
        <v/>
      </c>
      <c r="Y42" s="34"/>
      <c r="Z42" s="34" t="str" cm="1">
        <f t="array" ref="Z42">IF($C42="","",SUMPRODUCT((TEXT($AE$5:$OE$5, "mmm")=LOWER(Y$3))*$AE42:$OE42))</f>
        <v/>
      </c>
      <c r="AA42" s="34"/>
      <c r="AB42" s="34" t="str" cm="1">
        <f t="array" ref="AB42">IF($C42="","",SUMPRODUCT((TEXT($AE$5:$OE$5, "mmm")=LOWER(AA$3))*$AE42:$OE42))</f>
        <v/>
      </c>
      <c r="AC42" s="34"/>
      <c r="AD42" s="34" t="str" cm="1">
        <f t="array" ref="AD42">IF($C42="","",SUMPRODUCT((TEXT($AE$5:$OE$5, "mmm")=LOWER(AC$3))*$AE42:$OE42))</f>
        <v/>
      </c>
      <c r="AE42" s="47"/>
      <c r="AF42" s="47"/>
      <c r="AG42" s="47"/>
      <c r="AH42" s="47"/>
      <c r="AI42" s="47"/>
      <c r="AJ42" s="47"/>
      <c r="AK42" s="47"/>
      <c r="AL42" s="47"/>
      <c r="AM42" s="47"/>
      <c r="AN42" s="47"/>
      <c r="AO42" s="47"/>
      <c r="AP42" s="47"/>
      <c r="AQ42" s="47"/>
      <c r="AR42" s="47"/>
      <c r="AS42" s="47"/>
      <c r="AT42" s="47"/>
      <c r="AU42" s="47"/>
      <c r="AV42" s="47"/>
      <c r="AW42" s="47"/>
      <c r="AX42" s="47"/>
      <c r="AY42" s="47"/>
      <c r="AZ42" s="47"/>
      <c r="BA42" s="47"/>
      <c r="BB42" s="47"/>
      <c r="BC42" s="47"/>
      <c r="BD42" s="47"/>
      <c r="BE42" s="47"/>
      <c r="BF42" s="47"/>
      <c r="BG42" s="47"/>
      <c r="BH42" s="47"/>
      <c r="BI42" s="47"/>
      <c r="BJ42" s="47"/>
      <c r="BK42" s="47"/>
      <c r="BL42" s="47"/>
      <c r="BM42" s="47"/>
      <c r="BN42" s="47"/>
      <c r="BO42" s="47"/>
      <c r="BP42" s="47"/>
      <c r="BQ42" s="47"/>
      <c r="BR42" s="47"/>
      <c r="BS42" s="47"/>
      <c r="BT42" s="47"/>
      <c r="BU42" s="47"/>
      <c r="BV42" s="47"/>
      <c r="BW42" s="47"/>
      <c r="BX42" s="47"/>
      <c r="BY42" s="47"/>
      <c r="BZ42" s="47"/>
      <c r="CA42" s="47"/>
      <c r="CB42" s="47"/>
      <c r="CC42" s="47"/>
      <c r="CD42" s="47"/>
      <c r="CE42" s="47"/>
      <c r="CF42" s="47"/>
      <c r="CG42" s="47"/>
      <c r="CH42" s="47"/>
      <c r="CI42" s="47"/>
      <c r="CJ42" s="47"/>
      <c r="CK42" s="47"/>
      <c r="CL42" s="47"/>
      <c r="CM42" s="47"/>
      <c r="CN42" s="47"/>
      <c r="CO42" s="47"/>
      <c r="CP42" s="47"/>
      <c r="CQ42" s="47"/>
      <c r="CR42" s="47"/>
      <c r="CS42" s="47"/>
      <c r="CT42" s="47"/>
      <c r="CU42" s="47"/>
      <c r="CV42" s="47"/>
      <c r="CW42" s="47"/>
      <c r="CX42" s="47"/>
      <c r="CY42" s="47"/>
      <c r="CZ42" s="47"/>
      <c r="DA42" s="47"/>
      <c r="DB42" s="47"/>
      <c r="DC42" s="47"/>
      <c r="DD42" s="47"/>
      <c r="DE42" s="47"/>
      <c r="DF42" s="47"/>
      <c r="DG42" s="47"/>
      <c r="DH42" s="47"/>
      <c r="DI42" s="47"/>
      <c r="DJ42" s="47"/>
      <c r="DK42" s="47"/>
      <c r="DL42" s="47"/>
      <c r="DM42" s="47"/>
      <c r="DN42" s="47"/>
      <c r="DO42" s="47"/>
      <c r="DP42" s="47"/>
      <c r="DQ42" s="47"/>
      <c r="DR42" s="47"/>
      <c r="DS42" s="47"/>
      <c r="DT42" s="47"/>
      <c r="DU42" s="47"/>
      <c r="DV42" s="47"/>
      <c r="DW42" s="47"/>
      <c r="DX42" s="47"/>
      <c r="DY42" s="47"/>
      <c r="DZ42" s="47"/>
      <c r="EA42" s="47"/>
      <c r="EB42" s="47"/>
      <c r="EC42" s="47"/>
      <c r="ED42" s="47"/>
      <c r="EE42" s="47"/>
      <c r="EF42" s="47"/>
      <c r="EG42" s="47"/>
      <c r="EH42" s="47"/>
      <c r="EI42" s="47"/>
      <c r="EJ42" s="47"/>
      <c r="EK42" s="47"/>
      <c r="EL42" s="47"/>
      <c r="EM42" s="47"/>
      <c r="EN42" s="47"/>
      <c r="EO42" s="47"/>
      <c r="EP42" s="47"/>
      <c r="EQ42" s="47"/>
      <c r="ER42" s="47"/>
      <c r="ES42" s="47"/>
      <c r="ET42" s="47"/>
      <c r="EU42" s="47"/>
      <c r="EV42" s="47"/>
      <c r="EW42" s="47"/>
      <c r="EX42" s="47"/>
      <c r="EY42" s="47"/>
      <c r="EZ42" s="47"/>
      <c r="FA42" s="47"/>
      <c r="FB42" s="47"/>
      <c r="FC42" s="47"/>
      <c r="FD42" s="47"/>
      <c r="FE42" s="47"/>
      <c r="FF42" s="47"/>
      <c r="FG42" s="47"/>
      <c r="FH42" s="47"/>
      <c r="FI42" s="47"/>
      <c r="FJ42" s="47"/>
      <c r="FK42" s="47"/>
      <c r="FL42" s="47"/>
      <c r="FM42" s="47"/>
      <c r="FN42" s="47"/>
      <c r="FO42" s="47"/>
      <c r="FP42" s="47"/>
      <c r="FQ42" s="47"/>
      <c r="FR42" s="47"/>
      <c r="FS42" s="47"/>
      <c r="FT42" s="47"/>
      <c r="FU42" s="47"/>
      <c r="FV42" s="47"/>
      <c r="FW42" s="47"/>
      <c r="FX42" s="47"/>
      <c r="FY42" s="47"/>
      <c r="FZ42" s="47"/>
      <c r="GA42" s="47"/>
      <c r="GB42" s="47"/>
      <c r="GC42" s="47"/>
      <c r="GD42" s="47"/>
      <c r="GE42" s="47"/>
      <c r="GF42" s="47"/>
      <c r="GG42" s="47"/>
      <c r="GH42" s="47"/>
      <c r="GI42" s="47"/>
      <c r="GJ42" s="47"/>
      <c r="GK42" s="47"/>
      <c r="GL42" s="47"/>
      <c r="GM42" s="47"/>
      <c r="GN42" s="47"/>
      <c r="GO42" s="47"/>
      <c r="GP42" s="47"/>
      <c r="GQ42" s="47"/>
      <c r="GR42" s="47"/>
      <c r="GS42" s="47"/>
      <c r="GT42" s="47"/>
      <c r="GU42" s="47"/>
      <c r="GV42" s="47"/>
      <c r="GW42" s="47"/>
      <c r="GX42" s="47"/>
      <c r="GY42" s="47"/>
      <c r="GZ42" s="47"/>
      <c r="HA42" s="47"/>
      <c r="HB42" s="47"/>
      <c r="HC42" s="47"/>
      <c r="HD42" s="47"/>
      <c r="HE42" s="47"/>
      <c r="HF42" s="47"/>
      <c r="HG42" s="47"/>
      <c r="HH42" s="47"/>
      <c r="HI42" s="47"/>
      <c r="HJ42" s="47"/>
      <c r="HK42" s="47"/>
      <c r="HL42" s="47"/>
      <c r="HM42" s="47"/>
      <c r="HN42" s="47"/>
      <c r="HO42" s="47"/>
      <c r="HP42" s="47"/>
      <c r="HQ42" s="47"/>
      <c r="HR42" s="47"/>
      <c r="HS42" s="47"/>
      <c r="HT42" s="47"/>
      <c r="HU42" s="47"/>
      <c r="HV42" s="47"/>
      <c r="HW42" s="47"/>
      <c r="HX42" s="47"/>
      <c r="HY42" s="47"/>
      <c r="HZ42" s="47"/>
      <c r="IA42" s="47"/>
      <c r="IB42" s="47"/>
      <c r="IC42" s="47"/>
      <c r="ID42" s="47"/>
      <c r="IE42" s="47"/>
      <c r="IF42" s="47"/>
      <c r="IG42" s="47"/>
      <c r="IH42" s="47"/>
      <c r="II42" s="47"/>
      <c r="IJ42" s="47"/>
      <c r="IK42" s="47"/>
      <c r="IL42" s="47"/>
      <c r="IM42" s="47"/>
      <c r="IN42" s="47"/>
      <c r="IO42" s="47"/>
      <c r="IP42" s="47"/>
      <c r="IQ42" s="47"/>
      <c r="IR42" s="47"/>
      <c r="IS42" s="47"/>
      <c r="IT42" s="47"/>
      <c r="IU42" s="47"/>
      <c r="IV42" s="47"/>
      <c r="IW42" s="47"/>
      <c r="IX42" s="47"/>
      <c r="IY42" s="47"/>
      <c r="IZ42" s="47"/>
      <c r="JA42" s="47"/>
      <c r="JB42" s="47"/>
      <c r="JC42" s="47"/>
      <c r="JD42" s="47"/>
      <c r="JE42" s="47"/>
      <c r="JF42" s="47"/>
      <c r="JG42" s="47"/>
      <c r="JH42" s="47"/>
      <c r="JI42" s="47"/>
      <c r="JJ42" s="47"/>
      <c r="JK42" s="47"/>
      <c r="JL42" s="47"/>
      <c r="JM42" s="47"/>
      <c r="JN42" s="47"/>
      <c r="JO42" s="47"/>
      <c r="JP42" s="47"/>
      <c r="JQ42" s="47"/>
      <c r="JR42" s="47"/>
      <c r="JS42" s="47"/>
      <c r="JT42" s="47"/>
      <c r="JU42" s="47"/>
      <c r="JV42" s="47"/>
      <c r="JW42" s="47"/>
      <c r="JX42" s="47"/>
      <c r="JY42" s="47"/>
      <c r="JZ42" s="47"/>
      <c r="KA42" s="47"/>
      <c r="KB42" s="47"/>
      <c r="KC42" s="47"/>
      <c r="KD42" s="47"/>
      <c r="KE42" s="47"/>
      <c r="KF42" s="47"/>
      <c r="KG42" s="47"/>
      <c r="KH42" s="47"/>
      <c r="KI42" s="47"/>
      <c r="KJ42" s="47"/>
      <c r="KK42" s="47"/>
      <c r="KL42" s="47"/>
      <c r="KM42" s="47"/>
      <c r="KN42" s="47"/>
      <c r="KO42" s="47"/>
      <c r="KP42" s="47"/>
      <c r="KQ42" s="47"/>
      <c r="KR42" s="47"/>
      <c r="KS42" s="47"/>
      <c r="KT42" s="47"/>
      <c r="KU42" s="47"/>
      <c r="KV42" s="47"/>
      <c r="KW42" s="47"/>
      <c r="KX42" s="47"/>
      <c r="KY42" s="47"/>
      <c r="KZ42" s="47"/>
      <c r="LA42" s="47"/>
      <c r="LB42" s="47"/>
      <c r="LC42" s="47"/>
      <c r="LD42" s="47"/>
      <c r="LE42" s="47"/>
      <c r="LF42" s="47"/>
      <c r="LG42" s="47"/>
      <c r="LH42" s="47"/>
      <c r="LI42" s="47"/>
      <c r="LJ42" s="47"/>
      <c r="LK42" s="47"/>
      <c r="LL42" s="47"/>
      <c r="LM42" s="47"/>
      <c r="LN42" s="47"/>
      <c r="LO42" s="47"/>
      <c r="LP42" s="47"/>
      <c r="LQ42" s="47"/>
      <c r="LR42" s="47"/>
      <c r="LS42" s="47"/>
      <c r="LT42" s="47"/>
      <c r="LU42" s="47"/>
      <c r="LV42" s="47"/>
      <c r="LW42" s="47"/>
      <c r="LX42" s="47"/>
      <c r="LY42" s="47"/>
      <c r="LZ42" s="47"/>
      <c r="MA42" s="47"/>
      <c r="MB42" s="47"/>
      <c r="MC42" s="47"/>
      <c r="MD42" s="47"/>
      <c r="ME42" s="47"/>
      <c r="MF42" s="47"/>
      <c r="MG42" s="47"/>
      <c r="MH42" s="47"/>
      <c r="MI42" s="47"/>
      <c r="MJ42" s="47"/>
      <c r="MK42" s="47"/>
      <c r="ML42" s="47"/>
      <c r="MM42" s="47"/>
      <c r="MN42" s="47"/>
      <c r="MO42" s="47"/>
      <c r="MP42" s="47"/>
      <c r="MQ42" s="47"/>
      <c r="MR42" s="47"/>
      <c r="MS42" s="47"/>
      <c r="MT42" s="47"/>
      <c r="MU42" s="47"/>
      <c r="MV42" s="47"/>
      <c r="MW42" s="47"/>
      <c r="MX42" s="47"/>
      <c r="MY42" s="47"/>
      <c r="MZ42" s="47"/>
      <c r="NA42" s="47"/>
      <c r="NB42" s="47"/>
      <c r="NC42" s="47"/>
      <c r="ND42" s="47"/>
      <c r="NE42" s="47"/>
      <c r="NF42" s="47"/>
      <c r="NG42" s="47"/>
      <c r="NH42" s="47"/>
      <c r="NI42" s="47"/>
      <c r="NJ42" s="47"/>
      <c r="NK42" s="47"/>
      <c r="NL42" s="47"/>
      <c r="NM42" s="47"/>
      <c r="NN42" s="47"/>
      <c r="NO42" s="47"/>
      <c r="NP42" s="47"/>
      <c r="NQ42" s="47"/>
      <c r="NR42" s="47"/>
      <c r="NS42" s="47"/>
      <c r="NT42" s="47"/>
      <c r="NU42" s="47"/>
      <c r="NV42" s="47"/>
      <c r="NW42" s="47"/>
      <c r="NX42" s="47"/>
      <c r="NY42" s="47"/>
      <c r="NZ42" s="47"/>
      <c r="OA42" s="47"/>
      <c r="OB42" s="47"/>
      <c r="OC42" s="47"/>
      <c r="OD42" s="47"/>
      <c r="OE42" s="48"/>
    </row>
    <row r="43" spans="1:395">
      <c r="A43" s="33" t="str">
        <f t="shared" si="16"/>
        <v/>
      </c>
      <c r="C43" s="2" t="str">
        <f>IF(ISBLANK($B43),"",_xlfn.XLOOKUP($B43,Task_No,Project!$C$3:$C$144,"INVALID TASK"))</f>
        <v/>
      </c>
      <c r="D43" s="27"/>
      <c r="E43" s="7" t="str">
        <f t="shared" si="18"/>
        <v/>
      </c>
      <c r="F43" s="7" t="str">
        <f t="shared" si="17"/>
        <v/>
      </c>
      <c r="G43" s="34"/>
      <c r="H43" s="34" t="str" cm="1">
        <f t="array" ref="H43">IF($C43="","",SUMPRODUCT((TEXT($AE$5:$OE$5, "mmm")=LOWER(G$3))*$AE43:$OE43))</f>
        <v/>
      </c>
      <c r="I43" s="34"/>
      <c r="J43" s="34" t="str" cm="1">
        <f t="array" ref="J43">IF($C43="","",SUMPRODUCT((TEXT($AE$5:$OE$5, "mmm")=LOWER(I$3))*$AE43:$OE43))</f>
        <v/>
      </c>
      <c r="K43" s="34"/>
      <c r="L43" s="34" t="str" cm="1">
        <f t="array" ref="L43">IF($C43="","",SUMPRODUCT((TEXT($AE$5:$OE$5, "mmm")=LOWER(K$3))*$AE43:$OE43))</f>
        <v/>
      </c>
      <c r="M43" s="34"/>
      <c r="N43" s="34" t="str" cm="1">
        <f t="array" ref="N43">IF($C43="","",SUMPRODUCT((TEXT($AE$5:$OE$5, "mmm")=LOWER(M$3))*$AE43:$OE43))</f>
        <v/>
      </c>
      <c r="O43" s="34"/>
      <c r="P43" s="34" t="str" cm="1">
        <f t="array" ref="P43">IF($C43="","",SUMPRODUCT((TEXT($AE$5:$OE$5, "mmm")=LOWER(O$3))*$AE43:$OE43))</f>
        <v/>
      </c>
      <c r="Q43" s="34"/>
      <c r="R43" s="34" t="str" cm="1">
        <f t="array" ref="R43">IF($C43="","",SUMPRODUCT((TEXT($AE$5:$OE$5, "mmm")=LOWER(Q$3))*$AE43:$OE43))</f>
        <v/>
      </c>
      <c r="S43" s="34"/>
      <c r="T43" s="34" t="str" cm="1">
        <f t="array" ref="T43">IF($C43="","",SUMPRODUCT((TEXT($AE$5:$OE$5, "mmm")=LOWER(S$3))*$AE43:$OE43))</f>
        <v/>
      </c>
      <c r="U43" s="34"/>
      <c r="V43" s="34" t="str" cm="1">
        <f t="array" ref="V43">IF($C43="","",SUMPRODUCT((TEXT($AE$5:$OE$5, "mmm")=LOWER(U$3))*$AE43:$OE43))</f>
        <v/>
      </c>
      <c r="W43" s="34"/>
      <c r="X43" s="34" t="str" cm="1">
        <f t="array" ref="X43">IF($C43="","",SUMPRODUCT((TEXT($AE$5:$OE$5, "mmm")=LOWER(W$3))*$AE43:$OE43))</f>
        <v/>
      </c>
      <c r="Y43" s="34"/>
      <c r="Z43" s="34" t="str" cm="1">
        <f t="array" ref="Z43">IF($C43="","",SUMPRODUCT((TEXT($AE$5:$OE$5, "mmm")=LOWER(Y$3))*$AE43:$OE43))</f>
        <v/>
      </c>
      <c r="AA43" s="34"/>
      <c r="AB43" s="34" t="str" cm="1">
        <f t="array" ref="AB43">IF($C43="","",SUMPRODUCT((TEXT($AE$5:$OE$5, "mmm")=LOWER(AA$3))*$AE43:$OE43))</f>
        <v/>
      </c>
      <c r="AC43" s="34"/>
      <c r="AD43" s="34" t="str" cm="1">
        <f t="array" ref="AD43">IF($C43="","",SUMPRODUCT((TEXT($AE$5:$OE$5, "mmm")=LOWER(AC$3))*$AE43:$OE43))</f>
        <v/>
      </c>
      <c r="AE43" s="47"/>
      <c r="AF43" s="47"/>
      <c r="AG43" s="47"/>
      <c r="AH43" s="47"/>
      <c r="AI43" s="47"/>
      <c r="AJ43" s="47"/>
      <c r="AK43" s="47"/>
      <c r="AL43" s="47"/>
      <c r="AM43" s="47"/>
      <c r="AN43" s="47"/>
      <c r="AO43" s="47"/>
      <c r="AP43" s="47"/>
      <c r="AQ43" s="47"/>
      <c r="AR43" s="47"/>
      <c r="AS43" s="47"/>
      <c r="AT43" s="47"/>
      <c r="AU43" s="47"/>
      <c r="AV43" s="47"/>
      <c r="AW43" s="47"/>
      <c r="AX43" s="47"/>
      <c r="AY43" s="47"/>
      <c r="AZ43" s="47"/>
      <c r="BA43" s="47"/>
      <c r="BB43" s="47"/>
      <c r="BC43" s="47"/>
      <c r="BD43" s="47"/>
      <c r="BE43" s="47"/>
      <c r="BF43" s="47"/>
      <c r="BG43" s="47"/>
      <c r="BH43" s="47"/>
      <c r="BI43" s="47"/>
      <c r="BJ43" s="47"/>
      <c r="BK43" s="47"/>
      <c r="BL43" s="47"/>
      <c r="BM43" s="47"/>
      <c r="BN43" s="47"/>
      <c r="BO43" s="47"/>
      <c r="BP43" s="47"/>
      <c r="BQ43" s="47"/>
      <c r="BR43" s="47"/>
      <c r="BS43" s="47"/>
      <c r="BT43" s="47"/>
      <c r="BU43" s="47"/>
      <c r="BV43" s="47"/>
      <c r="BW43" s="47"/>
      <c r="BX43" s="47"/>
      <c r="BY43" s="47"/>
      <c r="BZ43" s="47"/>
      <c r="CA43" s="47"/>
      <c r="CB43" s="47"/>
      <c r="CC43" s="47"/>
      <c r="CD43" s="47"/>
      <c r="CE43" s="47"/>
      <c r="CF43" s="47"/>
      <c r="CG43" s="47"/>
      <c r="CH43" s="47"/>
      <c r="CI43" s="47"/>
      <c r="CJ43" s="47"/>
      <c r="CK43" s="47"/>
      <c r="CL43" s="47"/>
      <c r="CM43" s="47"/>
      <c r="CN43" s="47"/>
      <c r="CO43" s="47"/>
      <c r="CP43" s="47"/>
      <c r="CQ43" s="47"/>
      <c r="CR43" s="47"/>
      <c r="CS43" s="47"/>
      <c r="CT43" s="47"/>
      <c r="CU43" s="47"/>
      <c r="CV43" s="47"/>
      <c r="CW43" s="47"/>
      <c r="CX43" s="47"/>
      <c r="CY43" s="47"/>
      <c r="CZ43" s="47"/>
      <c r="DA43" s="47"/>
      <c r="DB43" s="47"/>
      <c r="DC43" s="47"/>
      <c r="DD43" s="47"/>
      <c r="DE43" s="47"/>
      <c r="DF43" s="47"/>
      <c r="DG43" s="47"/>
      <c r="DH43" s="47"/>
      <c r="DI43" s="47"/>
      <c r="DJ43" s="47"/>
      <c r="DK43" s="47"/>
      <c r="DL43" s="47"/>
      <c r="DM43" s="47"/>
      <c r="DN43" s="47"/>
      <c r="DO43" s="47"/>
      <c r="DP43" s="47"/>
      <c r="DQ43" s="47"/>
      <c r="DR43" s="47"/>
      <c r="DS43" s="47"/>
      <c r="DT43" s="47"/>
      <c r="DU43" s="47"/>
      <c r="DV43" s="47"/>
      <c r="DW43" s="47"/>
      <c r="DX43" s="47"/>
      <c r="DY43" s="47"/>
      <c r="DZ43" s="47"/>
      <c r="EA43" s="47"/>
      <c r="EB43" s="47"/>
      <c r="EC43" s="47"/>
      <c r="ED43" s="47"/>
      <c r="EE43" s="47"/>
      <c r="EF43" s="47"/>
      <c r="EG43" s="47"/>
      <c r="EH43" s="47"/>
      <c r="EI43" s="47"/>
      <c r="EJ43" s="47"/>
      <c r="EK43" s="47"/>
      <c r="EL43" s="47"/>
      <c r="EM43" s="47"/>
      <c r="EN43" s="47"/>
      <c r="EO43" s="47"/>
      <c r="EP43" s="47"/>
      <c r="EQ43" s="47"/>
      <c r="ER43" s="47"/>
      <c r="ES43" s="47"/>
      <c r="ET43" s="47"/>
      <c r="EU43" s="47"/>
      <c r="EV43" s="47"/>
      <c r="EW43" s="47"/>
      <c r="EX43" s="47"/>
      <c r="EY43" s="47"/>
      <c r="EZ43" s="47"/>
      <c r="FA43" s="47"/>
      <c r="FB43" s="47"/>
      <c r="FC43" s="47"/>
      <c r="FD43" s="47"/>
      <c r="FE43" s="47"/>
      <c r="FF43" s="47"/>
      <c r="FG43" s="47"/>
      <c r="FH43" s="47"/>
      <c r="FI43" s="47"/>
      <c r="FJ43" s="47"/>
      <c r="FK43" s="47"/>
      <c r="FL43" s="47"/>
      <c r="FM43" s="47"/>
      <c r="FN43" s="47"/>
      <c r="FO43" s="47"/>
      <c r="FP43" s="47"/>
      <c r="FQ43" s="47"/>
      <c r="FR43" s="47"/>
      <c r="FS43" s="47"/>
      <c r="FT43" s="47"/>
      <c r="FU43" s="47"/>
      <c r="FV43" s="47"/>
      <c r="FW43" s="47"/>
      <c r="FX43" s="47"/>
      <c r="FY43" s="47"/>
      <c r="FZ43" s="47"/>
      <c r="GA43" s="47"/>
      <c r="GB43" s="47"/>
      <c r="GC43" s="47"/>
      <c r="GD43" s="47"/>
      <c r="GE43" s="47"/>
      <c r="GF43" s="47"/>
      <c r="GG43" s="47"/>
      <c r="GH43" s="47"/>
      <c r="GI43" s="47"/>
      <c r="GJ43" s="47"/>
      <c r="GK43" s="47"/>
      <c r="GL43" s="47"/>
      <c r="GM43" s="47"/>
      <c r="GN43" s="47"/>
      <c r="GO43" s="47"/>
      <c r="GP43" s="47"/>
      <c r="GQ43" s="47"/>
      <c r="GR43" s="47"/>
      <c r="GS43" s="47"/>
      <c r="GT43" s="47"/>
      <c r="GU43" s="47"/>
      <c r="GV43" s="47"/>
      <c r="GW43" s="47"/>
      <c r="GX43" s="47"/>
      <c r="GY43" s="47"/>
      <c r="GZ43" s="47"/>
      <c r="HA43" s="47"/>
      <c r="HB43" s="47"/>
      <c r="HC43" s="47"/>
      <c r="HD43" s="47"/>
      <c r="HE43" s="47"/>
      <c r="HF43" s="47"/>
      <c r="HG43" s="47"/>
      <c r="HH43" s="47"/>
      <c r="HI43" s="47"/>
      <c r="HJ43" s="47"/>
      <c r="HK43" s="47"/>
      <c r="HL43" s="47"/>
      <c r="HM43" s="47"/>
      <c r="HN43" s="47"/>
      <c r="HO43" s="47"/>
      <c r="HP43" s="47"/>
      <c r="HQ43" s="47"/>
      <c r="HR43" s="47"/>
      <c r="HS43" s="47"/>
      <c r="HT43" s="47"/>
      <c r="HU43" s="47"/>
      <c r="HV43" s="47"/>
      <c r="HW43" s="47"/>
      <c r="HX43" s="47"/>
      <c r="HY43" s="47"/>
      <c r="HZ43" s="47"/>
      <c r="IA43" s="47"/>
      <c r="IB43" s="47"/>
      <c r="IC43" s="47"/>
      <c r="ID43" s="47"/>
      <c r="IE43" s="47"/>
      <c r="IF43" s="47"/>
      <c r="IG43" s="47"/>
      <c r="IH43" s="47"/>
      <c r="II43" s="47"/>
      <c r="IJ43" s="47"/>
      <c r="IK43" s="47"/>
      <c r="IL43" s="47"/>
      <c r="IM43" s="47"/>
      <c r="IN43" s="47"/>
      <c r="IO43" s="47"/>
      <c r="IP43" s="47"/>
      <c r="IQ43" s="47"/>
      <c r="IR43" s="47"/>
      <c r="IS43" s="47"/>
      <c r="IT43" s="47"/>
      <c r="IU43" s="47"/>
      <c r="IV43" s="47"/>
      <c r="IW43" s="47"/>
      <c r="IX43" s="47"/>
      <c r="IY43" s="47"/>
      <c r="IZ43" s="47"/>
      <c r="JA43" s="47"/>
      <c r="JB43" s="47"/>
      <c r="JC43" s="47"/>
      <c r="JD43" s="47"/>
      <c r="JE43" s="47"/>
      <c r="JF43" s="47"/>
      <c r="JG43" s="47"/>
      <c r="JH43" s="47"/>
      <c r="JI43" s="47"/>
      <c r="JJ43" s="47"/>
      <c r="JK43" s="47"/>
      <c r="JL43" s="47"/>
      <c r="JM43" s="47"/>
      <c r="JN43" s="47"/>
      <c r="JO43" s="47"/>
      <c r="JP43" s="47"/>
      <c r="JQ43" s="47"/>
      <c r="JR43" s="47"/>
      <c r="JS43" s="47"/>
      <c r="JT43" s="47"/>
      <c r="JU43" s="47"/>
      <c r="JV43" s="47"/>
      <c r="JW43" s="47"/>
      <c r="JX43" s="47"/>
      <c r="JY43" s="47"/>
      <c r="JZ43" s="47"/>
      <c r="KA43" s="47"/>
      <c r="KB43" s="47"/>
      <c r="KC43" s="47"/>
      <c r="KD43" s="47"/>
      <c r="KE43" s="47"/>
      <c r="KF43" s="47"/>
      <c r="KG43" s="47"/>
      <c r="KH43" s="47"/>
      <c r="KI43" s="47"/>
      <c r="KJ43" s="47"/>
      <c r="KK43" s="47"/>
      <c r="KL43" s="47"/>
      <c r="KM43" s="47"/>
      <c r="KN43" s="47"/>
      <c r="KO43" s="47"/>
      <c r="KP43" s="47"/>
      <c r="KQ43" s="47"/>
      <c r="KR43" s="47"/>
      <c r="KS43" s="47"/>
      <c r="KT43" s="47"/>
      <c r="KU43" s="47"/>
      <c r="KV43" s="47"/>
      <c r="KW43" s="47"/>
      <c r="KX43" s="47"/>
      <c r="KY43" s="47"/>
      <c r="KZ43" s="47"/>
      <c r="LA43" s="47"/>
      <c r="LB43" s="47"/>
      <c r="LC43" s="47"/>
      <c r="LD43" s="47"/>
      <c r="LE43" s="47"/>
      <c r="LF43" s="47"/>
      <c r="LG43" s="47"/>
      <c r="LH43" s="47"/>
      <c r="LI43" s="47"/>
      <c r="LJ43" s="47"/>
      <c r="LK43" s="47"/>
      <c r="LL43" s="47"/>
      <c r="LM43" s="47"/>
      <c r="LN43" s="47"/>
      <c r="LO43" s="47"/>
      <c r="LP43" s="47"/>
      <c r="LQ43" s="47"/>
      <c r="LR43" s="47"/>
      <c r="LS43" s="47"/>
      <c r="LT43" s="47"/>
      <c r="LU43" s="47"/>
      <c r="LV43" s="47"/>
      <c r="LW43" s="47"/>
      <c r="LX43" s="47"/>
      <c r="LY43" s="47"/>
      <c r="LZ43" s="47"/>
      <c r="MA43" s="47"/>
      <c r="MB43" s="47"/>
      <c r="MC43" s="47"/>
      <c r="MD43" s="47"/>
      <c r="ME43" s="47"/>
      <c r="MF43" s="47"/>
      <c r="MG43" s="47"/>
      <c r="MH43" s="47"/>
      <c r="MI43" s="47"/>
      <c r="MJ43" s="47"/>
      <c r="MK43" s="47"/>
      <c r="ML43" s="47"/>
      <c r="MM43" s="47"/>
      <c r="MN43" s="47"/>
      <c r="MO43" s="47"/>
      <c r="MP43" s="47"/>
      <c r="MQ43" s="47"/>
      <c r="MR43" s="47"/>
      <c r="MS43" s="47"/>
      <c r="MT43" s="47"/>
      <c r="MU43" s="47"/>
      <c r="MV43" s="47"/>
      <c r="MW43" s="47"/>
      <c r="MX43" s="47"/>
      <c r="MY43" s="47"/>
      <c r="MZ43" s="47"/>
      <c r="NA43" s="47"/>
      <c r="NB43" s="47"/>
      <c r="NC43" s="47"/>
      <c r="ND43" s="47"/>
      <c r="NE43" s="47"/>
      <c r="NF43" s="47"/>
      <c r="NG43" s="47"/>
      <c r="NH43" s="47"/>
      <c r="NI43" s="47"/>
      <c r="NJ43" s="47"/>
      <c r="NK43" s="47"/>
      <c r="NL43" s="47"/>
      <c r="NM43" s="47"/>
      <c r="NN43" s="47"/>
      <c r="NO43" s="47"/>
      <c r="NP43" s="47"/>
      <c r="NQ43" s="47"/>
      <c r="NR43" s="47"/>
      <c r="NS43" s="47"/>
      <c r="NT43" s="47"/>
      <c r="NU43" s="47"/>
      <c r="NV43" s="47"/>
      <c r="NW43" s="47"/>
      <c r="NX43" s="47"/>
      <c r="NY43" s="47"/>
      <c r="NZ43" s="47"/>
      <c r="OA43" s="47"/>
      <c r="OB43" s="47"/>
      <c r="OC43" s="47"/>
      <c r="OD43" s="47"/>
      <c r="OE43" s="48"/>
    </row>
    <row r="44" spans="1:395">
      <c r="A44" s="33" t="str">
        <f t="shared" si="16"/>
        <v/>
      </c>
      <c r="C44" s="2" t="str">
        <f>IF(ISBLANK($B44),"",_xlfn.XLOOKUP($B44,Task_No,Project!$C$3:$C$144,"INVALID TASK"))</f>
        <v/>
      </c>
      <c r="D44" s="27"/>
      <c r="E44" s="7" t="str">
        <f t="shared" si="18"/>
        <v/>
      </c>
      <c r="F44" s="7" t="str">
        <f t="shared" si="17"/>
        <v/>
      </c>
      <c r="G44" s="34"/>
      <c r="H44" s="34" t="str" cm="1">
        <f t="array" ref="H44">IF($C44="","",SUMPRODUCT((TEXT($AE$5:$OE$5, "mmm")=LOWER(G$3))*$AE44:$OE44))</f>
        <v/>
      </c>
      <c r="I44" s="34"/>
      <c r="J44" s="34" t="str" cm="1">
        <f t="array" ref="J44">IF($C44="","",SUMPRODUCT((TEXT($AE$5:$OE$5, "mmm")=LOWER(I$3))*$AE44:$OE44))</f>
        <v/>
      </c>
      <c r="K44" s="34"/>
      <c r="L44" s="34" t="str" cm="1">
        <f t="array" ref="L44">IF($C44="","",SUMPRODUCT((TEXT($AE$5:$OE$5, "mmm")=LOWER(K$3))*$AE44:$OE44))</f>
        <v/>
      </c>
      <c r="M44" s="34"/>
      <c r="N44" s="34" t="str" cm="1">
        <f t="array" ref="N44">IF($C44="","",SUMPRODUCT((TEXT($AE$5:$OE$5, "mmm")=LOWER(M$3))*$AE44:$OE44))</f>
        <v/>
      </c>
      <c r="O44" s="34"/>
      <c r="P44" s="34" t="str" cm="1">
        <f t="array" ref="P44">IF($C44="","",SUMPRODUCT((TEXT($AE$5:$OE$5, "mmm")=LOWER(O$3))*$AE44:$OE44))</f>
        <v/>
      </c>
      <c r="Q44" s="34"/>
      <c r="R44" s="34" t="str" cm="1">
        <f t="array" ref="R44">IF($C44="","",SUMPRODUCT((TEXT($AE$5:$OE$5, "mmm")=LOWER(Q$3))*$AE44:$OE44))</f>
        <v/>
      </c>
      <c r="S44" s="34"/>
      <c r="T44" s="34" t="str" cm="1">
        <f t="array" ref="T44">IF($C44="","",SUMPRODUCT((TEXT($AE$5:$OE$5, "mmm")=LOWER(S$3))*$AE44:$OE44))</f>
        <v/>
      </c>
      <c r="U44" s="34"/>
      <c r="V44" s="34" t="str" cm="1">
        <f t="array" ref="V44">IF($C44="","",SUMPRODUCT((TEXT($AE$5:$OE$5, "mmm")=LOWER(U$3))*$AE44:$OE44))</f>
        <v/>
      </c>
      <c r="W44" s="34"/>
      <c r="X44" s="34" t="str" cm="1">
        <f t="array" ref="X44">IF($C44="","",SUMPRODUCT((TEXT($AE$5:$OE$5, "mmm")=LOWER(W$3))*$AE44:$OE44))</f>
        <v/>
      </c>
      <c r="Y44" s="34"/>
      <c r="Z44" s="34" t="str" cm="1">
        <f t="array" ref="Z44">IF($C44="","",SUMPRODUCT((TEXT($AE$5:$OE$5, "mmm")=LOWER(Y$3))*$AE44:$OE44))</f>
        <v/>
      </c>
      <c r="AA44" s="34"/>
      <c r="AB44" s="34" t="str" cm="1">
        <f t="array" ref="AB44">IF($C44="","",SUMPRODUCT((TEXT($AE$5:$OE$5, "mmm")=LOWER(AA$3))*$AE44:$OE44))</f>
        <v/>
      </c>
      <c r="AC44" s="34"/>
      <c r="AD44" s="34" t="str" cm="1">
        <f t="array" ref="AD44">IF($C44="","",SUMPRODUCT((TEXT($AE$5:$OE$5, "mmm")=LOWER(AC$3))*$AE44:$OE44))</f>
        <v/>
      </c>
      <c r="AE44" s="47"/>
      <c r="AF44" s="47"/>
      <c r="AG44" s="47"/>
      <c r="AH44" s="47"/>
      <c r="AI44" s="47"/>
      <c r="AJ44" s="47"/>
      <c r="AK44" s="47"/>
      <c r="AL44" s="47"/>
      <c r="AM44" s="47"/>
      <c r="AN44" s="47"/>
      <c r="AO44" s="47"/>
      <c r="AP44" s="47"/>
      <c r="AQ44" s="47"/>
      <c r="AR44" s="47"/>
      <c r="AS44" s="47"/>
      <c r="AT44" s="47"/>
      <c r="AU44" s="47"/>
      <c r="AV44" s="47"/>
      <c r="AW44" s="47"/>
      <c r="AX44" s="47"/>
      <c r="AY44" s="47"/>
      <c r="AZ44" s="47"/>
      <c r="BA44" s="47"/>
      <c r="BB44" s="47"/>
      <c r="BC44" s="47"/>
      <c r="BD44" s="47"/>
      <c r="BE44" s="47"/>
      <c r="BF44" s="47"/>
      <c r="BG44" s="47"/>
      <c r="BH44" s="47"/>
      <c r="BI44" s="47"/>
      <c r="BJ44" s="47"/>
      <c r="BK44" s="47"/>
      <c r="BL44" s="47"/>
      <c r="BM44" s="47"/>
      <c r="BN44" s="47"/>
      <c r="BO44" s="47"/>
      <c r="BP44" s="47"/>
      <c r="BQ44" s="47"/>
      <c r="BR44" s="47"/>
      <c r="BS44" s="47"/>
      <c r="BT44" s="47"/>
      <c r="BU44" s="47"/>
      <c r="BV44" s="47"/>
      <c r="BW44" s="47"/>
      <c r="BX44" s="47"/>
      <c r="BY44" s="47"/>
      <c r="BZ44" s="47"/>
      <c r="CA44" s="47"/>
      <c r="CB44" s="47"/>
      <c r="CC44" s="47"/>
      <c r="CD44" s="47"/>
      <c r="CE44" s="47"/>
      <c r="CF44" s="47"/>
      <c r="CG44" s="47"/>
      <c r="CH44" s="47"/>
      <c r="CI44" s="47"/>
      <c r="CJ44" s="47"/>
      <c r="CK44" s="47"/>
      <c r="CL44" s="47"/>
      <c r="CM44" s="47"/>
      <c r="CN44" s="47"/>
      <c r="CO44" s="47"/>
      <c r="CP44" s="47"/>
      <c r="CQ44" s="47"/>
      <c r="CR44" s="47"/>
      <c r="CS44" s="47"/>
      <c r="CT44" s="47"/>
      <c r="CU44" s="47"/>
      <c r="CV44" s="47"/>
      <c r="CW44" s="47"/>
      <c r="CX44" s="47"/>
      <c r="CY44" s="47"/>
      <c r="CZ44" s="47"/>
      <c r="DA44" s="47"/>
      <c r="DB44" s="47"/>
      <c r="DC44" s="47"/>
      <c r="DD44" s="47"/>
      <c r="DE44" s="47"/>
      <c r="DF44" s="47"/>
      <c r="DG44" s="47"/>
      <c r="DH44" s="47"/>
      <c r="DI44" s="47"/>
      <c r="DJ44" s="47"/>
      <c r="DK44" s="47"/>
      <c r="DL44" s="47"/>
      <c r="DM44" s="47"/>
      <c r="DN44" s="47"/>
      <c r="DO44" s="47"/>
      <c r="DP44" s="47"/>
      <c r="DQ44" s="47"/>
      <c r="DR44" s="47"/>
      <c r="DS44" s="47"/>
      <c r="DT44" s="47"/>
      <c r="DU44" s="47"/>
      <c r="DV44" s="47"/>
      <c r="DW44" s="47"/>
      <c r="DX44" s="47"/>
      <c r="DY44" s="47"/>
      <c r="DZ44" s="47"/>
      <c r="EA44" s="47"/>
      <c r="EB44" s="47"/>
      <c r="EC44" s="47"/>
      <c r="ED44" s="47"/>
      <c r="EE44" s="47"/>
      <c r="EF44" s="47"/>
      <c r="EG44" s="47"/>
      <c r="EH44" s="47"/>
      <c r="EI44" s="47"/>
      <c r="EJ44" s="47"/>
      <c r="EK44" s="47"/>
      <c r="EL44" s="47"/>
      <c r="EM44" s="47"/>
      <c r="EN44" s="47"/>
      <c r="EO44" s="47"/>
      <c r="EP44" s="47"/>
      <c r="EQ44" s="47"/>
      <c r="ER44" s="47"/>
      <c r="ES44" s="47"/>
      <c r="ET44" s="47"/>
      <c r="EU44" s="47"/>
      <c r="EV44" s="47"/>
      <c r="EW44" s="47"/>
      <c r="EX44" s="47"/>
      <c r="EY44" s="47"/>
      <c r="EZ44" s="47"/>
      <c r="FA44" s="47"/>
      <c r="FB44" s="47"/>
      <c r="FC44" s="47"/>
      <c r="FD44" s="47"/>
      <c r="FE44" s="47"/>
      <c r="FF44" s="47"/>
      <c r="FG44" s="47"/>
      <c r="FH44" s="47"/>
      <c r="FI44" s="47"/>
      <c r="FJ44" s="47"/>
      <c r="FK44" s="47"/>
      <c r="FL44" s="47"/>
      <c r="FM44" s="47"/>
      <c r="FN44" s="47"/>
      <c r="FO44" s="47"/>
      <c r="FP44" s="47"/>
      <c r="FQ44" s="47"/>
      <c r="FR44" s="47"/>
      <c r="FS44" s="47"/>
      <c r="FT44" s="47"/>
      <c r="FU44" s="47"/>
      <c r="FV44" s="47"/>
      <c r="FW44" s="47"/>
      <c r="FX44" s="47"/>
      <c r="FY44" s="47"/>
      <c r="FZ44" s="47"/>
      <c r="GA44" s="47"/>
      <c r="GB44" s="47"/>
      <c r="GC44" s="47"/>
      <c r="GD44" s="47"/>
      <c r="GE44" s="47"/>
      <c r="GF44" s="47"/>
      <c r="GG44" s="47"/>
      <c r="GH44" s="47"/>
      <c r="GI44" s="47"/>
      <c r="GJ44" s="47"/>
      <c r="GK44" s="47"/>
      <c r="GL44" s="47"/>
      <c r="GM44" s="47"/>
      <c r="GN44" s="47"/>
      <c r="GO44" s="47"/>
      <c r="GP44" s="47"/>
      <c r="GQ44" s="47"/>
      <c r="GR44" s="47"/>
      <c r="GS44" s="47"/>
      <c r="GT44" s="47"/>
      <c r="GU44" s="47"/>
      <c r="GV44" s="47"/>
      <c r="GW44" s="47"/>
      <c r="GX44" s="47"/>
      <c r="GY44" s="47"/>
      <c r="GZ44" s="47"/>
      <c r="HA44" s="47"/>
      <c r="HB44" s="47"/>
      <c r="HC44" s="47"/>
      <c r="HD44" s="47"/>
      <c r="HE44" s="47"/>
      <c r="HF44" s="47"/>
      <c r="HG44" s="47"/>
      <c r="HH44" s="47"/>
      <c r="HI44" s="47"/>
      <c r="HJ44" s="47"/>
      <c r="HK44" s="47"/>
      <c r="HL44" s="47"/>
      <c r="HM44" s="47"/>
      <c r="HN44" s="47"/>
      <c r="HO44" s="47"/>
      <c r="HP44" s="47"/>
      <c r="HQ44" s="47"/>
      <c r="HR44" s="47"/>
      <c r="HS44" s="47"/>
      <c r="HT44" s="47"/>
      <c r="HU44" s="47"/>
      <c r="HV44" s="47"/>
      <c r="HW44" s="47"/>
      <c r="HX44" s="47"/>
      <c r="HY44" s="47"/>
      <c r="HZ44" s="47"/>
      <c r="IA44" s="47"/>
      <c r="IB44" s="47"/>
      <c r="IC44" s="47"/>
      <c r="ID44" s="47"/>
      <c r="IE44" s="47"/>
      <c r="IF44" s="47"/>
      <c r="IG44" s="47"/>
      <c r="IH44" s="47"/>
      <c r="II44" s="47"/>
      <c r="IJ44" s="47"/>
      <c r="IK44" s="47"/>
      <c r="IL44" s="47"/>
      <c r="IM44" s="47"/>
      <c r="IN44" s="47"/>
      <c r="IO44" s="47"/>
      <c r="IP44" s="47"/>
      <c r="IQ44" s="47"/>
      <c r="IR44" s="47"/>
      <c r="IS44" s="47"/>
      <c r="IT44" s="47"/>
      <c r="IU44" s="47"/>
      <c r="IV44" s="47"/>
      <c r="IW44" s="47"/>
      <c r="IX44" s="47"/>
      <c r="IY44" s="47"/>
      <c r="IZ44" s="47"/>
      <c r="JA44" s="47"/>
      <c r="JB44" s="47"/>
      <c r="JC44" s="47"/>
      <c r="JD44" s="47"/>
      <c r="JE44" s="47"/>
      <c r="JF44" s="47"/>
      <c r="JG44" s="47"/>
      <c r="JH44" s="47"/>
      <c r="JI44" s="47"/>
      <c r="JJ44" s="47"/>
      <c r="JK44" s="47"/>
      <c r="JL44" s="47"/>
      <c r="JM44" s="47"/>
      <c r="JN44" s="47"/>
      <c r="JO44" s="47"/>
      <c r="JP44" s="47"/>
      <c r="JQ44" s="47"/>
      <c r="JR44" s="47"/>
      <c r="JS44" s="47"/>
      <c r="JT44" s="47"/>
      <c r="JU44" s="47"/>
      <c r="JV44" s="47"/>
      <c r="JW44" s="47"/>
      <c r="JX44" s="47"/>
      <c r="JY44" s="47"/>
      <c r="JZ44" s="47"/>
      <c r="KA44" s="47"/>
      <c r="KB44" s="47"/>
      <c r="KC44" s="47"/>
      <c r="KD44" s="47"/>
      <c r="KE44" s="47"/>
      <c r="KF44" s="47"/>
      <c r="KG44" s="47"/>
      <c r="KH44" s="47"/>
      <c r="KI44" s="47"/>
      <c r="KJ44" s="47"/>
      <c r="KK44" s="47"/>
      <c r="KL44" s="47"/>
      <c r="KM44" s="47"/>
      <c r="KN44" s="47"/>
      <c r="KO44" s="47"/>
      <c r="KP44" s="47"/>
      <c r="KQ44" s="47"/>
      <c r="KR44" s="47"/>
      <c r="KS44" s="47"/>
      <c r="KT44" s="47"/>
      <c r="KU44" s="47"/>
      <c r="KV44" s="47"/>
      <c r="KW44" s="47"/>
      <c r="KX44" s="47"/>
      <c r="KY44" s="47"/>
      <c r="KZ44" s="47"/>
      <c r="LA44" s="47"/>
      <c r="LB44" s="47"/>
      <c r="LC44" s="47"/>
      <c r="LD44" s="47"/>
      <c r="LE44" s="47"/>
      <c r="LF44" s="47"/>
      <c r="LG44" s="47"/>
      <c r="LH44" s="47"/>
      <c r="LI44" s="47"/>
      <c r="LJ44" s="47"/>
      <c r="LK44" s="47"/>
      <c r="LL44" s="47"/>
      <c r="LM44" s="47"/>
      <c r="LN44" s="47"/>
      <c r="LO44" s="47"/>
      <c r="LP44" s="47"/>
      <c r="LQ44" s="47"/>
      <c r="LR44" s="47"/>
      <c r="LS44" s="47"/>
      <c r="LT44" s="47"/>
      <c r="LU44" s="47"/>
      <c r="LV44" s="47"/>
      <c r="LW44" s="47"/>
      <c r="LX44" s="47"/>
      <c r="LY44" s="47"/>
      <c r="LZ44" s="47"/>
      <c r="MA44" s="47"/>
      <c r="MB44" s="47"/>
      <c r="MC44" s="47"/>
      <c r="MD44" s="47"/>
      <c r="ME44" s="47"/>
      <c r="MF44" s="47"/>
      <c r="MG44" s="47"/>
      <c r="MH44" s="47"/>
      <c r="MI44" s="47"/>
      <c r="MJ44" s="47"/>
      <c r="MK44" s="47"/>
      <c r="ML44" s="47"/>
      <c r="MM44" s="47"/>
      <c r="MN44" s="47"/>
      <c r="MO44" s="47"/>
      <c r="MP44" s="47"/>
      <c r="MQ44" s="47"/>
      <c r="MR44" s="47"/>
      <c r="MS44" s="47"/>
      <c r="MT44" s="47"/>
      <c r="MU44" s="47"/>
      <c r="MV44" s="47"/>
      <c r="MW44" s="47"/>
      <c r="MX44" s="47"/>
      <c r="MY44" s="47"/>
      <c r="MZ44" s="47"/>
      <c r="NA44" s="47"/>
      <c r="NB44" s="47"/>
      <c r="NC44" s="47"/>
      <c r="ND44" s="47"/>
      <c r="NE44" s="47"/>
      <c r="NF44" s="47"/>
      <c r="NG44" s="47"/>
      <c r="NH44" s="47"/>
      <c r="NI44" s="47"/>
      <c r="NJ44" s="47"/>
      <c r="NK44" s="47"/>
      <c r="NL44" s="47"/>
      <c r="NM44" s="47"/>
      <c r="NN44" s="47"/>
      <c r="NO44" s="47"/>
      <c r="NP44" s="47"/>
      <c r="NQ44" s="47"/>
      <c r="NR44" s="47"/>
      <c r="NS44" s="47"/>
      <c r="NT44" s="47"/>
      <c r="NU44" s="47"/>
      <c r="NV44" s="47"/>
      <c r="NW44" s="47"/>
      <c r="NX44" s="47"/>
      <c r="NY44" s="47"/>
      <c r="NZ44" s="47"/>
      <c r="OA44" s="47"/>
      <c r="OB44" s="47"/>
      <c r="OC44" s="47"/>
      <c r="OD44" s="47"/>
      <c r="OE44" s="48"/>
    </row>
    <row r="45" spans="1:395">
      <c r="A45" s="33" t="str">
        <f t="shared" si="16"/>
        <v/>
      </c>
      <c r="C45" s="2" t="str">
        <f>IF(ISBLANK($B45),"",_xlfn.XLOOKUP($B45,Task_No,Project!$C$3:$C$144,"INVALID TASK"))</f>
        <v/>
      </c>
      <c r="D45" s="27"/>
      <c r="E45" s="7" t="str">
        <f t="shared" si="18"/>
        <v/>
      </c>
      <c r="F45" s="7" t="str">
        <f t="shared" si="17"/>
        <v/>
      </c>
      <c r="G45" s="34"/>
      <c r="H45" s="34" t="str" cm="1">
        <f t="array" ref="H45">IF($C45="","",SUMPRODUCT((TEXT($AE$5:$OE$5, "mmm")=LOWER(G$3))*$AE45:$OE45))</f>
        <v/>
      </c>
      <c r="I45" s="34"/>
      <c r="J45" s="34" t="str" cm="1">
        <f t="array" ref="J45">IF($C45="","",SUMPRODUCT((TEXT($AE$5:$OE$5, "mmm")=LOWER(I$3))*$AE45:$OE45))</f>
        <v/>
      </c>
      <c r="K45" s="34"/>
      <c r="L45" s="34" t="str" cm="1">
        <f t="array" ref="L45">IF($C45="","",SUMPRODUCT((TEXT($AE$5:$OE$5, "mmm")=LOWER(K$3))*$AE45:$OE45))</f>
        <v/>
      </c>
      <c r="M45" s="34"/>
      <c r="N45" s="34" t="str" cm="1">
        <f t="array" ref="N45">IF($C45="","",SUMPRODUCT((TEXT($AE$5:$OE$5, "mmm")=LOWER(M$3))*$AE45:$OE45))</f>
        <v/>
      </c>
      <c r="O45" s="34"/>
      <c r="P45" s="34" t="str" cm="1">
        <f t="array" ref="P45">IF($C45="","",SUMPRODUCT((TEXT($AE$5:$OE$5, "mmm")=LOWER(O$3))*$AE45:$OE45))</f>
        <v/>
      </c>
      <c r="Q45" s="34"/>
      <c r="R45" s="34" t="str" cm="1">
        <f t="array" ref="R45">IF($C45="","",SUMPRODUCT((TEXT($AE$5:$OE$5, "mmm")=LOWER(Q$3))*$AE45:$OE45))</f>
        <v/>
      </c>
      <c r="S45" s="34"/>
      <c r="T45" s="34" t="str" cm="1">
        <f t="array" ref="T45">IF($C45="","",SUMPRODUCT((TEXT($AE$5:$OE$5, "mmm")=LOWER(S$3))*$AE45:$OE45))</f>
        <v/>
      </c>
      <c r="U45" s="34"/>
      <c r="V45" s="34" t="str" cm="1">
        <f t="array" ref="V45">IF($C45="","",SUMPRODUCT((TEXT($AE$5:$OE$5, "mmm")=LOWER(U$3))*$AE45:$OE45))</f>
        <v/>
      </c>
      <c r="W45" s="34"/>
      <c r="X45" s="34" t="str" cm="1">
        <f t="array" ref="X45">IF($C45="","",SUMPRODUCT((TEXT($AE$5:$OE$5, "mmm")=LOWER(W$3))*$AE45:$OE45))</f>
        <v/>
      </c>
      <c r="Y45" s="34"/>
      <c r="Z45" s="34" t="str" cm="1">
        <f t="array" ref="Z45">IF($C45="","",SUMPRODUCT((TEXT($AE$5:$OE$5, "mmm")=LOWER(Y$3))*$AE45:$OE45))</f>
        <v/>
      </c>
      <c r="AA45" s="34"/>
      <c r="AB45" s="34" t="str" cm="1">
        <f t="array" ref="AB45">IF($C45="","",SUMPRODUCT((TEXT($AE$5:$OE$5, "mmm")=LOWER(AA$3))*$AE45:$OE45))</f>
        <v/>
      </c>
      <c r="AC45" s="34"/>
      <c r="AD45" s="34" t="str" cm="1">
        <f t="array" ref="AD45">IF($C45="","",SUMPRODUCT((TEXT($AE$5:$OE$5, "mmm")=LOWER(AC$3))*$AE45:$OE45))</f>
        <v/>
      </c>
      <c r="AE45" s="47"/>
      <c r="AF45" s="47"/>
      <c r="AG45" s="47"/>
      <c r="AH45" s="47"/>
      <c r="AI45" s="47"/>
      <c r="AJ45" s="47"/>
      <c r="AK45" s="47"/>
      <c r="AL45" s="47"/>
      <c r="AM45" s="47"/>
      <c r="AN45" s="47"/>
      <c r="AO45" s="47"/>
      <c r="AP45" s="47"/>
      <c r="AQ45" s="47"/>
      <c r="AR45" s="47"/>
      <c r="AS45" s="47"/>
      <c r="AT45" s="47"/>
      <c r="AU45" s="47"/>
      <c r="AV45" s="47"/>
      <c r="AW45" s="47"/>
      <c r="AX45" s="47"/>
      <c r="AY45" s="47"/>
      <c r="AZ45" s="47"/>
      <c r="BA45" s="47"/>
      <c r="BB45" s="47"/>
      <c r="BC45" s="47"/>
      <c r="BD45" s="47"/>
      <c r="BE45" s="47"/>
      <c r="BF45" s="47"/>
      <c r="BG45" s="47"/>
      <c r="BH45" s="47"/>
      <c r="BI45" s="47"/>
      <c r="BJ45" s="47"/>
      <c r="BK45" s="47"/>
      <c r="BL45" s="47"/>
      <c r="BM45" s="47"/>
      <c r="BN45" s="47"/>
      <c r="BO45" s="47"/>
      <c r="BP45" s="47"/>
      <c r="BQ45" s="47"/>
      <c r="BR45" s="47"/>
      <c r="BS45" s="47"/>
      <c r="BT45" s="47"/>
      <c r="BU45" s="47"/>
      <c r="BV45" s="47"/>
      <c r="BW45" s="47"/>
      <c r="BX45" s="47"/>
      <c r="BY45" s="47"/>
      <c r="BZ45" s="47"/>
      <c r="CA45" s="47"/>
      <c r="CB45" s="47"/>
      <c r="CC45" s="47"/>
      <c r="CD45" s="47"/>
      <c r="CE45" s="47"/>
      <c r="CF45" s="47"/>
      <c r="CG45" s="47"/>
      <c r="CH45" s="47"/>
      <c r="CI45" s="47"/>
      <c r="CJ45" s="47"/>
      <c r="CK45" s="47"/>
      <c r="CL45" s="47"/>
      <c r="CM45" s="47"/>
      <c r="CN45" s="47"/>
      <c r="CO45" s="47"/>
      <c r="CP45" s="47"/>
      <c r="CQ45" s="47"/>
      <c r="CR45" s="47"/>
      <c r="CS45" s="47"/>
      <c r="CT45" s="47"/>
      <c r="CU45" s="47"/>
      <c r="CV45" s="47"/>
      <c r="CW45" s="47"/>
      <c r="CX45" s="47"/>
      <c r="CY45" s="47"/>
      <c r="CZ45" s="47"/>
      <c r="DA45" s="47"/>
      <c r="DB45" s="47"/>
      <c r="DC45" s="47"/>
      <c r="DD45" s="47"/>
      <c r="DE45" s="47"/>
      <c r="DF45" s="47"/>
      <c r="DG45" s="47"/>
      <c r="DH45" s="47"/>
      <c r="DI45" s="47"/>
      <c r="DJ45" s="47"/>
      <c r="DK45" s="47"/>
      <c r="DL45" s="47"/>
      <c r="DM45" s="47"/>
      <c r="DN45" s="47"/>
      <c r="DO45" s="47"/>
      <c r="DP45" s="47"/>
      <c r="DQ45" s="47"/>
      <c r="DR45" s="47"/>
      <c r="DS45" s="47"/>
      <c r="DT45" s="47"/>
      <c r="DU45" s="47"/>
      <c r="DV45" s="47"/>
      <c r="DW45" s="47"/>
      <c r="DX45" s="47"/>
      <c r="DY45" s="47"/>
      <c r="DZ45" s="47"/>
      <c r="EA45" s="47"/>
      <c r="EB45" s="47"/>
      <c r="EC45" s="47"/>
      <c r="ED45" s="47"/>
      <c r="EE45" s="47"/>
      <c r="EF45" s="47"/>
      <c r="EG45" s="47"/>
      <c r="EH45" s="47"/>
      <c r="EI45" s="47"/>
      <c r="EJ45" s="47"/>
      <c r="EK45" s="47"/>
      <c r="EL45" s="47"/>
      <c r="EM45" s="47"/>
      <c r="EN45" s="47"/>
      <c r="EO45" s="47"/>
      <c r="EP45" s="47"/>
      <c r="EQ45" s="47"/>
      <c r="ER45" s="47"/>
      <c r="ES45" s="47"/>
      <c r="ET45" s="47"/>
      <c r="EU45" s="47"/>
      <c r="EV45" s="47"/>
      <c r="EW45" s="47"/>
      <c r="EX45" s="47"/>
      <c r="EY45" s="47"/>
      <c r="EZ45" s="47"/>
      <c r="FA45" s="47"/>
      <c r="FB45" s="47"/>
      <c r="FC45" s="47"/>
      <c r="FD45" s="47"/>
      <c r="FE45" s="47"/>
      <c r="FF45" s="47"/>
      <c r="FG45" s="47"/>
      <c r="FH45" s="47"/>
      <c r="FI45" s="47"/>
      <c r="FJ45" s="47"/>
      <c r="FK45" s="47"/>
      <c r="FL45" s="47"/>
      <c r="FM45" s="47"/>
      <c r="FN45" s="47"/>
      <c r="FO45" s="47"/>
      <c r="FP45" s="47"/>
      <c r="FQ45" s="47"/>
      <c r="FR45" s="47"/>
      <c r="FS45" s="47"/>
      <c r="FT45" s="47"/>
      <c r="FU45" s="47"/>
      <c r="FV45" s="47"/>
      <c r="FW45" s="47"/>
      <c r="FX45" s="47"/>
      <c r="FY45" s="47"/>
      <c r="FZ45" s="47"/>
      <c r="GA45" s="47"/>
      <c r="GB45" s="47"/>
      <c r="GC45" s="47"/>
      <c r="GD45" s="47"/>
      <c r="GE45" s="47"/>
      <c r="GF45" s="47"/>
      <c r="GG45" s="47"/>
      <c r="GH45" s="47"/>
      <c r="GI45" s="47"/>
      <c r="GJ45" s="47"/>
      <c r="GK45" s="47"/>
      <c r="GL45" s="47"/>
      <c r="GM45" s="47"/>
      <c r="GN45" s="47"/>
      <c r="GO45" s="47"/>
      <c r="GP45" s="47"/>
      <c r="GQ45" s="47"/>
      <c r="GR45" s="47"/>
      <c r="GS45" s="47"/>
      <c r="GT45" s="47"/>
      <c r="GU45" s="47"/>
      <c r="GV45" s="47"/>
      <c r="GW45" s="47"/>
      <c r="GX45" s="47"/>
      <c r="GY45" s="47"/>
      <c r="GZ45" s="47"/>
      <c r="HA45" s="47"/>
      <c r="HB45" s="47"/>
      <c r="HC45" s="47"/>
      <c r="HD45" s="47"/>
      <c r="HE45" s="47"/>
      <c r="HF45" s="47"/>
      <c r="HG45" s="47"/>
      <c r="HH45" s="47"/>
      <c r="HI45" s="47"/>
      <c r="HJ45" s="47"/>
      <c r="HK45" s="47"/>
      <c r="HL45" s="47"/>
      <c r="HM45" s="47"/>
      <c r="HN45" s="47"/>
      <c r="HO45" s="47"/>
      <c r="HP45" s="47"/>
      <c r="HQ45" s="47"/>
      <c r="HR45" s="47"/>
      <c r="HS45" s="47"/>
      <c r="HT45" s="47"/>
      <c r="HU45" s="47"/>
      <c r="HV45" s="47"/>
      <c r="HW45" s="47"/>
      <c r="HX45" s="47"/>
      <c r="HY45" s="47"/>
      <c r="HZ45" s="47"/>
      <c r="IA45" s="47"/>
      <c r="IB45" s="47"/>
      <c r="IC45" s="47"/>
      <c r="ID45" s="47"/>
      <c r="IE45" s="47"/>
      <c r="IF45" s="47"/>
      <c r="IG45" s="47"/>
      <c r="IH45" s="47"/>
      <c r="II45" s="47"/>
      <c r="IJ45" s="47"/>
      <c r="IK45" s="47"/>
      <c r="IL45" s="47"/>
      <c r="IM45" s="47"/>
      <c r="IN45" s="47"/>
      <c r="IO45" s="47"/>
      <c r="IP45" s="47"/>
      <c r="IQ45" s="47"/>
      <c r="IR45" s="47"/>
      <c r="IS45" s="47"/>
      <c r="IT45" s="47"/>
      <c r="IU45" s="47"/>
      <c r="IV45" s="47"/>
      <c r="IW45" s="47"/>
      <c r="IX45" s="47"/>
      <c r="IY45" s="47"/>
      <c r="IZ45" s="47"/>
      <c r="JA45" s="47"/>
      <c r="JB45" s="47"/>
      <c r="JC45" s="47"/>
      <c r="JD45" s="47"/>
      <c r="JE45" s="47"/>
      <c r="JF45" s="47"/>
      <c r="JG45" s="47"/>
      <c r="JH45" s="47"/>
      <c r="JI45" s="47"/>
      <c r="JJ45" s="47"/>
      <c r="JK45" s="47"/>
      <c r="JL45" s="47"/>
      <c r="JM45" s="47"/>
      <c r="JN45" s="47"/>
      <c r="JO45" s="47"/>
      <c r="JP45" s="47"/>
      <c r="JQ45" s="47"/>
      <c r="JR45" s="47"/>
      <c r="JS45" s="47"/>
      <c r="JT45" s="47"/>
      <c r="JU45" s="47"/>
      <c r="JV45" s="47"/>
      <c r="JW45" s="47"/>
      <c r="JX45" s="47"/>
      <c r="JY45" s="47"/>
      <c r="JZ45" s="47"/>
      <c r="KA45" s="47"/>
      <c r="KB45" s="47"/>
      <c r="KC45" s="47"/>
      <c r="KD45" s="47"/>
      <c r="KE45" s="47"/>
      <c r="KF45" s="47"/>
      <c r="KG45" s="47"/>
      <c r="KH45" s="47"/>
      <c r="KI45" s="47"/>
      <c r="KJ45" s="47"/>
      <c r="KK45" s="47"/>
      <c r="KL45" s="47"/>
      <c r="KM45" s="47"/>
      <c r="KN45" s="47"/>
      <c r="KO45" s="47"/>
      <c r="KP45" s="47"/>
      <c r="KQ45" s="47"/>
      <c r="KR45" s="47"/>
      <c r="KS45" s="47"/>
      <c r="KT45" s="47"/>
      <c r="KU45" s="47"/>
      <c r="KV45" s="47"/>
      <c r="KW45" s="47"/>
      <c r="KX45" s="47"/>
      <c r="KY45" s="47"/>
      <c r="KZ45" s="47"/>
      <c r="LA45" s="47"/>
      <c r="LB45" s="47"/>
      <c r="LC45" s="47"/>
      <c r="LD45" s="47"/>
      <c r="LE45" s="47"/>
      <c r="LF45" s="47"/>
      <c r="LG45" s="47"/>
      <c r="LH45" s="47"/>
      <c r="LI45" s="47"/>
      <c r="LJ45" s="47"/>
      <c r="LK45" s="47"/>
      <c r="LL45" s="47"/>
      <c r="LM45" s="47"/>
      <c r="LN45" s="47"/>
      <c r="LO45" s="47"/>
      <c r="LP45" s="47"/>
      <c r="LQ45" s="47"/>
      <c r="LR45" s="47"/>
      <c r="LS45" s="47"/>
      <c r="LT45" s="47"/>
      <c r="LU45" s="47"/>
      <c r="LV45" s="47"/>
      <c r="LW45" s="47"/>
      <c r="LX45" s="47"/>
      <c r="LY45" s="47"/>
      <c r="LZ45" s="47"/>
      <c r="MA45" s="47"/>
      <c r="MB45" s="47"/>
      <c r="MC45" s="47"/>
      <c r="MD45" s="47"/>
      <c r="ME45" s="47"/>
      <c r="MF45" s="47"/>
      <c r="MG45" s="47"/>
      <c r="MH45" s="47"/>
      <c r="MI45" s="47"/>
      <c r="MJ45" s="47"/>
      <c r="MK45" s="47"/>
      <c r="ML45" s="47"/>
      <c r="MM45" s="47"/>
      <c r="MN45" s="47"/>
      <c r="MO45" s="47"/>
      <c r="MP45" s="47"/>
      <c r="MQ45" s="47"/>
      <c r="MR45" s="47"/>
      <c r="MS45" s="47"/>
      <c r="MT45" s="47"/>
      <c r="MU45" s="47"/>
      <c r="MV45" s="47"/>
      <c r="MW45" s="47"/>
      <c r="MX45" s="47"/>
      <c r="MY45" s="47"/>
      <c r="MZ45" s="47"/>
      <c r="NA45" s="47"/>
      <c r="NB45" s="47"/>
      <c r="NC45" s="47"/>
      <c r="ND45" s="47"/>
      <c r="NE45" s="47"/>
      <c r="NF45" s="47"/>
      <c r="NG45" s="47"/>
      <c r="NH45" s="47"/>
      <c r="NI45" s="47"/>
      <c r="NJ45" s="47"/>
      <c r="NK45" s="47"/>
      <c r="NL45" s="47"/>
      <c r="NM45" s="47"/>
      <c r="NN45" s="47"/>
      <c r="NO45" s="47"/>
      <c r="NP45" s="47"/>
      <c r="NQ45" s="47"/>
      <c r="NR45" s="47"/>
      <c r="NS45" s="47"/>
      <c r="NT45" s="47"/>
      <c r="NU45" s="47"/>
      <c r="NV45" s="47"/>
      <c r="NW45" s="47"/>
      <c r="NX45" s="47"/>
      <c r="NY45" s="47"/>
      <c r="NZ45" s="47"/>
      <c r="OA45" s="47"/>
      <c r="OB45" s="47"/>
      <c r="OC45" s="47"/>
      <c r="OD45" s="47"/>
      <c r="OE45" s="48"/>
    </row>
    <row r="46" spans="1:395">
      <c r="A46" s="33" t="str">
        <f t="shared" si="16"/>
        <v/>
      </c>
      <c r="C46" s="2" t="str">
        <f>IF(ISBLANK($B46),"",_xlfn.XLOOKUP($B46,Task_No,Project!$C$3:$C$144,"INVALID TASK"))</f>
        <v/>
      </c>
      <c r="D46" s="27"/>
      <c r="E46" s="7" t="str">
        <f t="shared" si="18"/>
        <v/>
      </c>
      <c r="F46" s="7" t="str">
        <f t="shared" si="17"/>
        <v/>
      </c>
      <c r="G46" s="34"/>
      <c r="H46" s="34" t="str" cm="1">
        <f t="array" ref="H46">IF($C46="","",SUMPRODUCT((TEXT($AE$5:$OE$5, "mmm")=LOWER(G$3))*$AE46:$OE46))</f>
        <v/>
      </c>
      <c r="I46" s="34"/>
      <c r="J46" s="34" t="str" cm="1">
        <f t="array" ref="J46">IF($C46="","",SUMPRODUCT((TEXT($AE$5:$OE$5, "mmm")=LOWER(I$3))*$AE46:$OE46))</f>
        <v/>
      </c>
      <c r="K46" s="34"/>
      <c r="L46" s="34" t="str" cm="1">
        <f t="array" ref="L46">IF($C46="","",SUMPRODUCT((TEXT($AE$5:$OE$5, "mmm")=LOWER(K$3))*$AE46:$OE46))</f>
        <v/>
      </c>
      <c r="M46" s="34"/>
      <c r="N46" s="34" t="str" cm="1">
        <f t="array" ref="N46">IF($C46="","",SUMPRODUCT((TEXT($AE$5:$OE$5, "mmm")=LOWER(M$3))*$AE46:$OE46))</f>
        <v/>
      </c>
      <c r="O46" s="34"/>
      <c r="P46" s="34" t="str" cm="1">
        <f t="array" ref="P46">IF($C46="","",SUMPRODUCT((TEXT($AE$5:$OE$5, "mmm")=LOWER(O$3))*$AE46:$OE46))</f>
        <v/>
      </c>
      <c r="Q46" s="34"/>
      <c r="R46" s="34" t="str" cm="1">
        <f t="array" ref="R46">IF($C46="","",SUMPRODUCT((TEXT($AE$5:$OE$5, "mmm")=LOWER(Q$3))*$AE46:$OE46))</f>
        <v/>
      </c>
      <c r="S46" s="34"/>
      <c r="T46" s="34" t="str" cm="1">
        <f t="array" ref="T46">IF($C46="","",SUMPRODUCT((TEXT($AE$5:$OE$5, "mmm")=LOWER(S$3))*$AE46:$OE46))</f>
        <v/>
      </c>
      <c r="U46" s="34"/>
      <c r="V46" s="34" t="str" cm="1">
        <f t="array" ref="V46">IF($C46="","",SUMPRODUCT((TEXT($AE$5:$OE$5, "mmm")=LOWER(U$3))*$AE46:$OE46))</f>
        <v/>
      </c>
      <c r="W46" s="34"/>
      <c r="X46" s="34" t="str" cm="1">
        <f t="array" ref="X46">IF($C46="","",SUMPRODUCT((TEXT($AE$5:$OE$5, "mmm")=LOWER(W$3))*$AE46:$OE46))</f>
        <v/>
      </c>
      <c r="Y46" s="34"/>
      <c r="Z46" s="34" t="str" cm="1">
        <f t="array" ref="Z46">IF($C46="","",SUMPRODUCT((TEXT($AE$5:$OE$5, "mmm")=LOWER(Y$3))*$AE46:$OE46))</f>
        <v/>
      </c>
      <c r="AA46" s="34"/>
      <c r="AB46" s="34" t="str" cm="1">
        <f t="array" ref="AB46">IF($C46="","",SUMPRODUCT((TEXT($AE$5:$OE$5, "mmm")=LOWER(AA$3))*$AE46:$OE46))</f>
        <v/>
      </c>
      <c r="AC46" s="34"/>
      <c r="AD46" s="34" t="str" cm="1">
        <f t="array" ref="AD46">IF($C46="","",SUMPRODUCT((TEXT($AE$5:$OE$5, "mmm")=LOWER(AC$3))*$AE46:$OE46))</f>
        <v/>
      </c>
      <c r="AE46" s="47"/>
      <c r="AF46" s="47"/>
      <c r="AG46" s="47"/>
      <c r="AH46" s="47"/>
      <c r="AI46" s="47"/>
      <c r="AJ46" s="47"/>
      <c r="AK46" s="47"/>
      <c r="AL46" s="47"/>
      <c r="AM46" s="47"/>
      <c r="AN46" s="47"/>
      <c r="AO46" s="47"/>
      <c r="AP46" s="47"/>
      <c r="AQ46" s="47"/>
      <c r="AR46" s="47"/>
      <c r="AS46" s="47"/>
      <c r="AT46" s="47"/>
      <c r="AU46" s="47"/>
      <c r="AV46" s="47"/>
      <c r="AW46" s="47"/>
      <c r="AX46" s="47"/>
      <c r="AY46" s="47"/>
      <c r="AZ46" s="47"/>
      <c r="BA46" s="47"/>
      <c r="BB46" s="47"/>
      <c r="BC46" s="47"/>
      <c r="BD46" s="47"/>
      <c r="BE46" s="47"/>
      <c r="BF46" s="47"/>
      <c r="BG46" s="47"/>
      <c r="BH46" s="47"/>
      <c r="BI46" s="47"/>
      <c r="BJ46" s="47"/>
      <c r="BK46" s="47"/>
      <c r="BL46" s="47"/>
      <c r="BM46" s="47"/>
      <c r="BN46" s="47"/>
      <c r="BO46" s="47"/>
      <c r="BP46" s="47"/>
      <c r="BQ46" s="47"/>
      <c r="BR46" s="47"/>
      <c r="BS46" s="47"/>
      <c r="BT46" s="47"/>
      <c r="BU46" s="47"/>
      <c r="BV46" s="47"/>
      <c r="BW46" s="47"/>
      <c r="BX46" s="47"/>
      <c r="BY46" s="47"/>
      <c r="BZ46" s="47"/>
      <c r="CA46" s="47"/>
      <c r="CB46" s="47"/>
      <c r="CC46" s="47"/>
      <c r="CD46" s="47"/>
      <c r="CE46" s="47"/>
      <c r="CF46" s="47"/>
      <c r="CG46" s="47"/>
      <c r="CH46" s="47"/>
      <c r="CI46" s="47"/>
      <c r="CJ46" s="47"/>
      <c r="CK46" s="47"/>
      <c r="CL46" s="47"/>
      <c r="CM46" s="47"/>
      <c r="CN46" s="47"/>
      <c r="CO46" s="47"/>
      <c r="CP46" s="47"/>
      <c r="CQ46" s="47"/>
      <c r="CR46" s="47"/>
      <c r="CS46" s="47"/>
      <c r="CT46" s="47"/>
      <c r="CU46" s="47"/>
      <c r="CV46" s="47"/>
      <c r="CW46" s="47"/>
      <c r="CX46" s="47"/>
      <c r="CY46" s="47"/>
      <c r="CZ46" s="47"/>
      <c r="DA46" s="47"/>
      <c r="DB46" s="47"/>
      <c r="DC46" s="47"/>
      <c r="DD46" s="47"/>
      <c r="DE46" s="47"/>
      <c r="DF46" s="47"/>
      <c r="DG46" s="47"/>
      <c r="DH46" s="47"/>
      <c r="DI46" s="47"/>
      <c r="DJ46" s="47"/>
      <c r="DK46" s="47"/>
      <c r="DL46" s="47"/>
      <c r="DM46" s="47"/>
      <c r="DN46" s="47"/>
      <c r="DO46" s="47"/>
      <c r="DP46" s="47"/>
      <c r="DQ46" s="47"/>
      <c r="DR46" s="47"/>
      <c r="DS46" s="47"/>
      <c r="DT46" s="47"/>
      <c r="DU46" s="47"/>
      <c r="DV46" s="47"/>
      <c r="DW46" s="47"/>
      <c r="DX46" s="47"/>
      <c r="DY46" s="47"/>
      <c r="DZ46" s="47"/>
      <c r="EA46" s="47"/>
      <c r="EB46" s="47"/>
      <c r="EC46" s="47"/>
      <c r="ED46" s="47"/>
      <c r="EE46" s="47"/>
      <c r="EF46" s="47"/>
      <c r="EG46" s="47"/>
      <c r="EH46" s="47"/>
      <c r="EI46" s="47"/>
      <c r="EJ46" s="47"/>
      <c r="EK46" s="47"/>
      <c r="EL46" s="47"/>
      <c r="EM46" s="47"/>
      <c r="EN46" s="47"/>
      <c r="EO46" s="47"/>
      <c r="EP46" s="47"/>
      <c r="EQ46" s="47"/>
      <c r="ER46" s="47"/>
      <c r="ES46" s="47"/>
      <c r="ET46" s="47"/>
      <c r="EU46" s="47"/>
      <c r="EV46" s="47"/>
      <c r="EW46" s="47"/>
      <c r="EX46" s="47"/>
      <c r="EY46" s="47"/>
      <c r="EZ46" s="47"/>
      <c r="FA46" s="47"/>
      <c r="FB46" s="47"/>
      <c r="FC46" s="47"/>
      <c r="FD46" s="47"/>
      <c r="FE46" s="47"/>
      <c r="FF46" s="47"/>
      <c r="FG46" s="47"/>
      <c r="FH46" s="47"/>
      <c r="FI46" s="47"/>
      <c r="FJ46" s="47"/>
      <c r="FK46" s="47"/>
      <c r="FL46" s="47"/>
      <c r="FM46" s="47"/>
      <c r="FN46" s="47"/>
      <c r="FO46" s="47"/>
      <c r="FP46" s="47"/>
      <c r="FQ46" s="47"/>
      <c r="FR46" s="47"/>
      <c r="FS46" s="47"/>
      <c r="FT46" s="47"/>
      <c r="FU46" s="47"/>
      <c r="FV46" s="47"/>
      <c r="FW46" s="47"/>
      <c r="FX46" s="47"/>
      <c r="FY46" s="47"/>
      <c r="FZ46" s="47"/>
      <c r="GA46" s="47"/>
      <c r="GB46" s="47"/>
      <c r="GC46" s="47"/>
      <c r="GD46" s="47"/>
      <c r="GE46" s="47"/>
      <c r="GF46" s="47"/>
      <c r="GG46" s="47"/>
      <c r="GH46" s="47"/>
      <c r="GI46" s="47"/>
      <c r="GJ46" s="47"/>
      <c r="GK46" s="47"/>
      <c r="GL46" s="47"/>
      <c r="GM46" s="47"/>
      <c r="GN46" s="47"/>
      <c r="GO46" s="47"/>
      <c r="GP46" s="47"/>
      <c r="GQ46" s="47"/>
      <c r="GR46" s="47"/>
      <c r="GS46" s="47"/>
      <c r="GT46" s="47"/>
      <c r="GU46" s="47"/>
      <c r="GV46" s="47"/>
      <c r="GW46" s="47"/>
      <c r="GX46" s="47"/>
      <c r="GY46" s="47"/>
      <c r="GZ46" s="47"/>
      <c r="HA46" s="47"/>
      <c r="HB46" s="47"/>
      <c r="HC46" s="47"/>
      <c r="HD46" s="47"/>
      <c r="HE46" s="47"/>
      <c r="HF46" s="47"/>
      <c r="HG46" s="47"/>
      <c r="HH46" s="47"/>
      <c r="HI46" s="47"/>
      <c r="HJ46" s="47"/>
      <c r="HK46" s="47"/>
      <c r="HL46" s="47"/>
      <c r="HM46" s="47"/>
      <c r="HN46" s="47"/>
      <c r="HO46" s="47"/>
      <c r="HP46" s="47"/>
      <c r="HQ46" s="47"/>
      <c r="HR46" s="47"/>
      <c r="HS46" s="47"/>
      <c r="HT46" s="47"/>
      <c r="HU46" s="47"/>
      <c r="HV46" s="47"/>
      <c r="HW46" s="47"/>
      <c r="HX46" s="47"/>
      <c r="HY46" s="47"/>
      <c r="HZ46" s="47"/>
      <c r="IA46" s="47"/>
      <c r="IB46" s="47"/>
      <c r="IC46" s="47"/>
      <c r="ID46" s="47"/>
      <c r="IE46" s="47"/>
      <c r="IF46" s="47"/>
      <c r="IG46" s="47"/>
      <c r="IH46" s="47"/>
      <c r="II46" s="47"/>
      <c r="IJ46" s="47"/>
      <c r="IK46" s="47"/>
      <c r="IL46" s="47"/>
      <c r="IM46" s="47"/>
      <c r="IN46" s="47"/>
      <c r="IO46" s="47"/>
      <c r="IP46" s="47"/>
      <c r="IQ46" s="47"/>
      <c r="IR46" s="47"/>
      <c r="IS46" s="47"/>
      <c r="IT46" s="47"/>
      <c r="IU46" s="47"/>
      <c r="IV46" s="47"/>
      <c r="IW46" s="47"/>
      <c r="IX46" s="47"/>
      <c r="IY46" s="47"/>
      <c r="IZ46" s="47"/>
      <c r="JA46" s="47"/>
      <c r="JB46" s="47"/>
      <c r="JC46" s="47"/>
      <c r="JD46" s="47"/>
      <c r="JE46" s="47"/>
      <c r="JF46" s="47"/>
      <c r="JG46" s="47"/>
      <c r="JH46" s="47"/>
      <c r="JI46" s="47"/>
      <c r="JJ46" s="47"/>
      <c r="JK46" s="47"/>
      <c r="JL46" s="47"/>
      <c r="JM46" s="47"/>
      <c r="JN46" s="47"/>
      <c r="JO46" s="47"/>
      <c r="JP46" s="47"/>
      <c r="JQ46" s="47"/>
      <c r="JR46" s="47"/>
      <c r="JS46" s="47"/>
      <c r="JT46" s="47"/>
      <c r="JU46" s="47"/>
      <c r="JV46" s="47"/>
      <c r="JW46" s="47"/>
      <c r="JX46" s="47"/>
      <c r="JY46" s="47"/>
      <c r="JZ46" s="47"/>
      <c r="KA46" s="47"/>
      <c r="KB46" s="47"/>
      <c r="KC46" s="47"/>
      <c r="KD46" s="47"/>
      <c r="KE46" s="47"/>
      <c r="KF46" s="47"/>
      <c r="KG46" s="47"/>
      <c r="KH46" s="47"/>
      <c r="KI46" s="47"/>
      <c r="KJ46" s="47"/>
      <c r="KK46" s="47"/>
      <c r="KL46" s="47"/>
      <c r="KM46" s="47"/>
      <c r="KN46" s="47"/>
      <c r="KO46" s="47"/>
      <c r="KP46" s="47"/>
      <c r="KQ46" s="47"/>
      <c r="KR46" s="47"/>
      <c r="KS46" s="47"/>
      <c r="KT46" s="47"/>
      <c r="KU46" s="47"/>
      <c r="KV46" s="47"/>
      <c r="KW46" s="47"/>
      <c r="KX46" s="47"/>
      <c r="KY46" s="47"/>
      <c r="KZ46" s="47"/>
      <c r="LA46" s="47"/>
      <c r="LB46" s="47"/>
      <c r="LC46" s="47"/>
      <c r="LD46" s="47"/>
      <c r="LE46" s="47"/>
      <c r="LF46" s="47"/>
      <c r="LG46" s="47"/>
      <c r="LH46" s="47"/>
      <c r="LI46" s="47"/>
      <c r="LJ46" s="47"/>
      <c r="LK46" s="47"/>
      <c r="LL46" s="47"/>
      <c r="LM46" s="47"/>
      <c r="LN46" s="47"/>
      <c r="LO46" s="47"/>
      <c r="LP46" s="47"/>
      <c r="LQ46" s="47"/>
      <c r="LR46" s="47"/>
      <c r="LS46" s="47"/>
      <c r="LT46" s="47"/>
      <c r="LU46" s="47"/>
      <c r="LV46" s="47"/>
      <c r="LW46" s="47"/>
      <c r="LX46" s="47"/>
      <c r="LY46" s="47"/>
      <c r="LZ46" s="47"/>
      <c r="MA46" s="47"/>
      <c r="MB46" s="47"/>
      <c r="MC46" s="47"/>
      <c r="MD46" s="47"/>
      <c r="ME46" s="47"/>
      <c r="MF46" s="47"/>
      <c r="MG46" s="47"/>
      <c r="MH46" s="47"/>
      <c r="MI46" s="47"/>
      <c r="MJ46" s="47"/>
      <c r="MK46" s="47"/>
      <c r="ML46" s="47"/>
      <c r="MM46" s="47"/>
      <c r="MN46" s="47"/>
      <c r="MO46" s="47"/>
      <c r="MP46" s="47"/>
      <c r="MQ46" s="47"/>
      <c r="MR46" s="47"/>
      <c r="MS46" s="47"/>
      <c r="MT46" s="47"/>
      <c r="MU46" s="47"/>
      <c r="MV46" s="47"/>
      <c r="MW46" s="47"/>
      <c r="MX46" s="47"/>
      <c r="MY46" s="47"/>
      <c r="MZ46" s="47"/>
      <c r="NA46" s="47"/>
      <c r="NB46" s="47"/>
      <c r="NC46" s="47"/>
      <c r="ND46" s="47"/>
      <c r="NE46" s="47"/>
      <c r="NF46" s="47"/>
      <c r="NG46" s="47"/>
      <c r="NH46" s="47"/>
      <c r="NI46" s="47"/>
      <c r="NJ46" s="47"/>
      <c r="NK46" s="47"/>
      <c r="NL46" s="47"/>
      <c r="NM46" s="47"/>
      <c r="NN46" s="47"/>
      <c r="NO46" s="47"/>
      <c r="NP46" s="47"/>
      <c r="NQ46" s="47"/>
      <c r="NR46" s="47"/>
      <c r="NS46" s="47"/>
      <c r="NT46" s="47"/>
      <c r="NU46" s="47"/>
      <c r="NV46" s="47"/>
      <c r="NW46" s="47"/>
      <c r="NX46" s="47"/>
      <c r="NY46" s="47"/>
      <c r="NZ46" s="47"/>
      <c r="OA46" s="47"/>
      <c r="OB46" s="47"/>
      <c r="OC46" s="47"/>
      <c r="OD46" s="47"/>
      <c r="OE46" s="48"/>
    </row>
    <row r="47" spans="1:395">
      <c r="A47" s="33" t="str">
        <f t="shared" si="16"/>
        <v/>
      </c>
      <c r="C47" s="2" t="str">
        <f>IF(ISBLANK($B47),"",_xlfn.XLOOKUP($B47,Task_No,Project!$C$3:$C$144,"INVALID TASK"))</f>
        <v/>
      </c>
      <c r="D47" s="27"/>
      <c r="E47" s="7" t="str">
        <f t="shared" si="18"/>
        <v/>
      </c>
      <c r="F47" s="7" t="str">
        <f t="shared" si="17"/>
        <v/>
      </c>
      <c r="G47" s="34"/>
      <c r="H47" s="34" t="str" cm="1">
        <f t="array" ref="H47">IF($C47="","",SUMPRODUCT((TEXT($AE$5:$OE$5, "mmm")=LOWER(G$3))*$AE47:$OE47))</f>
        <v/>
      </c>
      <c r="I47" s="34"/>
      <c r="J47" s="34" t="str" cm="1">
        <f t="array" ref="J47">IF($C47="","",SUMPRODUCT((TEXT($AE$5:$OE$5, "mmm")=LOWER(I$3))*$AE47:$OE47))</f>
        <v/>
      </c>
      <c r="K47" s="34"/>
      <c r="L47" s="34" t="str" cm="1">
        <f t="array" ref="L47">IF($C47="","",SUMPRODUCT((TEXT($AE$5:$OE$5, "mmm")=LOWER(K$3))*$AE47:$OE47))</f>
        <v/>
      </c>
      <c r="M47" s="34"/>
      <c r="N47" s="34" t="str" cm="1">
        <f t="array" ref="N47">IF($C47="","",SUMPRODUCT((TEXT($AE$5:$OE$5, "mmm")=LOWER(M$3))*$AE47:$OE47))</f>
        <v/>
      </c>
      <c r="O47" s="34"/>
      <c r="P47" s="34" t="str" cm="1">
        <f t="array" ref="P47">IF($C47="","",SUMPRODUCT((TEXT($AE$5:$OE$5, "mmm")=LOWER(O$3))*$AE47:$OE47))</f>
        <v/>
      </c>
      <c r="Q47" s="34"/>
      <c r="R47" s="34" t="str" cm="1">
        <f t="array" ref="R47">IF($C47="","",SUMPRODUCT((TEXT($AE$5:$OE$5, "mmm")=LOWER(Q$3))*$AE47:$OE47))</f>
        <v/>
      </c>
      <c r="S47" s="34"/>
      <c r="T47" s="34" t="str" cm="1">
        <f t="array" ref="T47">IF($C47="","",SUMPRODUCT((TEXT($AE$5:$OE$5, "mmm")=LOWER(S$3))*$AE47:$OE47))</f>
        <v/>
      </c>
      <c r="U47" s="34"/>
      <c r="V47" s="34" t="str" cm="1">
        <f t="array" ref="V47">IF($C47="","",SUMPRODUCT((TEXT($AE$5:$OE$5, "mmm")=LOWER(U$3))*$AE47:$OE47))</f>
        <v/>
      </c>
      <c r="W47" s="34"/>
      <c r="X47" s="34" t="str" cm="1">
        <f t="array" ref="X47">IF($C47="","",SUMPRODUCT((TEXT($AE$5:$OE$5, "mmm")=LOWER(W$3))*$AE47:$OE47))</f>
        <v/>
      </c>
      <c r="Y47" s="34"/>
      <c r="Z47" s="34" t="str" cm="1">
        <f t="array" ref="Z47">IF($C47="","",SUMPRODUCT((TEXT($AE$5:$OE$5, "mmm")=LOWER(Y$3))*$AE47:$OE47))</f>
        <v/>
      </c>
      <c r="AA47" s="34"/>
      <c r="AB47" s="34" t="str" cm="1">
        <f t="array" ref="AB47">IF($C47="","",SUMPRODUCT((TEXT($AE$5:$OE$5, "mmm")=LOWER(AA$3))*$AE47:$OE47))</f>
        <v/>
      </c>
      <c r="AC47" s="34"/>
      <c r="AD47" s="34" t="str" cm="1">
        <f t="array" ref="AD47">IF($C47="","",SUMPRODUCT((TEXT($AE$5:$OE$5, "mmm")=LOWER(AC$3))*$AE47:$OE47))</f>
        <v/>
      </c>
      <c r="AE47" s="47"/>
      <c r="AF47" s="47"/>
      <c r="AG47" s="47"/>
      <c r="AH47" s="47"/>
      <c r="AI47" s="47"/>
      <c r="AJ47" s="47"/>
      <c r="AK47" s="47"/>
      <c r="AL47" s="47"/>
      <c r="AM47" s="47"/>
      <c r="AN47" s="47"/>
      <c r="AO47" s="47"/>
      <c r="AP47" s="47"/>
      <c r="AQ47" s="47"/>
      <c r="AR47" s="47"/>
      <c r="AS47" s="47"/>
      <c r="AT47" s="47"/>
      <c r="AU47" s="47"/>
      <c r="AV47" s="47"/>
      <c r="AW47" s="47"/>
      <c r="AX47" s="47"/>
      <c r="AY47" s="47"/>
      <c r="AZ47" s="47"/>
      <c r="BA47" s="47"/>
      <c r="BB47" s="47"/>
      <c r="BC47" s="47"/>
      <c r="BD47" s="47"/>
      <c r="BE47" s="47"/>
      <c r="BF47" s="47"/>
      <c r="BG47" s="47"/>
      <c r="BH47" s="47"/>
      <c r="BI47" s="47"/>
      <c r="BJ47" s="47"/>
      <c r="BK47" s="47"/>
      <c r="BL47" s="47"/>
      <c r="BM47" s="47"/>
      <c r="BN47" s="47"/>
      <c r="BO47" s="47"/>
      <c r="BP47" s="47"/>
      <c r="BQ47" s="47"/>
      <c r="BR47" s="47"/>
      <c r="BS47" s="47"/>
      <c r="BT47" s="47"/>
      <c r="BU47" s="47"/>
      <c r="BV47" s="47"/>
      <c r="BW47" s="47"/>
      <c r="BX47" s="47"/>
      <c r="BY47" s="47"/>
      <c r="BZ47" s="47"/>
      <c r="CA47" s="47"/>
      <c r="CB47" s="47"/>
      <c r="CC47" s="47"/>
      <c r="CD47" s="47"/>
      <c r="CE47" s="47"/>
      <c r="CF47" s="47"/>
      <c r="CG47" s="47"/>
      <c r="CH47" s="47"/>
      <c r="CI47" s="47"/>
      <c r="CJ47" s="47"/>
      <c r="CK47" s="47"/>
      <c r="CL47" s="47"/>
      <c r="CM47" s="47"/>
      <c r="CN47" s="47"/>
      <c r="CO47" s="47"/>
      <c r="CP47" s="47"/>
      <c r="CQ47" s="47"/>
      <c r="CR47" s="47"/>
      <c r="CS47" s="47"/>
      <c r="CT47" s="47"/>
      <c r="CU47" s="47"/>
      <c r="CV47" s="47"/>
      <c r="CW47" s="47"/>
      <c r="CX47" s="47"/>
      <c r="CY47" s="47"/>
      <c r="CZ47" s="47"/>
      <c r="DA47" s="47"/>
      <c r="DB47" s="47"/>
      <c r="DC47" s="47"/>
      <c r="DD47" s="47"/>
      <c r="DE47" s="47"/>
      <c r="DF47" s="47"/>
      <c r="DG47" s="47"/>
      <c r="DH47" s="47"/>
      <c r="DI47" s="47"/>
      <c r="DJ47" s="47"/>
      <c r="DK47" s="47"/>
      <c r="DL47" s="47"/>
      <c r="DM47" s="47"/>
      <c r="DN47" s="47"/>
      <c r="DO47" s="47"/>
      <c r="DP47" s="47"/>
      <c r="DQ47" s="47"/>
      <c r="DR47" s="47"/>
      <c r="DS47" s="47"/>
      <c r="DT47" s="47"/>
      <c r="DU47" s="47"/>
      <c r="DV47" s="47"/>
      <c r="DW47" s="47"/>
      <c r="DX47" s="47"/>
      <c r="DY47" s="47"/>
      <c r="DZ47" s="47"/>
      <c r="EA47" s="47"/>
      <c r="EB47" s="47"/>
      <c r="EC47" s="47"/>
      <c r="ED47" s="47"/>
      <c r="EE47" s="47"/>
      <c r="EF47" s="47"/>
      <c r="EG47" s="47"/>
      <c r="EH47" s="47"/>
      <c r="EI47" s="47"/>
      <c r="EJ47" s="47"/>
      <c r="EK47" s="47"/>
      <c r="EL47" s="47"/>
      <c r="EM47" s="47"/>
      <c r="EN47" s="47"/>
      <c r="EO47" s="47"/>
      <c r="EP47" s="47"/>
      <c r="EQ47" s="47"/>
      <c r="ER47" s="47"/>
      <c r="ES47" s="47"/>
      <c r="ET47" s="47"/>
      <c r="EU47" s="47"/>
      <c r="EV47" s="47"/>
      <c r="EW47" s="47"/>
      <c r="EX47" s="47"/>
      <c r="EY47" s="47"/>
      <c r="EZ47" s="47"/>
      <c r="FA47" s="47"/>
      <c r="FB47" s="47"/>
      <c r="FC47" s="47"/>
      <c r="FD47" s="47"/>
      <c r="FE47" s="47"/>
      <c r="FF47" s="47"/>
      <c r="FG47" s="47"/>
      <c r="FH47" s="47"/>
      <c r="FI47" s="47"/>
      <c r="FJ47" s="47"/>
      <c r="FK47" s="47"/>
      <c r="FL47" s="47"/>
      <c r="FM47" s="47"/>
      <c r="FN47" s="47"/>
      <c r="FO47" s="47"/>
      <c r="FP47" s="47"/>
      <c r="FQ47" s="47"/>
      <c r="FR47" s="47"/>
      <c r="FS47" s="47"/>
      <c r="FT47" s="47"/>
      <c r="FU47" s="47"/>
      <c r="FV47" s="47"/>
      <c r="FW47" s="47"/>
      <c r="FX47" s="47"/>
      <c r="FY47" s="47"/>
      <c r="FZ47" s="47"/>
      <c r="GA47" s="47"/>
      <c r="GB47" s="47"/>
      <c r="GC47" s="47"/>
      <c r="GD47" s="47"/>
      <c r="GE47" s="47"/>
      <c r="GF47" s="47"/>
      <c r="GG47" s="47"/>
      <c r="GH47" s="47"/>
      <c r="GI47" s="47"/>
      <c r="GJ47" s="47"/>
      <c r="GK47" s="47"/>
      <c r="GL47" s="47"/>
      <c r="GM47" s="47"/>
      <c r="GN47" s="47"/>
      <c r="GO47" s="47"/>
      <c r="GP47" s="47"/>
      <c r="GQ47" s="47"/>
      <c r="GR47" s="47"/>
      <c r="GS47" s="47"/>
      <c r="GT47" s="47"/>
      <c r="GU47" s="47"/>
      <c r="GV47" s="47"/>
      <c r="GW47" s="47"/>
      <c r="GX47" s="47"/>
      <c r="GY47" s="47"/>
      <c r="GZ47" s="47"/>
      <c r="HA47" s="47"/>
      <c r="HB47" s="47"/>
      <c r="HC47" s="47"/>
      <c r="HD47" s="47"/>
      <c r="HE47" s="47"/>
      <c r="HF47" s="47"/>
      <c r="HG47" s="47"/>
      <c r="HH47" s="47"/>
      <c r="HI47" s="47"/>
      <c r="HJ47" s="47"/>
      <c r="HK47" s="47"/>
      <c r="HL47" s="47"/>
      <c r="HM47" s="47"/>
      <c r="HN47" s="47"/>
      <c r="HO47" s="47"/>
      <c r="HP47" s="47"/>
      <c r="HQ47" s="47"/>
      <c r="HR47" s="47"/>
      <c r="HS47" s="47"/>
      <c r="HT47" s="47"/>
      <c r="HU47" s="47"/>
      <c r="HV47" s="47"/>
      <c r="HW47" s="47"/>
      <c r="HX47" s="47"/>
      <c r="HY47" s="47"/>
      <c r="HZ47" s="47"/>
      <c r="IA47" s="47"/>
      <c r="IB47" s="47"/>
      <c r="IC47" s="47"/>
      <c r="ID47" s="47"/>
      <c r="IE47" s="47"/>
      <c r="IF47" s="47"/>
      <c r="IG47" s="47"/>
      <c r="IH47" s="47"/>
      <c r="II47" s="47"/>
      <c r="IJ47" s="47"/>
      <c r="IK47" s="47"/>
      <c r="IL47" s="47"/>
      <c r="IM47" s="47"/>
      <c r="IN47" s="47"/>
      <c r="IO47" s="47"/>
      <c r="IP47" s="47"/>
      <c r="IQ47" s="47"/>
      <c r="IR47" s="47"/>
      <c r="IS47" s="47"/>
      <c r="IT47" s="47"/>
      <c r="IU47" s="47"/>
      <c r="IV47" s="47"/>
      <c r="IW47" s="47"/>
      <c r="IX47" s="47"/>
      <c r="IY47" s="47"/>
      <c r="IZ47" s="47"/>
      <c r="JA47" s="47"/>
      <c r="JB47" s="47"/>
      <c r="JC47" s="47"/>
      <c r="JD47" s="47"/>
      <c r="JE47" s="47"/>
      <c r="JF47" s="47"/>
      <c r="JG47" s="47"/>
      <c r="JH47" s="47"/>
      <c r="JI47" s="47"/>
      <c r="JJ47" s="47"/>
      <c r="JK47" s="47"/>
      <c r="JL47" s="47"/>
      <c r="JM47" s="47"/>
      <c r="JN47" s="47"/>
      <c r="JO47" s="47"/>
      <c r="JP47" s="47"/>
      <c r="JQ47" s="47"/>
      <c r="JR47" s="47"/>
      <c r="JS47" s="47"/>
      <c r="JT47" s="47"/>
      <c r="JU47" s="47"/>
      <c r="JV47" s="47"/>
      <c r="JW47" s="47"/>
      <c r="JX47" s="47"/>
      <c r="JY47" s="47"/>
      <c r="JZ47" s="47"/>
      <c r="KA47" s="47"/>
      <c r="KB47" s="47"/>
      <c r="KC47" s="47"/>
      <c r="KD47" s="47"/>
      <c r="KE47" s="47"/>
      <c r="KF47" s="47"/>
      <c r="KG47" s="47"/>
      <c r="KH47" s="47"/>
      <c r="KI47" s="47"/>
      <c r="KJ47" s="47"/>
      <c r="KK47" s="47"/>
      <c r="KL47" s="47"/>
      <c r="KM47" s="47"/>
      <c r="KN47" s="47"/>
      <c r="KO47" s="47"/>
      <c r="KP47" s="47"/>
      <c r="KQ47" s="47"/>
      <c r="KR47" s="47"/>
      <c r="KS47" s="47"/>
      <c r="KT47" s="47"/>
      <c r="KU47" s="47"/>
      <c r="KV47" s="47"/>
      <c r="KW47" s="47"/>
      <c r="KX47" s="47"/>
      <c r="KY47" s="47"/>
      <c r="KZ47" s="47"/>
      <c r="LA47" s="47"/>
      <c r="LB47" s="47"/>
      <c r="LC47" s="47"/>
      <c r="LD47" s="47"/>
      <c r="LE47" s="47"/>
      <c r="LF47" s="47"/>
      <c r="LG47" s="47"/>
      <c r="LH47" s="47"/>
      <c r="LI47" s="47"/>
      <c r="LJ47" s="47"/>
      <c r="LK47" s="47"/>
      <c r="LL47" s="47"/>
      <c r="LM47" s="47"/>
      <c r="LN47" s="47"/>
      <c r="LO47" s="47"/>
      <c r="LP47" s="47"/>
      <c r="LQ47" s="47"/>
      <c r="LR47" s="47"/>
      <c r="LS47" s="47"/>
      <c r="LT47" s="47"/>
      <c r="LU47" s="47"/>
      <c r="LV47" s="47"/>
      <c r="LW47" s="47"/>
      <c r="LX47" s="47"/>
      <c r="LY47" s="47"/>
      <c r="LZ47" s="47"/>
      <c r="MA47" s="47"/>
      <c r="MB47" s="47"/>
      <c r="MC47" s="47"/>
      <c r="MD47" s="47"/>
      <c r="ME47" s="47"/>
      <c r="MF47" s="47"/>
      <c r="MG47" s="47"/>
      <c r="MH47" s="47"/>
      <c r="MI47" s="47"/>
      <c r="MJ47" s="47"/>
      <c r="MK47" s="47"/>
      <c r="ML47" s="47"/>
      <c r="MM47" s="47"/>
      <c r="MN47" s="47"/>
      <c r="MO47" s="47"/>
      <c r="MP47" s="47"/>
      <c r="MQ47" s="47"/>
      <c r="MR47" s="47"/>
      <c r="MS47" s="47"/>
      <c r="MT47" s="47"/>
      <c r="MU47" s="47"/>
      <c r="MV47" s="47"/>
      <c r="MW47" s="47"/>
      <c r="MX47" s="47"/>
      <c r="MY47" s="47"/>
      <c r="MZ47" s="47"/>
      <c r="NA47" s="47"/>
      <c r="NB47" s="47"/>
      <c r="NC47" s="47"/>
      <c r="ND47" s="47"/>
      <c r="NE47" s="47"/>
      <c r="NF47" s="47"/>
      <c r="NG47" s="47"/>
      <c r="NH47" s="47"/>
      <c r="NI47" s="47"/>
      <c r="NJ47" s="47"/>
      <c r="NK47" s="47"/>
      <c r="NL47" s="47"/>
      <c r="NM47" s="47"/>
      <c r="NN47" s="47"/>
      <c r="NO47" s="47"/>
      <c r="NP47" s="47"/>
      <c r="NQ47" s="47"/>
      <c r="NR47" s="47"/>
      <c r="NS47" s="47"/>
      <c r="NT47" s="47"/>
      <c r="NU47" s="47"/>
      <c r="NV47" s="47"/>
      <c r="NW47" s="47"/>
      <c r="NX47" s="47"/>
      <c r="NY47" s="47"/>
      <c r="NZ47" s="47"/>
      <c r="OA47" s="47"/>
      <c r="OB47" s="47"/>
      <c r="OC47" s="47"/>
      <c r="OD47" s="47"/>
      <c r="OE47" s="48"/>
    </row>
    <row r="48" spans="1:395">
      <c r="A48" s="35"/>
      <c r="C48" s="2" t="str">
        <f>IF(ISBLANK($B48),"",_xlfn.XLOOKUP($B48,Task_No,Project!$C$3:$C$144,"INVALID TASK"))</f>
        <v/>
      </c>
      <c r="D48" s="27"/>
      <c r="E48" s="7" t="str">
        <f t="shared" si="18"/>
        <v/>
      </c>
      <c r="F48" s="7" t="str">
        <f t="shared" si="17"/>
        <v/>
      </c>
      <c r="G48" s="34"/>
      <c r="H48" s="34" t="str" cm="1">
        <f t="array" ref="H48">IF($C48="","",SUMPRODUCT((TEXT($AE$5:$OE$5, "mmm")=LOWER(G$3))*$AE48:$OE48))</f>
        <v/>
      </c>
      <c r="I48" s="34"/>
      <c r="J48" s="34" t="str" cm="1">
        <f t="array" ref="J48">IF($C48="","",SUMPRODUCT((TEXT($AE$5:$OE$5, "mmm")=LOWER(I$3))*$AE48:$OE48))</f>
        <v/>
      </c>
      <c r="K48" s="34"/>
      <c r="L48" s="34" t="str" cm="1">
        <f t="array" ref="L48">IF($C48="","",SUMPRODUCT((TEXT($AE$5:$OE$5, "mmm")=LOWER(K$3))*$AE48:$OE48))</f>
        <v/>
      </c>
      <c r="M48" s="34"/>
      <c r="N48" s="34" t="str" cm="1">
        <f t="array" ref="N48">IF($C48="","",SUMPRODUCT((TEXT($AE$5:$OE$5, "mmm")=LOWER(M$3))*$AE48:$OE48))</f>
        <v/>
      </c>
      <c r="O48" s="34"/>
      <c r="P48" s="34" t="str" cm="1">
        <f t="array" ref="P48">IF($C48="","",SUMPRODUCT((TEXT($AE$5:$OE$5, "mmm")=LOWER(O$3))*$AE48:$OE48))</f>
        <v/>
      </c>
      <c r="Q48" s="34"/>
      <c r="R48" s="34" t="str" cm="1">
        <f t="array" ref="R48">IF($C48="","",SUMPRODUCT((TEXT($AE$5:$OE$5, "mmm")=LOWER(Q$3))*$AE48:$OE48))</f>
        <v/>
      </c>
      <c r="S48" s="34"/>
      <c r="T48" s="34" t="str" cm="1">
        <f t="array" ref="T48">IF($C48="","",SUMPRODUCT((TEXT($AE$5:$OE$5, "mmm")=LOWER(S$3))*$AE48:$OE48))</f>
        <v/>
      </c>
      <c r="U48" s="34"/>
      <c r="V48" s="34" t="str" cm="1">
        <f t="array" ref="V48">IF($C48="","",SUMPRODUCT((TEXT($AE$5:$OE$5, "mmm")=LOWER(U$3))*$AE48:$OE48))</f>
        <v/>
      </c>
      <c r="W48" s="34"/>
      <c r="X48" s="34" t="str" cm="1">
        <f t="array" ref="X48">IF($C48="","",SUMPRODUCT((TEXT($AE$5:$OE$5, "mmm")=LOWER(W$3))*$AE48:$OE48))</f>
        <v/>
      </c>
      <c r="Y48" s="34"/>
      <c r="Z48" s="34" t="str" cm="1">
        <f t="array" ref="Z48">IF($C48="","",SUMPRODUCT((TEXT($AE$5:$OE$5, "mmm")=LOWER(Y$3))*$AE48:$OE48))</f>
        <v/>
      </c>
      <c r="AA48" s="34"/>
      <c r="AB48" s="34" t="str" cm="1">
        <f t="array" ref="AB48">IF($C48="","",SUMPRODUCT((TEXT($AE$5:$OE$5, "mmm")=LOWER(AA$3))*$AE48:$OE48))</f>
        <v/>
      </c>
      <c r="AC48" s="34"/>
      <c r="AD48" s="34" t="str" cm="1">
        <f t="array" ref="AD48">IF($C48="","",SUMPRODUCT((TEXT($AE$5:$OE$5, "mmm")=LOWER(AC$3))*$AE48:$OE48))</f>
        <v/>
      </c>
      <c r="OE48" s="49"/>
    </row>
    <row r="49" spans="1:395">
      <c r="A49" s="35"/>
      <c r="C49" s="2" t="str">
        <f>IF(ISBLANK($B49),"",_xlfn.XLOOKUP($B49,Task_No,Project!$C$3:$C$144,"INVALID TASK"))</f>
        <v/>
      </c>
      <c r="D49" s="27"/>
      <c r="E49" s="7" t="str">
        <f t="shared" si="18"/>
        <v/>
      </c>
      <c r="F49" s="7" t="str">
        <f t="shared" si="17"/>
        <v/>
      </c>
      <c r="G49" s="34"/>
      <c r="H49" s="34" t="str" cm="1">
        <f t="array" ref="H49">IF($C49="","",SUMPRODUCT((TEXT($AE$5:$OE$5, "mmm")=LOWER(G$3))*$AE49:$OE49))</f>
        <v/>
      </c>
      <c r="I49" s="34"/>
      <c r="J49" s="34" t="str" cm="1">
        <f t="array" ref="J49">IF($C49="","",SUMPRODUCT((TEXT($AE$5:$OE$5, "mmm")=LOWER(I$3))*$AE49:$OE49))</f>
        <v/>
      </c>
      <c r="K49" s="34"/>
      <c r="L49" s="34" t="str" cm="1">
        <f t="array" ref="L49">IF($C49="","",SUMPRODUCT((TEXT($AE$5:$OE$5, "mmm")=LOWER(K$3))*$AE49:$OE49))</f>
        <v/>
      </c>
      <c r="M49" s="34"/>
      <c r="N49" s="34" t="str" cm="1">
        <f t="array" ref="N49">IF($C49="","",SUMPRODUCT((TEXT($AE$5:$OE$5, "mmm")=LOWER(M$3))*$AE49:$OE49))</f>
        <v/>
      </c>
      <c r="O49" s="34"/>
      <c r="P49" s="34" t="str" cm="1">
        <f t="array" ref="P49">IF($C49="","",SUMPRODUCT((TEXT($AE$5:$OE$5, "mmm")=LOWER(O$3))*$AE49:$OE49))</f>
        <v/>
      </c>
      <c r="Q49" s="34"/>
      <c r="R49" s="34" t="str" cm="1">
        <f t="array" ref="R49">IF($C49="","",SUMPRODUCT((TEXT($AE$5:$OE$5, "mmm")=LOWER(Q$3))*$AE49:$OE49))</f>
        <v/>
      </c>
      <c r="S49" s="34"/>
      <c r="T49" s="34" t="str" cm="1">
        <f t="array" ref="T49">IF($C49="","",SUMPRODUCT((TEXT($AE$5:$OE$5, "mmm")=LOWER(S$3))*$AE49:$OE49))</f>
        <v/>
      </c>
      <c r="U49" s="34"/>
      <c r="V49" s="34" t="str" cm="1">
        <f t="array" ref="V49">IF($C49="","",SUMPRODUCT((TEXT($AE$5:$OE$5, "mmm")=LOWER(U$3))*$AE49:$OE49))</f>
        <v/>
      </c>
      <c r="W49" s="34"/>
      <c r="X49" s="34" t="str" cm="1">
        <f t="array" ref="X49">IF($C49="","",SUMPRODUCT((TEXT($AE$5:$OE$5, "mmm")=LOWER(W$3))*$AE49:$OE49))</f>
        <v/>
      </c>
      <c r="Y49" s="34"/>
      <c r="Z49" s="34" t="str" cm="1">
        <f t="array" ref="Z49">IF($C49="","",SUMPRODUCT((TEXT($AE$5:$OE$5, "mmm")=LOWER(Y$3))*$AE49:$OE49))</f>
        <v/>
      </c>
      <c r="AA49" s="34"/>
      <c r="AB49" s="34" t="str" cm="1">
        <f t="array" ref="AB49">IF($C49="","",SUMPRODUCT((TEXT($AE$5:$OE$5, "mmm")=LOWER(AA$3))*$AE49:$OE49))</f>
        <v/>
      </c>
      <c r="AC49" s="34"/>
      <c r="AD49" s="34" t="str" cm="1">
        <f t="array" ref="AD49">IF($C49="","",SUMPRODUCT((TEXT($AE$5:$OE$5, "mmm")=LOWER(AC$3))*$AE49:$OE49))</f>
        <v/>
      </c>
      <c r="OE49" s="49"/>
    </row>
    <row r="50" spans="1:395">
      <c r="A50" s="35"/>
      <c r="C50" s="2" t="str">
        <f>IF(ISBLANK($B50),"",_xlfn.XLOOKUP($B50,Task_No,Project!$C$3:$C$144,"INVALID TASK"))</f>
        <v/>
      </c>
      <c r="D50" s="27"/>
      <c r="E50" s="7" t="str">
        <f t="shared" si="18"/>
        <v/>
      </c>
      <c r="F50" s="7" t="str">
        <f t="shared" si="17"/>
        <v/>
      </c>
      <c r="G50" s="34"/>
      <c r="H50" s="34" t="str" cm="1">
        <f t="array" ref="H50">IF($C50="","",SUMPRODUCT((TEXT($AE$5:$OE$5, "mmm")=LOWER(G$3))*$AE50:$OE50))</f>
        <v/>
      </c>
      <c r="I50" s="34"/>
      <c r="J50" s="34" t="str" cm="1">
        <f t="array" ref="J50">IF($C50="","",SUMPRODUCT((TEXT($AE$5:$OE$5, "mmm")=LOWER(I$3))*$AE50:$OE50))</f>
        <v/>
      </c>
      <c r="K50" s="34"/>
      <c r="L50" s="34" t="str" cm="1">
        <f t="array" ref="L50">IF($C50="","",SUMPRODUCT((TEXT($AE$5:$OE$5, "mmm")=LOWER(K$3))*$AE50:$OE50))</f>
        <v/>
      </c>
      <c r="M50" s="34"/>
      <c r="N50" s="34" t="str" cm="1">
        <f t="array" ref="N50">IF($C50="","",SUMPRODUCT((TEXT($AE$5:$OE$5, "mmm")=LOWER(M$3))*$AE50:$OE50))</f>
        <v/>
      </c>
      <c r="O50" s="34"/>
      <c r="P50" s="34" t="str" cm="1">
        <f t="array" ref="P50">IF($C50="","",SUMPRODUCT((TEXT($AE$5:$OE$5, "mmm")=LOWER(O$3))*$AE50:$OE50))</f>
        <v/>
      </c>
      <c r="Q50" s="34"/>
      <c r="R50" s="34" t="str" cm="1">
        <f t="array" ref="R50">IF($C50="","",SUMPRODUCT((TEXT($AE$5:$OE$5, "mmm")=LOWER(Q$3))*$AE50:$OE50))</f>
        <v/>
      </c>
      <c r="S50" s="34"/>
      <c r="T50" s="34" t="str" cm="1">
        <f t="array" ref="T50">IF($C50="","",SUMPRODUCT((TEXT($AE$5:$OE$5, "mmm")=LOWER(S$3))*$AE50:$OE50))</f>
        <v/>
      </c>
      <c r="U50" s="34"/>
      <c r="V50" s="34" t="str" cm="1">
        <f t="array" ref="V50">IF($C50="","",SUMPRODUCT((TEXT($AE$5:$OE$5, "mmm")=LOWER(U$3))*$AE50:$OE50))</f>
        <v/>
      </c>
      <c r="W50" s="34"/>
      <c r="X50" s="34" t="str" cm="1">
        <f t="array" ref="X50">IF($C50="","",SUMPRODUCT((TEXT($AE$5:$OE$5, "mmm")=LOWER(W$3))*$AE50:$OE50))</f>
        <v/>
      </c>
      <c r="Y50" s="34"/>
      <c r="Z50" s="34" t="str" cm="1">
        <f t="array" ref="Z50">IF($C50="","",SUMPRODUCT((TEXT($AE$5:$OE$5, "mmm")=LOWER(Y$3))*$AE50:$OE50))</f>
        <v/>
      </c>
      <c r="AA50" s="34"/>
      <c r="AB50" s="34" t="str" cm="1">
        <f t="array" ref="AB50">IF($C50="","",SUMPRODUCT((TEXT($AE$5:$OE$5, "mmm")=LOWER(AA$3))*$AE50:$OE50))</f>
        <v/>
      </c>
      <c r="AC50" s="34"/>
      <c r="AD50" s="34" t="str" cm="1">
        <f t="array" ref="AD50">IF($C50="","",SUMPRODUCT((TEXT($AE$5:$OE$5, "mmm")=LOWER(AC$3))*$AE50:$OE50))</f>
        <v/>
      </c>
      <c r="OE50" s="49"/>
    </row>
    <row r="51" spans="1:395">
      <c r="A51" s="35"/>
      <c r="C51" s="2" t="str">
        <f>IF(ISBLANK($B51),"",_xlfn.XLOOKUP($B51,Task_No,Project!$C$3:$C$144,"INVALID TASK"))</f>
        <v/>
      </c>
      <c r="E51" s="7" t="str">
        <f t="shared" si="18"/>
        <v/>
      </c>
      <c r="F51" s="7" t="str">
        <f t="shared" si="17"/>
        <v/>
      </c>
      <c r="G51" s="34"/>
      <c r="H51" s="34" t="str" cm="1">
        <f t="array" ref="H51">IF($C51="","",SUMPRODUCT((TEXT($AE$5:$OE$5, "mmm")=LOWER(G$3))*$AE51:$OE51))</f>
        <v/>
      </c>
      <c r="I51" s="34"/>
      <c r="J51" s="34" t="str" cm="1">
        <f t="array" ref="J51">IF($C51="","",SUMPRODUCT((TEXT($AE$5:$OE$5, "mmm")=LOWER(I$3))*$AE51:$OE51))</f>
        <v/>
      </c>
      <c r="K51" s="34"/>
      <c r="L51" s="34" t="str" cm="1">
        <f t="array" ref="L51">IF($C51="","",SUMPRODUCT((TEXT($AE$5:$OE$5, "mmm")=LOWER(K$3))*$AE51:$OE51))</f>
        <v/>
      </c>
      <c r="M51" s="34"/>
      <c r="N51" s="34" t="str" cm="1">
        <f t="array" ref="N51">IF($C51="","",SUMPRODUCT((TEXT($AE$5:$OE$5, "mmm")=LOWER(M$3))*$AE51:$OE51))</f>
        <v/>
      </c>
      <c r="O51" s="34"/>
      <c r="P51" s="34" t="str" cm="1">
        <f t="array" ref="P51">IF($C51="","",SUMPRODUCT((TEXT($AE$5:$OE$5, "mmm")=LOWER(O$3))*$AE51:$OE51))</f>
        <v/>
      </c>
      <c r="Q51" s="34"/>
      <c r="R51" s="34" t="str" cm="1">
        <f t="array" ref="R51">IF($C51="","",SUMPRODUCT((TEXT($AE$5:$OE$5, "mmm")=LOWER(Q$3))*$AE51:$OE51))</f>
        <v/>
      </c>
      <c r="S51" s="34"/>
      <c r="T51" s="34" t="str" cm="1">
        <f t="array" ref="T51">IF($C51="","",SUMPRODUCT((TEXT($AE$5:$OE$5, "mmm")=LOWER(S$3))*$AE51:$OE51))</f>
        <v/>
      </c>
      <c r="U51" s="34"/>
      <c r="V51" s="34" t="str" cm="1">
        <f t="array" ref="V51">IF($C51="","",SUMPRODUCT((TEXT($AE$5:$OE$5, "mmm")=LOWER(U$3))*$AE51:$OE51))</f>
        <v/>
      </c>
      <c r="W51" s="34"/>
      <c r="X51" s="34" t="str" cm="1">
        <f t="array" ref="X51">IF($C51="","",SUMPRODUCT((TEXT($AE$5:$OE$5, "mmm")=LOWER(W$3))*$AE51:$OE51))</f>
        <v/>
      </c>
      <c r="Y51" s="34"/>
      <c r="Z51" s="34" t="str" cm="1">
        <f t="array" ref="Z51">IF($C51="","",SUMPRODUCT((TEXT($AE$5:$OE$5, "mmm")=LOWER(Y$3))*$AE51:$OE51))</f>
        <v/>
      </c>
      <c r="AA51" s="34"/>
      <c r="AB51" s="34" t="str" cm="1">
        <f t="array" ref="AB51">IF($C51="","",SUMPRODUCT((TEXT($AE$5:$OE$5, "mmm")=LOWER(AA$3))*$AE51:$OE51))</f>
        <v/>
      </c>
      <c r="AC51" s="34"/>
      <c r="AD51" s="34" t="str" cm="1">
        <f t="array" ref="AD51">IF($C51="","",SUMPRODUCT((TEXT($AE$5:$OE$5, "mmm")=LOWER(AC$3))*$AE51:$OE51))</f>
        <v/>
      </c>
      <c r="OE51" s="49"/>
    </row>
    <row r="52" spans="1:395">
      <c r="A52" s="35"/>
      <c r="C52" s="2" t="str">
        <f>IF(ISBLANK($B52),"",_xlfn.XLOOKUP($B52,Task_No,Project!$C$3:$C$144,"INVALID TASK"))</f>
        <v/>
      </c>
      <c r="E52" s="7" t="str">
        <f t="shared" si="18"/>
        <v/>
      </c>
      <c r="F52" s="7" t="str">
        <f t="shared" si="17"/>
        <v/>
      </c>
      <c r="G52" s="34"/>
      <c r="H52" s="34" t="str" cm="1">
        <f t="array" ref="H52">IF($C52="","",SUMPRODUCT((TEXT($AE$5:$OE$5, "mmm")=LOWER(G$3))*$AE52:$OE52))</f>
        <v/>
      </c>
      <c r="I52" s="34"/>
      <c r="J52" s="34" t="str" cm="1">
        <f t="array" ref="J52">IF($C52="","",SUMPRODUCT((TEXT($AE$5:$OE$5, "mmm")=LOWER(I$3))*$AE52:$OE52))</f>
        <v/>
      </c>
      <c r="K52" s="34"/>
      <c r="L52" s="34" t="str" cm="1">
        <f t="array" ref="L52">IF($C52="","",SUMPRODUCT((TEXT($AE$5:$OE$5, "mmm")=LOWER(K$3))*$AE52:$OE52))</f>
        <v/>
      </c>
      <c r="M52" s="34"/>
      <c r="N52" s="34" t="str" cm="1">
        <f t="array" ref="N52">IF($C52="","",SUMPRODUCT((TEXT($AE$5:$OE$5, "mmm")=LOWER(M$3))*$AE52:$OE52))</f>
        <v/>
      </c>
      <c r="O52" s="34"/>
      <c r="P52" s="34" t="str" cm="1">
        <f t="array" ref="P52">IF($C52="","",SUMPRODUCT((TEXT($AE$5:$OE$5, "mmm")=LOWER(O$3))*$AE52:$OE52))</f>
        <v/>
      </c>
      <c r="Q52" s="34"/>
      <c r="R52" s="34" t="str" cm="1">
        <f t="array" ref="R52">IF($C52="","",SUMPRODUCT((TEXT($AE$5:$OE$5, "mmm")=LOWER(Q$3))*$AE52:$OE52))</f>
        <v/>
      </c>
      <c r="S52" s="34"/>
      <c r="T52" s="34" t="str" cm="1">
        <f t="array" ref="T52">IF($C52="","",SUMPRODUCT((TEXT($AE$5:$OE$5, "mmm")=LOWER(S$3))*$AE52:$OE52))</f>
        <v/>
      </c>
      <c r="U52" s="34"/>
      <c r="V52" s="34" t="str" cm="1">
        <f t="array" ref="V52">IF($C52="","",SUMPRODUCT((TEXT($AE$5:$OE$5, "mmm")=LOWER(U$3))*$AE52:$OE52))</f>
        <v/>
      </c>
      <c r="W52" s="34"/>
      <c r="X52" s="34" t="str" cm="1">
        <f t="array" ref="X52">IF($C52="","",SUMPRODUCT((TEXT($AE$5:$OE$5, "mmm")=LOWER(W$3))*$AE52:$OE52))</f>
        <v/>
      </c>
      <c r="Y52" s="34"/>
      <c r="Z52" s="34" t="str" cm="1">
        <f t="array" ref="Z52">IF($C52="","",SUMPRODUCT((TEXT($AE$5:$OE$5, "mmm")=LOWER(Y$3))*$AE52:$OE52))</f>
        <v/>
      </c>
      <c r="AA52" s="34"/>
      <c r="AB52" s="34" t="str" cm="1">
        <f t="array" ref="AB52">IF($C52="","",SUMPRODUCT((TEXT($AE$5:$OE$5, "mmm")=LOWER(AA$3))*$AE52:$OE52))</f>
        <v/>
      </c>
      <c r="AC52" s="34"/>
      <c r="AD52" s="34" t="str" cm="1">
        <f t="array" ref="AD52">IF($C52="","",SUMPRODUCT((TEXT($AE$5:$OE$5, "mmm")=LOWER(AC$3))*$AE52:$OE52))</f>
        <v/>
      </c>
      <c r="OE52" s="49"/>
    </row>
    <row r="53" spans="1:395">
      <c r="A53" s="35"/>
      <c r="C53" s="2" t="str">
        <f>IF(ISBLANK($B53),"",_xlfn.XLOOKUP($B53,Task_No,Project!$C$3:$C$144,"INVALID TASK"))</f>
        <v/>
      </c>
      <c r="E53" s="7" t="str">
        <f t="shared" si="18"/>
        <v/>
      </c>
      <c r="F53" s="7" t="str">
        <f t="shared" si="17"/>
        <v/>
      </c>
      <c r="G53" s="34"/>
      <c r="H53" s="34" t="str" cm="1">
        <f t="array" ref="H53">IF($C53="","",SUMPRODUCT((TEXT($AE$5:$OE$5, "mmm")=LOWER(G$3))*$AE53:$OE53))</f>
        <v/>
      </c>
      <c r="I53" s="34"/>
      <c r="J53" s="34" t="str" cm="1">
        <f t="array" ref="J53">IF($C53="","",SUMPRODUCT((TEXT($AE$5:$OE$5, "mmm")=LOWER(I$3))*$AE53:$OE53))</f>
        <v/>
      </c>
      <c r="K53" s="34"/>
      <c r="L53" s="34" t="str" cm="1">
        <f t="array" ref="L53">IF($C53="","",SUMPRODUCT((TEXT($AE$5:$OE$5, "mmm")=LOWER(K$3))*$AE53:$OE53))</f>
        <v/>
      </c>
      <c r="M53" s="34"/>
      <c r="N53" s="34" t="str" cm="1">
        <f t="array" ref="N53">IF($C53="","",SUMPRODUCT((TEXT($AE$5:$OE$5, "mmm")=LOWER(M$3))*$AE53:$OE53))</f>
        <v/>
      </c>
      <c r="O53" s="34"/>
      <c r="P53" s="34" t="str" cm="1">
        <f t="array" ref="P53">IF($C53="","",SUMPRODUCT((TEXT($AE$5:$OE$5, "mmm")=LOWER(O$3))*$AE53:$OE53))</f>
        <v/>
      </c>
      <c r="Q53" s="34"/>
      <c r="R53" s="34" t="str" cm="1">
        <f t="array" ref="R53">IF($C53="","",SUMPRODUCT((TEXT($AE$5:$OE$5, "mmm")=LOWER(Q$3))*$AE53:$OE53))</f>
        <v/>
      </c>
      <c r="S53" s="34"/>
      <c r="T53" s="34" t="str" cm="1">
        <f t="array" ref="T53">IF($C53="","",SUMPRODUCT((TEXT($AE$5:$OE$5, "mmm")=LOWER(S$3))*$AE53:$OE53))</f>
        <v/>
      </c>
      <c r="U53" s="34"/>
      <c r="V53" s="34" t="str" cm="1">
        <f t="array" ref="V53">IF($C53="","",SUMPRODUCT((TEXT($AE$5:$OE$5, "mmm")=LOWER(U$3))*$AE53:$OE53))</f>
        <v/>
      </c>
      <c r="W53" s="34"/>
      <c r="X53" s="34" t="str" cm="1">
        <f t="array" ref="X53">IF($C53="","",SUMPRODUCT((TEXT($AE$5:$OE$5, "mmm")=LOWER(W$3))*$AE53:$OE53))</f>
        <v/>
      </c>
      <c r="Y53" s="34"/>
      <c r="Z53" s="34" t="str" cm="1">
        <f t="array" ref="Z53">IF($C53="","",SUMPRODUCT((TEXT($AE$5:$OE$5, "mmm")=LOWER(Y$3))*$AE53:$OE53))</f>
        <v/>
      </c>
      <c r="AA53" s="34"/>
      <c r="AB53" s="34" t="str" cm="1">
        <f t="array" ref="AB53">IF($C53="","",SUMPRODUCT((TEXT($AE$5:$OE$5, "mmm")=LOWER(AA$3))*$AE53:$OE53))</f>
        <v/>
      </c>
      <c r="AC53" s="34"/>
      <c r="AD53" s="34" t="str" cm="1">
        <f t="array" ref="AD53">IF($C53="","",SUMPRODUCT((TEXT($AE$5:$OE$5, "mmm")=LOWER(AC$3))*$AE53:$OE53))</f>
        <v/>
      </c>
      <c r="OE53" s="49"/>
    </row>
    <row r="54" spans="1:395">
      <c r="A54" s="35"/>
      <c r="C54" s="2" t="str">
        <f>IF(ISBLANK($B54),"",_xlfn.XLOOKUP($B54,Task_No,Project!$C$3:$C$144,"INVALID TASK"))</f>
        <v/>
      </c>
      <c r="E54" s="7" t="str">
        <f t="shared" si="18"/>
        <v/>
      </c>
      <c r="F54" s="7" t="str">
        <f t="shared" si="17"/>
        <v/>
      </c>
      <c r="G54" s="34"/>
      <c r="H54" s="34" t="str" cm="1">
        <f t="array" ref="H54">IF($C54="","",SUMPRODUCT((TEXT($AE$5:$OE$5, "mmm")=LOWER(G$3))*$AE54:$OE54))</f>
        <v/>
      </c>
      <c r="I54" s="34"/>
      <c r="J54" s="34" t="str" cm="1">
        <f t="array" ref="J54">IF($C54="","",SUMPRODUCT((TEXT($AE$5:$OE$5, "mmm")=LOWER(I$3))*$AE54:$OE54))</f>
        <v/>
      </c>
      <c r="K54" s="34"/>
      <c r="L54" s="34" t="str" cm="1">
        <f t="array" ref="L54">IF($C54="","",SUMPRODUCT((TEXT($AE$5:$OE$5, "mmm")=LOWER(K$3))*$AE54:$OE54))</f>
        <v/>
      </c>
      <c r="M54" s="34"/>
      <c r="N54" s="34" t="str" cm="1">
        <f t="array" ref="N54">IF($C54="","",SUMPRODUCT((TEXT($AE$5:$OE$5, "mmm")=LOWER(M$3))*$AE54:$OE54))</f>
        <v/>
      </c>
      <c r="O54" s="34"/>
      <c r="P54" s="34" t="str" cm="1">
        <f t="array" ref="P54">IF($C54="","",SUMPRODUCT((TEXT($AE$5:$OE$5, "mmm")=LOWER(O$3))*$AE54:$OE54))</f>
        <v/>
      </c>
      <c r="Q54" s="34"/>
      <c r="R54" s="34" t="str" cm="1">
        <f t="array" ref="R54">IF($C54="","",SUMPRODUCT((TEXT($AE$5:$OE$5, "mmm")=LOWER(Q$3))*$AE54:$OE54))</f>
        <v/>
      </c>
      <c r="S54" s="34"/>
      <c r="T54" s="34" t="str" cm="1">
        <f t="array" ref="T54">IF($C54="","",SUMPRODUCT((TEXT($AE$5:$OE$5, "mmm")=LOWER(S$3))*$AE54:$OE54))</f>
        <v/>
      </c>
      <c r="U54" s="34"/>
      <c r="V54" s="34" t="str" cm="1">
        <f t="array" ref="V54">IF($C54="","",SUMPRODUCT((TEXT($AE$5:$OE$5, "mmm")=LOWER(U$3))*$AE54:$OE54))</f>
        <v/>
      </c>
      <c r="W54" s="34"/>
      <c r="X54" s="34" t="str" cm="1">
        <f t="array" ref="X54">IF($C54="","",SUMPRODUCT((TEXT($AE$5:$OE$5, "mmm")=LOWER(W$3))*$AE54:$OE54))</f>
        <v/>
      </c>
      <c r="Y54" s="34"/>
      <c r="Z54" s="34" t="str" cm="1">
        <f t="array" ref="Z54">IF($C54="","",SUMPRODUCT((TEXT($AE$5:$OE$5, "mmm")=LOWER(Y$3))*$AE54:$OE54))</f>
        <v/>
      </c>
      <c r="AA54" s="34"/>
      <c r="AB54" s="34" t="str" cm="1">
        <f t="array" ref="AB54">IF($C54="","",SUMPRODUCT((TEXT($AE$5:$OE$5, "mmm")=LOWER(AA$3))*$AE54:$OE54))</f>
        <v/>
      </c>
      <c r="AC54" s="34"/>
      <c r="AD54" s="34" t="str" cm="1">
        <f t="array" ref="AD54">IF($C54="","",SUMPRODUCT((TEXT($AE$5:$OE$5, "mmm")=LOWER(AC$3))*$AE54:$OE54))</f>
        <v/>
      </c>
      <c r="OE54" s="49"/>
    </row>
    <row r="55" spans="1:395">
      <c r="A55" s="35"/>
      <c r="C55" s="2" t="str">
        <f>IF(ISBLANK($B55),"",_xlfn.XLOOKUP($B55,Task_No,Project!$C$3:$C$144,"INVALID TASK"))</f>
        <v/>
      </c>
      <c r="E55" s="7" t="str">
        <f t="shared" si="18"/>
        <v/>
      </c>
      <c r="F55" s="7" t="str">
        <f t="shared" si="17"/>
        <v/>
      </c>
      <c r="G55" s="34"/>
      <c r="H55" s="34" t="str" cm="1">
        <f t="array" ref="H55">IF($C55="","",SUMPRODUCT((TEXT($AE$5:$OE$5, "mmm")=LOWER(G$3))*$AE55:$OE55))</f>
        <v/>
      </c>
      <c r="I55" s="34"/>
      <c r="J55" s="34" t="str" cm="1">
        <f t="array" ref="J55">IF($C55="","",SUMPRODUCT((TEXT($AE$5:$OE$5, "mmm")=LOWER(I$3))*$AE55:$OE55))</f>
        <v/>
      </c>
      <c r="K55" s="34"/>
      <c r="L55" s="34" t="str" cm="1">
        <f t="array" ref="L55">IF($C55="","",SUMPRODUCT((TEXT($AE$5:$OE$5, "mmm")=LOWER(K$3))*$AE55:$OE55))</f>
        <v/>
      </c>
      <c r="M55" s="34"/>
      <c r="N55" s="34" t="str" cm="1">
        <f t="array" ref="N55">IF($C55="","",SUMPRODUCT((TEXT($AE$5:$OE$5, "mmm")=LOWER(M$3))*$AE55:$OE55))</f>
        <v/>
      </c>
      <c r="O55" s="34"/>
      <c r="P55" s="34" t="str" cm="1">
        <f t="array" ref="P55">IF($C55="","",SUMPRODUCT((TEXT($AE$5:$OE$5, "mmm")=LOWER(O$3))*$AE55:$OE55))</f>
        <v/>
      </c>
      <c r="Q55" s="34"/>
      <c r="R55" s="34" t="str" cm="1">
        <f t="array" ref="R55">IF($C55="","",SUMPRODUCT((TEXT($AE$5:$OE$5, "mmm")=LOWER(Q$3))*$AE55:$OE55))</f>
        <v/>
      </c>
      <c r="S55" s="34"/>
      <c r="T55" s="34" t="str" cm="1">
        <f t="array" ref="T55">IF($C55="","",SUMPRODUCT((TEXT($AE$5:$OE$5, "mmm")=LOWER(S$3))*$AE55:$OE55))</f>
        <v/>
      </c>
      <c r="U55" s="34"/>
      <c r="V55" s="34" t="str" cm="1">
        <f t="array" ref="V55">IF($C55="","",SUMPRODUCT((TEXT($AE$5:$OE$5, "mmm")=LOWER(U$3))*$AE55:$OE55))</f>
        <v/>
      </c>
      <c r="W55" s="34"/>
      <c r="X55" s="34" t="str" cm="1">
        <f t="array" ref="X55">IF($C55="","",SUMPRODUCT((TEXT($AE$5:$OE$5, "mmm")=LOWER(W$3))*$AE55:$OE55))</f>
        <v/>
      </c>
      <c r="Y55" s="34"/>
      <c r="Z55" s="34" t="str" cm="1">
        <f t="array" ref="Z55">IF($C55="","",SUMPRODUCT((TEXT($AE$5:$OE$5, "mmm")=LOWER(Y$3))*$AE55:$OE55))</f>
        <v/>
      </c>
      <c r="AA55" s="34"/>
      <c r="AB55" s="34" t="str" cm="1">
        <f t="array" ref="AB55">IF($C55="","",SUMPRODUCT((TEXT($AE$5:$OE$5, "mmm")=LOWER(AA$3))*$AE55:$OE55))</f>
        <v/>
      </c>
      <c r="AC55" s="34"/>
      <c r="AD55" s="34" t="str" cm="1">
        <f t="array" ref="AD55">IF($C55="","",SUMPRODUCT((TEXT($AE$5:$OE$5, "mmm")=LOWER(AC$3))*$AE55:$OE55))</f>
        <v/>
      </c>
      <c r="OE55" s="49"/>
    </row>
    <row r="56" spans="1:395">
      <c r="A56" s="35"/>
      <c r="C56" s="2" t="str">
        <f>IF(ISBLANK($B56),"",_xlfn.XLOOKUP($B56,Task_No,Project!$C$3:$C$144,"INVALID TASK"))</f>
        <v/>
      </c>
      <c r="E56" s="7" t="str">
        <f t="shared" si="18"/>
        <v/>
      </c>
      <c r="F56" s="7" t="str">
        <f t="shared" si="17"/>
        <v/>
      </c>
      <c r="G56" s="34"/>
      <c r="H56" s="34" t="str" cm="1">
        <f t="array" ref="H56">IF($C56="","",SUMPRODUCT((TEXT($AE$5:$OE$5, "mmm")=LOWER(G$3))*$AE56:$OE56))</f>
        <v/>
      </c>
      <c r="I56" s="34"/>
      <c r="J56" s="34" t="str" cm="1">
        <f t="array" ref="J56">IF($C56="","",SUMPRODUCT((TEXT($AE$5:$OE$5, "mmm")=LOWER(I$3))*$AE56:$OE56))</f>
        <v/>
      </c>
      <c r="K56" s="34"/>
      <c r="L56" s="34" t="str" cm="1">
        <f t="array" ref="L56">IF($C56="","",SUMPRODUCT((TEXT($AE$5:$OE$5, "mmm")=LOWER(K$3))*$AE56:$OE56))</f>
        <v/>
      </c>
      <c r="M56" s="34"/>
      <c r="N56" s="34" t="str" cm="1">
        <f t="array" ref="N56">IF($C56="","",SUMPRODUCT((TEXT($AE$5:$OE$5, "mmm")=LOWER(M$3))*$AE56:$OE56))</f>
        <v/>
      </c>
      <c r="O56" s="34"/>
      <c r="P56" s="34" t="str" cm="1">
        <f t="array" ref="P56">IF($C56="","",SUMPRODUCT((TEXT($AE$5:$OE$5, "mmm")=LOWER(O$3))*$AE56:$OE56))</f>
        <v/>
      </c>
      <c r="Q56" s="34"/>
      <c r="R56" s="34" t="str" cm="1">
        <f t="array" ref="R56">IF($C56="","",SUMPRODUCT((TEXT($AE$5:$OE$5, "mmm")=LOWER(Q$3))*$AE56:$OE56))</f>
        <v/>
      </c>
      <c r="S56" s="34"/>
      <c r="T56" s="34" t="str" cm="1">
        <f t="array" ref="T56">IF($C56="","",SUMPRODUCT((TEXT($AE$5:$OE$5, "mmm")=LOWER(S$3))*$AE56:$OE56))</f>
        <v/>
      </c>
      <c r="U56" s="34"/>
      <c r="V56" s="34" t="str" cm="1">
        <f t="array" ref="V56">IF($C56="","",SUMPRODUCT((TEXT($AE$5:$OE$5, "mmm")=LOWER(U$3))*$AE56:$OE56))</f>
        <v/>
      </c>
      <c r="W56" s="34"/>
      <c r="X56" s="34" t="str" cm="1">
        <f t="array" ref="X56">IF($C56="","",SUMPRODUCT((TEXT($AE$5:$OE$5, "mmm")=LOWER(W$3))*$AE56:$OE56))</f>
        <v/>
      </c>
      <c r="Y56" s="34"/>
      <c r="Z56" s="34" t="str" cm="1">
        <f t="array" ref="Z56">IF($C56="","",SUMPRODUCT((TEXT($AE$5:$OE$5, "mmm")=LOWER(Y$3))*$AE56:$OE56))</f>
        <v/>
      </c>
      <c r="AA56" s="34"/>
      <c r="AB56" s="34" t="str" cm="1">
        <f t="array" ref="AB56">IF($C56="","",SUMPRODUCT((TEXT($AE$5:$OE$5, "mmm")=LOWER(AA$3))*$AE56:$OE56))</f>
        <v/>
      </c>
      <c r="AC56" s="34"/>
      <c r="AD56" s="34" t="str" cm="1">
        <f t="array" ref="AD56">IF($C56="","",SUMPRODUCT((TEXT($AE$5:$OE$5, "mmm")=LOWER(AC$3))*$AE56:$OE56))</f>
        <v/>
      </c>
      <c r="OE56" s="49"/>
    </row>
    <row r="57" spans="1:395">
      <c r="A57" s="35"/>
      <c r="C57" s="2" t="str">
        <f>IF(ISBLANK($B57),"",_xlfn.XLOOKUP($B57,Task_No,Project!$C$3:$C$144,"INVALID TASK"))</f>
        <v/>
      </c>
      <c r="E57" s="7" t="str">
        <f t="shared" si="18"/>
        <v/>
      </c>
      <c r="F57" s="7" t="str">
        <f t="shared" si="17"/>
        <v/>
      </c>
      <c r="G57" s="34"/>
      <c r="H57" s="34" t="str" cm="1">
        <f t="array" ref="H57">IF($C57="","",SUMPRODUCT((TEXT($AE$5:$OE$5, "mmm")=LOWER(G$3))*$AE57:$OE57))</f>
        <v/>
      </c>
      <c r="I57" s="34"/>
      <c r="J57" s="34" t="str" cm="1">
        <f t="array" ref="J57">IF($C57="","",SUMPRODUCT((TEXT($AE$5:$OE$5, "mmm")=LOWER(I$3))*$AE57:$OE57))</f>
        <v/>
      </c>
      <c r="K57" s="34"/>
      <c r="L57" s="34" t="str" cm="1">
        <f t="array" ref="L57">IF($C57="","",SUMPRODUCT((TEXT($AE$5:$OE$5, "mmm")=LOWER(K$3))*$AE57:$OE57))</f>
        <v/>
      </c>
      <c r="M57" s="34"/>
      <c r="N57" s="34" t="str" cm="1">
        <f t="array" ref="N57">IF($C57="","",SUMPRODUCT((TEXT($AE$5:$OE$5, "mmm")=LOWER(M$3))*$AE57:$OE57))</f>
        <v/>
      </c>
      <c r="O57" s="34"/>
      <c r="P57" s="34" t="str" cm="1">
        <f t="array" ref="P57">IF($C57="","",SUMPRODUCT((TEXT($AE$5:$OE$5, "mmm")=LOWER(O$3))*$AE57:$OE57))</f>
        <v/>
      </c>
      <c r="Q57" s="34"/>
      <c r="R57" s="34" t="str" cm="1">
        <f t="array" ref="R57">IF($C57="","",SUMPRODUCT((TEXT($AE$5:$OE$5, "mmm")=LOWER(Q$3))*$AE57:$OE57))</f>
        <v/>
      </c>
      <c r="S57" s="34"/>
      <c r="T57" s="34" t="str" cm="1">
        <f t="array" ref="T57">IF($C57="","",SUMPRODUCT((TEXT($AE$5:$OE$5, "mmm")=LOWER(S$3))*$AE57:$OE57))</f>
        <v/>
      </c>
      <c r="U57" s="34"/>
      <c r="V57" s="34" t="str" cm="1">
        <f t="array" ref="V57">IF($C57="","",SUMPRODUCT((TEXT($AE$5:$OE$5, "mmm")=LOWER(U$3))*$AE57:$OE57))</f>
        <v/>
      </c>
      <c r="W57" s="34"/>
      <c r="X57" s="34" t="str" cm="1">
        <f t="array" ref="X57">IF($C57="","",SUMPRODUCT((TEXT($AE$5:$OE$5, "mmm")=LOWER(W$3))*$AE57:$OE57))</f>
        <v/>
      </c>
      <c r="Y57" s="34"/>
      <c r="Z57" s="34" t="str" cm="1">
        <f t="array" ref="Z57">IF($C57="","",SUMPRODUCT((TEXT($AE$5:$OE$5, "mmm")=LOWER(Y$3))*$AE57:$OE57))</f>
        <v/>
      </c>
      <c r="AA57" s="34"/>
      <c r="AB57" s="34" t="str" cm="1">
        <f t="array" ref="AB57">IF($C57="","",SUMPRODUCT((TEXT($AE$5:$OE$5, "mmm")=LOWER(AA$3))*$AE57:$OE57))</f>
        <v/>
      </c>
      <c r="AC57" s="34"/>
      <c r="AD57" s="34" t="str" cm="1">
        <f t="array" ref="AD57">IF($C57="","",SUMPRODUCT((TEXT($AE$5:$OE$5, "mmm")=LOWER(AC$3))*$AE57:$OE57))</f>
        <v/>
      </c>
      <c r="OE57" s="49"/>
    </row>
    <row r="58" spans="1:395">
      <c r="A58" s="35"/>
      <c r="C58" s="2" t="str">
        <f>IF(ISBLANK($B58),"",_xlfn.XLOOKUP($B58,Task_No,Project!$C$3:$C$144,"INVALID TASK"))</f>
        <v/>
      </c>
      <c r="E58" s="7" t="str">
        <f t="shared" si="18"/>
        <v/>
      </c>
      <c r="F58" s="7" t="str">
        <f t="shared" si="17"/>
        <v/>
      </c>
      <c r="G58" s="34"/>
      <c r="H58" s="34" t="str" cm="1">
        <f t="array" ref="H58">IF($C58="","",SUMPRODUCT((TEXT($AE$5:$OE$5, "mmm")=LOWER(G$3))*$AE58:$OE58))</f>
        <v/>
      </c>
      <c r="I58" s="34"/>
      <c r="J58" s="34" t="str" cm="1">
        <f t="array" ref="J58">IF($C58="","",SUMPRODUCT((TEXT($AE$5:$OE$5, "mmm")=LOWER(I$3))*$AE58:$OE58))</f>
        <v/>
      </c>
      <c r="K58" s="34"/>
      <c r="L58" s="34" t="str" cm="1">
        <f t="array" ref="L58">IF($C58="","",SUMPRODUCT((TEXT($AE$5:$OE$5, "mmm")=LOWER(K$3))*$AE58:$OE58))</f>
        <v/>
      </c>
      <c r="M58" s="34"/>
      <c r="N58" s="34" t="str" cm="1">
        <f t="array" ref="N58">IF($C58="","",SUMPRODUCT((TEXT($AE$5:$OE$5, "mmm")=LOWER(M$3))*$AE58:$OE58))</f>
        <v/>
      </c>
      <c r="O58" s="34"/>
      <c r="P58" s="34" t="str" cm="1">
        <f t="array" ref="P58">IF($C58="","",SUMPRODUCT((TEXT($AE$5:$OE$5, "mmm")=LOWER(O$3))*$AE58:$OE58))</f>
        <v/>
      </c>
      <c r="Q58" s="34"/>
      <c r="R58" s="34" t="str" cm="1">
        <f t="array" ref="R58">IF($C58="","",SUMPRODUCT((TEXT($AE$5:$OE$5, "mmm")=LOWER(Q$3))*$AE58:$OE58))</f>
        <v/>
      </c>
      <c r="S58" s="34"/>
      <c r="T58" s="34" t="str" cm="1">
        <f t="array" ref="T58">IF($C58="","",SUMPRODUCT((TEXT($AE$5:$OE$5, "mmm")=LOWER(S$3))*$AE58:$OE58))</f>
        <v/>
      </c>
      <c r="U58" s="34"/>
      <c r="V58" s="34" t="str" cm="1">
        <f t="array" ref="V58">IF($C58="","",SUMPRODUCT((TEXT($AE$5:$OE$5, "mmm")=LOWER(U$3))*$AE58:$OE58))</f>
        <v/>
      </c>
      <c r="W58" s="34"/>
      <c r="X58" s="34" t="str" cm="1">
        <f t="array" ref="X58">IF($C58="","",SUMPRODUCT((TEXT($AE$5:$OE$5, "mmm")=LOWER(W$3))*$AE58:$OE58))</f>
        <v/>
      </c>
      <c r="Y58" s="34"/>
      <c r="Z58" s="34" t="str" cm="1">
        <f t="array" ref="Z58">IF($C58="","",SUMPRODUCT((TEXT($AE$5:$OE$5, "mmm")=LOWER(Y$3))*$AE58:$OE58))</f>
        <v/>
      </c>
      <c r="AA58" s="34"/>
      <c r="AB58" s="34" t="str" cm="1">
        <f t="array" ref="AB58">IF($C58="","",SUMPRODUCT((TEXT($AE$5:$OE$5, "mmm")=LOWER(AA$3))*$AE58:$OE58))</f>
        <v/>
      </c>
      <c r="AC58" s="34"/>
      <c r="AD58" s="34" t="str" cm="1">
        <f t="array" ref="AD58">IF($C58="","",SUMPRODUCT((TEXT($AE$5:$OE$5, "mmm")=LOWER(AC$3))*$AE58:$OE58))</f>
        <v/>
      </c>
      <c r="OE58" s="49"/>
    </row>
    <row r="59" spans="1:395">
      <c r="A59" s="35"/>
      <c r="C59" s="2" t="str">
        <f>IF(ISBLANK($B59),"",_xlfn.XLOOKUP($B59,Task_No,Project!$C$3:$C$144,"INVALID TASK"))</f>
        <v/>
      </c>
      <c r="E59" s="7" t="str">
        <f t="shared" si="18"/>
        <v/>
      </c>
      <c r="F59" s="7" t="str">
        <f t="shared" si="17"/>
        <v/>
      </c>
      <c r="G59" s="34"/>
      <c r="H59" s="34" t="str" cm="1">
        <f t="array" ref="H59">IF($C59="","",SUMPRODUCT((TEXT($AE$5:$OE$5, "mmm")=LOWER(G$3))*$AE59:$OE59))</f>
        <v/>
      </c>
      <c r="I59" s="34"/>
      <c r="J59" s="34" t="str" cm="1">
        <f t="array" ref="J59">IF($C59="","",SUMPRODUCT((TEXT($AE$5:$OE$5, "mmm")=LOWER(I$3))*$AE59:$OE59))</f>
        <v/>
      </c>
      <c r="K59" s="34"/>
      <c r="L59" s="34" t="str" cm="1">
        <f t="array" ref="L59">IF($C59="","",SUMPRODUCT((TEXT($AE$5:$OE$5, "mmm")=LOWER(K$3))*$AE59:$OE59))</f>
        <v/>
      </c>
      <c r="M59" s="34"/>
      <c r="N59" s="34" t="str" cm="1">
        <f t="array" ref="N59">IF($C59="","",SUMPRODUCT((TEXT($AE$5:$OE$5, "mmm")=LOWER(M$3))*$AE59:$OE59))</f>
        <v/>
      </c>
      <c r="O59" s="34"/>
      <c r="P59" s="34" t="str" cm="1">
        <f t="array" ref="P59">IF($C59="","",SUMPRODUCT((TEXT($AE$5:$OE$5, "mmm")=LOWER(O$3))*$AE59:$OE59))</f>
        <v/>
      </c>
      <c r="Q59" s="34"/>
      <c r="R59" s="34" t="str" cm="1">
        <f t="array" ref="R59">IF($C59="","",SUMPRODUCT((TEXT($AE$5:$OE$5, "mmm")=LOWER(Q$3))*$AE59:$OE59))</f>
        <v/>
      </c>
      <c r="S59" s="34"/>
      <c r="T59" s="34" t="str" cm="1">
        <f t="array" ref="T59">IF($C59="","",SUMPRODUCT((TEXT($AE$5:$OE$5, "mmm")=LOWER(S$3))*$AE59:$OE59))</f>
        <v/>
      </c>
      <c r="U59" s="34"/>
      <c r="V59" s="34" t="str" cm="1">
        <f t="array" ref="V59">IF($C59="","",SUMPRODUCT((TEXT($AE$5:$OE$5, "mmm")=LOWER(U$3))*$AE59:$OE59))</f>
        <v/>
      </c>
      <c r="W59" s="34"/>
      <c r="X59" s="34" t="str" cm="1">
        <f t="array" ref="X59">IF($C59="","",SUMPRODUCT((TEXT($AE$5:$OE$5, "mmm")=LOWER(W$3))*$AE59:$OE59))</f>
        <v/>
      </c>
      <c r="Y59" s="34"/>
      <c r="Z59" s="34" t="str" cm="1">
        <f t="array" ref="Z59">IF($C59="","",SUMPRODUCT((TEXT($AE$5:$OE$5, "mmm")=LOWER(Y$3))*$AE59:$OE59))</f>
        <v/>
      </c>
      <c r="AA59" s="34"/>
      <c r="AB59" s="34" t="str" cm="1">
        <f t="array" ref="AB59">IF($C59="","",SUMPRODUCT((TEXT($AE$5:$OE$5, "mmm")=LOWER(AA$3))*$AE59:$OE59))</f>
        <v/>
      </c>
      <c r="AC59" s="34"/>
      <c r="AD59" s="34" t="str" cm="1">
        <f t="array" ref="AD59">IF($C59="","",SUMPRODUCT((TEXT($AE$5:$OE$5, "mmm")=LOWER(AC$3))*$AE59:$OE59))</f>
        <v/>
      </c>
      <c r="OE59" s="49"/>
    </row>
    <row r="60" spans="1:395">
      <c r="A60" s="35"/>
      <c r="C60" s="2" t="str">
        <f>IF(ISBLANK($B60),"",_xlfn.XLOOKUP($B60,Task_No,Project!$C$3:$C$144,"INVALID TASK"))</f>
        <v/>
      </c>
      <c r="E60" s="7" t="str">
        <f t="shared" si="18"/>
        <v/>
      </c>
      <c r="F60" s="7" t="str">
        <f t="shared" si="17"/>
        <v/>
      </c>
      <c r="G60" s="34"/>
      <c r="H60" s="34" t="str" cm="1">
        <f t="array" ref="H60">IF($C60="","",SUMPRODUCT((TEXT($AE$5:$OE$5, "mmm")=LOWER(G$3))*$AE60:$OE60))</f>
        <v/>
      </c>
      <c r="I60" s="34"/>
      <c r="J60" s="34" t="str" cm="1">
        <f t="array" ref="J60">IF($C60="","",SUMPRODUCT((TEXT($AE$5:$OE$5, "mmm")=LOWER(I$3))*$AE60:$OE60))</f>
        <v/>
      </c>
      <c r="K60" s="34"/>
      <c r="L60" s="34" t="str" cm="1">
        <f t="array" ref="L60">IF($C60="","",SUMPRODUCT((TEXT($AE$5:$OE$5, "mmm")=LOWER(K$3))*$AE60:$OE60))</f>
        <v/>
      </c>
      <c r="M60" s="34"/>
      <c r="N60" s="34" t="str" cm="1">
        <f t="array" ref="N60">IF($C60="","",SUMPRODUCT((TEXT($AE$5:$OE$5, "mmm")=LOWER(M$3))*$AE60:$OE60))</f>
        <v/>
      </c>
      <c r="O60" s="34"/>
      <c r="P60" s="34" t="str" cm="1">
        <f t="array" ref="P60">IF($C60="","",SUMPRODUCT((TEXT($AE$5:$OE$5, "mmm")=LOWER(O$3))*$AE60:$OE60))</f>
        <v/>
      </c>
      <c r="Q60" s="34"/>
      <c r="R60" s="34" t="str" cm="1">
        <f t="array" ref="R60">IF($C60="","",SUMPRODUCT((TEXT($AE$5:$OE$5, "mmm")=LOWER(Q$3))*$AE60:$OE60))</f>
        <v/>
      </c>
      <c r="S60" s="34"/>
      <c r="T60" s="34" t="str" cm="1">
        <f t="array" ref="T60">IF($C60="","",SUMPRODUCT((TEXT($AE$5:$OE$5, "mmm")=LOWER(S$3))*$AE60:$OE60))</f>
        <v/>
      </c>
      <c r="U60" s="34"/>
      <c r="V60" s="34" t="str" cm="1">
        <f t="array" ref="V60">IF($C60="","",SUMPRODUCT((TEXT($AE$5:$OE$5, "mmm")=LOWER(U$3))*$AE60:$OE60))</f>
        <v/>
      </c>
      <c r="W60" s="34"/>
      <c r="X60" s="34" t="str" cm="1">
        <f t="array" ref="X60">IF($C60="","",SUMPRODUCT((TEXT($AE$5:$OE$5, "mmm")=LOWER(W$3))*$AE60:$OE60))</f>
        <v/>
      </c>
      <c r="Y60" s="34"/>
      <c r="Z60" s="34" t="str" cm="1">
        <f t="array" ref="Z60">IF($C60="","",SUMPRODUCT((TEXT($AE$5:$OE$5, "mmm")=LOWER(Y$3))*$AE60:$OE60))</f>
        <v/>
      </c>
      <c r="AA60" s="34"/>
      <c r="AB60" s="34" t="str" cm="1">
        <f t="array" ref="AB60">IF($C60="","",SUMPRODUCT((TEXT($AE$5:$OE$5, "mmm")=LOWER(AA$3))*$AE60:$OE60))</f>
        <v/>
      </c>
      <c r="AC60" s="34"/>
      <c r="AD60" s="34" t="str" cm="1">
        <f t="array" ref="AD60">IF($C60="","",SUMPRODUCT((TEXT($AE$5:$OE$5, "mmm")=LOWER(AC$3))*$AE60:$OE60))</f>
        <v/>
      </c>
      <c r="OE60" s="49"/>
    </row>
    <row r="61" spans="1:395">
      <c r="A61" s="35"/>
      <c r="C61" s="2" t="str">
        <f>IF(ISBLANK($B61),"",_xlfn.XLOOKUP($B61,Task_No,Project!$C$3:$C$144,"INVALID TASK"))</f>
        <v/>
      </c>
      <c r="E61" s="7" t="str">
        <f t="shared" si="18"/>
        <v/>
      </c>
      <c r="F61" s="7" t="str">
        <f t="shared" si="17"/>
        <v/>
      </c>
      <c r="G61" s="34"/>
      <c r="H61" s="34" t="str" cm="1">
        <f t="array" ref="H61">IF($C61="","",SUMPRODUCT((TEXT($AE$5:$OE$5, "mmm")=LOWER(G$3))*$AE61:$OE61))</f>
        <v/>
      </c>
      <c r="I61" s="34"/>
      <c r="J61" s="34" t="str" cm="1">
        <f t="array" ref="J61">IF($C61="","",SUMPRODUCT((TEXT($AE$5:$OE$5, "mmm")=LOWER(I$3))*$AE61:$OE61))</f>
        <v/>
      </c>
      <c r="K61" s="34"/>
      <c r="L61" s="34" t="str" cm="1">
        <f t="array" ref="L61">IF($C61="","",SUMPRODUCT((TEXT($AE$5:$OE$5, "mmm")=LOWER(K$3))*$AE61:$OE61))</f>
        <v/>
      </c>
      <c r="M61" s="34"/>
      <c r="N61" s="34" t="str" cm="1">
        <f t="array" ref="N61">IF($C61="","",SUMPRODUCT((TEXT($AE$5:$OE$5, "mmm")=LOWER(M$3))*$AE61:$OE61))</f>
        <v/>
      </c>
      <c r="O61" s="34"/>
      <c r="P61" s="34" t="str" cm="1">
        <f t="array" ref="P61">IF($C61="","",SUMPRODUCT((TEXT($AE$5:$OE$5, "mmm")=LOWER(O$3))*$AE61:$OE61))</f>
        <v/>
      </c>
      <c r="Q61" s="34"/>
      <c r="R61" s="34" t="str" cm="1">
        <f t="array" ref="R61">IF($C61="","",SUMPRODUCT((TEXT($AE$5:$OE$5, "mmm")=LOWER(Q$3))*$AE61:$OE61))</f>
        <v/>
      </c>
      <c r="S61" s="34"/>
      <c r="T61" s="34" t="str" cm="1">
        <f t="array" ref="T61">IF($C61="","",SUMPRODUCT((TEXT($AE$5:$OE$5, "mmm")=LOWER(S$3))*$AE61:$OE61))</f>
        <v/>
      </c>
      <c r="U61" s="34"/>
      <c r="V61" s="34" t="str" cm="1">
        <f t="array" ref="V61">IF($C61="","",SUMPRODUCT((TEXT($AE$5:$OE$5, "mmm")=LOWER(U$3))*$AE61:$OE61))</f>
        <v/>
      </c>
      <c r="W61" s="34"/>
      <c r="X61" s="34" t="str" cm="1">
        <f t="array" ref="X61">IF($C61="","",SUMPRODUCT((TEXT($AE$5:$OE$5, "mmm")=LOWER(W$3))*$AE61:$OE61))</f>
        <v/>
      </c>
      <c r="Y61" s="34"/>
      <c r="Z61" s="34" t="str" cm="1">
        <f t="array" ref="Z61">IF($C61="","",SUMPRODUCT((TEXT($AE$5:$OE$5, "mmm")=LOWER(Y$3))*$AE61:$OE61))</f>
        <v/>
      </c>
      <c r="AA61" s="34"/>
      <c r="AB61" s="34" t="str" cm="1">
        <f t="array" ref="AB61">IF($C61="","",SUMPRODUCT((TEXT($AE$5:$OE$5, "mmm")=LOWER(AA$3))*$AE61:$OE61))</f>
        <v/>
      </c>
      <c r="AC61" s="34"/>
      <c r="AD61" s="34" t="str" cm="1">
        <f t="array" ref="AD61">IF($C61="","",SUMPRODUCT((TEXT($AE$5:$OE$5, "mmm")=LOWER(AC$3))*$AE61:$OE61))</f>
        <v/>
      </c>
      <c r="OE61" s="49"/>
    </row>
    <row r="62" spans="1:395">
      <c r="A62" s="35"/>
      <c r="C62" s="2" t="str">
        <f>IF(ISBLANK($B62),"",_xlfn.XLOOKUP($B62,Task_No,Project!$C$3:$C$144,"INVALID TASK"))</f>
        <v/>
      </c>
      <c r="E62" s="7" t="str">
        <f t="shared" si="18"/>
        <v/>
      </c>
      <c r="F62" s="7" t="str">
        <f t="shared" si="17"/>
        <v/>
      </c>
      <c r="G62" s="34"/>
      <c r="H62" s="34" t="str" cm="1">
        <f t="array" ref="H62">IF($C62="","",SUMPRODUCT((TEXT($AE$5:$OE$5, "mmm")=LOWER(G$3))*$AE62:$OE62))</f>
        <v/>
      </c>
      <c r="I62" s="34"/>
      <c r="J62" s="34" t="str" cm="1">
        <f t="array" ref="J62">IF($C62="","",SUMPRODUCT((TEXT($AE$5:$OE$5, "mmm")=LOWER(I$3))*$AE62:$OE62))</f>
        <v/>
      </c>
      <c r="K62" s="34"/>
      <c r="L62" s="34" t="str" cm="1">
        <f t="array" ref="L62">IF($C62="","",SUMPRODUCT((TEXT($AE$5:$OE$5, "mmm")=LOWER(K$3))*$AE62:$OE62))</f>
        <v/>
      </c>
      <c r="M62" s="34"/>
      <c r="N62" s="34" t="str" cm="1">
        <f t="array" ref="N62">IF($C62="","",SUMPRODUCT((TEXT($AE$5:$OE$5, "mmm")=LOWER(M$3))*$AE62:$OE62))</f>
        <v/>
      </c>
      <c r="O62" s="34"/>
      <c r="P62" s="34" t="str" cm="1">
        <f t="array" ref="P62">IF($C62="","",SUMPRODUCT((TEXT($AE$5:$OE$5, "mmm")=LOWER(O$3))*$AE62:$OE62))</f>
        <v/>
      </c>
      <c r="Q62" s="34"/>
      <c r="R62" s="34" t="str" cm="1">
        <f t="array" ref="R62">IF($C62="","",SUMPRODUCT((TEXT($AE$5:$OE$5, "mmm")=LOWER(Q$3))*$AE62:$OE62))</f>
        <v/>
      </c>
      <c r="S62" s="34"/>
      <c r="T62" s="34" t="str" cm="1">
        <f t="array" ref="T62">IF($C62="","",SUMPRODUCT((TEXT($AE$5:$OE$5, "mmm")=LOWER(S$3))*$AE62:$OE62))</f>
        <v/>
      </c>
      <c r="U62" s="34"/>
      <c r="V62" s="34" t="str" cm="1">
        <f t="array" ref="V62">IF($C62="","",SUMPRODUCT((TEXT($AE$5:$OE$5, "mmm")=LOWER(U$3))*$AE62:$OE62))</f>
        <v/>
      </c>
      <c r="W62" s="34"/>
      <c r="X62" s="34" t="str" cm="1">
        <f t="array" ref="X62">IF($C62="","",SUMPRODUCT((TEXT($AE$5:$OE$5, "mmm")=LOWER(W$3))*$AE62:$OE62))</f>
        <v/>
      </c>
      <c r="Y62" s="34"/>
      <c r="Z62" s="34" t="str" cm="1">
        <f t="array" ref="Z62">IF($C62="","",SUMPRODUCT((TEXT($AE$5:$OE$5, "mmm")=LOWER(Y$3))*$AE62:$OE62))</f>
        <v/>
      </c>
      <c r="AA62" s="34"/>
      <c r="AB62" s="34" t="str" cm="1">
        <f t="array" ref="AB62">IF($C62="","",SUMPRODUCT((TEXT($AE$5:$OE$5, "mmm")=LOWER(AA$3))*$AE62:$OE62))</f>
        <v/>
      </c>
      <c r="AC62" s="34"/>
      <c r="AD62" s="34" t="str" cm="1">
        <f t="array" ref="AD62">IF($C62="","",SUMPRODUCT((TEXT($AE$5:$OE$5, "mmm")=LOWER(AC$3))*$AE62:$OE62))</f>
        <v/>
      </c>
      <c r="OE62" s="49"/>
    </row>
    <row r="63" spans="1:395">
      <c r="A63" s="35"/>
      <c r="C63" s="2" t="str">
        <f>IF(ISBLANK($B63),"",_xlfn.XLOOKUP($B63,Task_No,Project!$C$3:$C$144,"INVALID TASK"))</f>
        <v/>
      </c>
      <c r="E63" s="7" t="str">
        <f t="shared" si="18"/>
        <v/>
      </c>
      <c r="F63" s="7" t="str">
        <f t="shared" si="17"/>
        <v/>
      </c>
      <c r="G63" s="34"/>
      <c r="H63" s="34" t="str" cm="1">
        <f t="array" ref="H63">IF($C63="","",SUMPRODUCT((TEXT($AE$5:$OE$5, "mmm")=LOWER(G$3))*$AE63:$OE63))</f>
        <v/>
      </c>
      <c r="I63" s="34"/>
      <c r="J63" s="34" t="str" cm="1">
        <f t="array" ref="J63">IF($C63="","",SUMPRODUCT((TEXT($AE$5:$OE$5, "mmm")=LOWER(I$3))*$AE63:$OE63))</f>
        <v/>
      </c>
      <c r="K63" s="34"/>
      <c r="L63" s="34" t="str" cm="1">
        <f t="array" ref="L63">IF($C63="","",SUMPRODUCT((TEXT($AE$5:$OE$5, "mmm")=LOWER(K$3))*$AE63:$OE63))</f>
        <v/>
      </c>
      <c r="M63" s="34"/>
      <c r="N63" s="34" t="str" cm="1">
        <f t="array" ref="N63">IF($C63="","",SUMPRODUCT((TEXT($AE$5:$OE$5, "mmm")=LOWER(M$3))*$AE63:$OE63))</f>
        <v/>
      </c>
      <c r="O63" s="34"/>
      <c r="P63" s="34" t="str" cm="1">
        <f t="array" ref="P63">IF($C63="","",SUMPRODUCT((TEXT($AE$5:$OE$5, "mmm")=LOWER(O$3))*$AE63:$OE63))</f>
        <v/>
      </c>
      <c r="Q63" s="34"/>
      <c r="R63" s="34" t="str" cm="1">
        <f t="array" ref="R63">IF($C63="","",SUMPRODUCT((TEXT($AE$5:$OE$5, "mmm")=LOWER(Q$3))*$AE63:$OE63))</f>
        <v/>
      </c>
      <c r="S63" s="34"/>
      <c r="T63" s="34" t="str" cm="1">
        <f t="array" ref="T63">IF($C63="","",SUMPRODUCT((TEXT($AE$5:$OE$5, "mmm")=LOWER(S$3))*$AE63:$OE63))</f>
        <v/>
      </c>
      <c r="U63" s="34"/>
      <c r="V63" s="34" t="str" cm="1">
        <f t="array" ref="V63">IF($C63="","",SUMPRODUCT((TEXT($AE$5:$OE$5, "mmm")=LOWER(U$3))*$AE63:$OE63))</f>
        <v/>
      </c>
      <c r="W63" s="34"/>
      <c r="X63" s="34" t="str" cm="1">
        <f t="array" ref="X63">IF($C63="","",SUMPRODUCT((TEXT($AE$5:$OE$5, "mmm")=LOWER(W$3))*$AE63:$OE63))</f>
        <v/>
      </c>
      <c r="Y63" s="34"/>
      <c r="Z63" s="34" t="str" cm="1">
        <f t="array" ref="Z63">IF($C63="","",SUMPRODUCT((TEXT($AE$5:$OE$5, "mmm")=LOWER(Y$3))*$AE63:$OE63))</f>
        <v/>
      </c>
      <c r="AA63" s="34"/>
      <c r="AB63" s="34" t="str" cm="1">
        <f t="array" ref="AB63">IF($C63="","",SUMPRODUCT((TEXT($AE$5:$OE$5, "mmm")=LOWER(AA$3))*$AE63:$OE63))</f>
        <v/>
      </c>
      <c r="AC63" s="34"/>
      <c r="AD63" s="34" t="str" cm="1">
        <f t="array" ref="AD63">IF($C63="","",SUMPRODUCT((TEXT($AE$5:$OE$5, "mmm")=LOWER(AC$3))*$AE63:$OE63))</f>
        <v/>
      </c>
      <c r="OE63" s="49"/>
    </row>
    <row r="64" spans="1:395">
      <c r="A64" s="35"/>
      <c r="C64" s="2" t="str">
        <f>IF(ISBLANK($B64),"",_xlfn.XLOOKUP($B64,Task_No,Project!$C$3:$C$144,"INVALID TASK"))</f>
        <v/>
      </c>
      <c r="E64" s="7" t="str">
        <f t="shared" si="18"/>
        <v/>
      </c>
      <c r="F64" s="7" t="str">
        <f t="shared" si="17"/>
        <v/>
      </c>
      <c r="G64" s="34"/>
      <c r="H64" s="34" t="str" cm="1">
        <f t="array" ref="H64">IF($C64="","",SUMPRODUCT((TEXT($AE$5:$OE$5, "mmm")=LOWER(G$3))*$AE64:$OE64))</f>
        <v/>
      </c>
      <c r="I64" s="34"/>
      <c r="J64" s="34" t="str" cm="1">
        <f t="array" ref="J64">IF($C64="","",SUMPRODUCT((TEXT($AE$5:$OE$5, "mmm")=LOWER(I$3))*$AE64:$OE64))</f>
        <v/>
      </c>
      <c r="K64" s="34"/>
      <c r="L64" s="34" t="str" cm="1">
        <f t="array" ref="L64">IF($C64="","",SUMPRODUCT((TEXT($AE$5:$OE$5, "mmm")=LOWER(K$3))*$AE64:$OE64))</f>
        <v/>
      </c>
      <c r="M64" s="34"/>
      <c r="N64" s="34" t="str" cm="1">
        <f t="array" ref="N64">IF($C64="","",SUMPRODUCT((TEXT($AE$5:$OE$5, "mmm")=LOWER(M$3))*$AE64:$OE64))</f>
        <v/>
      </c>
      <c r="O64" s="34"/>
      <c r="P64" s="34" t="str" cm="1">
        <f t="array" ref="P64">IF($C64="","",SUMPRODUCT((TEXT($AE$5:$OE$5, "mmm")=LOWER(O$3))*$AE64:$OE64))</f>
        <v/>
      </c>
      <c r="Q64" s="34"/>
      <c r="R64" s="34" t="str" cm="1">
        <f t="array" ref="R64">IF($C64="","",SUMPRODUCT((TEXT($AE$5:$OE$5, "mmm")=LOWER(Q$3))*$AE64:$OE64))</f>
        <v/>
      </c>
      <c r="S64" s="34"/>
      <c r="T64" s="34" t="str" cm="1">
        <f t="array" ref="T64">IF($C64="","",SUMPRODUCT((TEXT($AE$5:$OE$5, "mmm")=LOWER(S$3))*$AE64:$OE64))</f>
        <v/>
      </c>
      <c r="U64" s="34"/>
      <c r="V64" s="34" t="str" cm="1">
        <f t="array" ref="V64">IF($C64="","",SUMPRODUCT((TEXT($AE$5:$OE$5, "mmm")=LOWER(U$3))*$AE64:$OE64))</f>
        <v/>
      </c>
      <c r="W64" s="34"/>
      <c r="X64" s="34" t="str" cm="1">
        <f t="array" ref="X64">IF($C64="","",SUMPRODUCT((TEXT($AE$5:$OE$5, "mmm")=LOWER(W$3))*$AE64:$OE64))</f>
        <v/>
      </c>
      <c r="Y64" s="34"/>
      <c r="Z64" s="34" t="str" cm="1">
        <f t="array" ref="Z64">IF($C64="","",SUMPRODUCT((TEXT($AE$5:$OE$5, "mmm")=LOWER(Y$3))*$AE64:$OE64))</f>
        <v/>
      </c>
      <c r="AA64" s="34"/>
      <c r="AB64" s="34" t="str" cm="1">
        <f t="array" ref="AB64">IF($C64="","",SUMPRODUCT((TEXT($AE$5:$OE$5, "mmm")=LOWER(AA$3))*$AE64:$OE64))</f>
        <v/>
      </c>
      <c r="AC64" s="34"/>
      <c r="AD64" s="34" t="str" cm="1">
        <f t="array" ref="AD64">IF($C64="","",SUMPRODUCT((TEXT($AE$5:$OE$5, "mmm")=LOWER(AC$3))*$AE64:$OE64))</f>
        <v/>
      </c>
      <c r="OE64" s="49"/>
    </row>
    <row r="65" spans="1:395">
      <c r="A65" s="35"/>
      <c r="C65" s="2" t="str">
        <f>IF(ISBLANK($B65),"",_xlfn.XLOOKUP($B65,Task_No,Project!$C$3:$C$144,"INVALID TASK"))</f>
        <v/>
      </c>
      <c r="E65" s="7" t="str">
        <f t="shared" si="18"/>
        <v/>
      </c>
      <c r="F65" s="7" t="str">
        <f t="shared" si="17"/>
        <v/>
      </c>
      <c r="G65" s="34"/>
      <c r="H65" s="34" t="str" cm="1">
        <f t="array" ref="H65">IF($C65="","",SUMPRODUCT((TEXT($AE$5:$OE$5, "mmm")=LOWER(G$3))*$AE65:$OE65))</f>
        <v/>
      </c>
      <c r="I65" s="34"/>
      <c r="J65" s="34" t="str" cm="1">
        <f t="array" ref="J65">IF($C65="","",SUMPRODUCT((TEXT($AE$5:$OE$5, "mmm")=LOWER(I$3))*$AE65:$OE65))</f>
        <v/>
      </c>
      <c r="K65" s="34"/>
      <c r="L65" s="34" t="str" cm="1">
        <f t="array" ref="L65">IF($C65="","",SUMPRODUCT((TEXT($AE$5:$OE$5, "mmm")=LOWER(K$3))*$AE65:$OE65))</f>
        <v/>
      </c>
      <c r="M65" s="34"/>
      <c r="N65" s="34" t="str" cm="1">
        <f t="array" ref="N65">IF($C65="","",SUMPRODUCT((TEXT($AE$5:$OE$5, "mmm")=LOWER(M$3))*$AE65:$OE65))</f>
        <v/>
      </c>
      <c r="O65" s="34"/>
      <c r="P65" s="34" t="str" cm="1">
        <f t="array" ref="P65">IF($C65="","",SUMPRODUCT((TEXT($AE$5:$OE$5, "mmm")=LOWER(O$3))*$AE65:$OE65))</f>
        <v/>
      </c>
      <c r="Q65" s="34"/>
      <c r="R65" s="34" t="str" cm="1">
        <f t="array" ref="R65">IF($C65="","",SUMPRODUCT((TEXT($AE$5:$OE$5, "mmm")=LOWER(Q$3))*$AE65:$OE65))</f>
        <v/>
      </c>
      <c r="S65" s="34"/>
      <c r="T65" s="34" t="str" cm="1">
        <f t="array" ref="T65">IF($C65="","",SUMPRODUCT((TEXT($AE$5:$OE$5, "mmm")=LOWER(S$3))*$AE65:$OE65))</f>
        <v/>
      </c>
      <c r="U65" s="34"/>
      <c r="V65" s="34" t="str" cm="1">
        <f t="array" ref="V65">IF($C65="","",SUMPRODUCT((TEXT($AE$5:$OE$5, "mmm")=LOWER(U$3))*$AE65:$OE65))</f>
        <v/>
      </c>
      <c r="W65" s="34"/>
      <c r="X65" s="34" t="str" cm="1">
        <f t="array" ref="X65">IF($C65="","",SUMPRODUCT((TEXT($AE$5:$OE$5, "mmm")=LOWER(W$3))*$AE65:$OE65))</f>
        <v/>
      </c>
      <c r="Y65" s="34"/>
      <c r="Z65" s="34" t="str" cm="1">
        <f t="array" ref="Z65">IF($C65="","",SUMPRODUCT((TEXT($AE$5:$OE$5, "mmm")=LOWER(Y$3))*$AE65:$OE65))</f>
        <v/>
      </c>
      <c r="AA65" s="34"/>
      <c r="AB65" s="34" t="str" cm="1">
        <f t="array" ref="AB65">IF($C65="","",SUMPRODUCT((TEXT($AE$5:$OE$5, "mmm")=LOWER(AA$3))*$AE65:$OE65))</f>
        <v/>
      </c>
      <c r="AC65" s="34"/>
      <c r="AD65" s="34" t="str" cm="1">
        <f t="array" ref="AD65">IF($C65="","",SUMPRODUCT((TEXT($AE$5:$OE$5, "mmm")=LOWER(AC$3))*$AE65:$OE65))</f>
        <v/>
      </c>
      <c r="OE65" s="49"/>
    </row>
    <row r="66" spans="1:395">
      <c r="A66" s="35"/>
      <c r="C66" s="2" t="str">
        <f>IF(ISBLANK($B66),"",_xlfn.XLOOKUP($B66,Task_No,Project!$C$3:$C$144,"INVALID TASK"))</f>
        <v/>
      </c>
      <c r="E66" s="7" t="str">
        <f t="shared" si="18"/>
        <v/>
      </c>
      <c r="F66" s="7" t="str">
        <f t="shared" si="17"/>
        <v/>
      </c>
      <c r="G66" s="34"/>
      <c r="H66" s="34" t="str" cm="1">
        <f t="array" ref="H66">IF($C66="","",SUMPRODUCT((TEXT($AE$5:$OE$5, "mmm")=LOWER(G$3))*$AE66:$OE66))</f>
        <v/>
      </c>
      <c r="I66" s="34"/>
      <c r="J66" s="34" t="str" cm="1">
        <f t="array" ref="J66">IF($C66="","",SUMPRODUCT((TEXT($AE$5:$OE$5, "mmm")=LOWER(I$3))*$AE66:$OE66))</f>
        <v/>
      </c>
      <c r="K66" s="34"/>
      <c r="L66" s="34" t="str" cm="1">
        <f t="array" ref="L66">IF($C66="","",SUMPRODUCT((TEXT($AE$5:$OE$5, "mmm")=LOWER(K$3))*$AE66:$OE66))</f>
        <v/>
      </c>
      <c r="M66" s="34"/>
      <c r="N66" s="34" t="str" cm="1">
        <f t="array" ref="N66">IF($C66="","",SUMPRODUCT((TEXT($AE$5:$OE$5, "mmm")=LOWER(M$3))*$AE66:$OE66))</f>
        <v/>
      </c>
      <c r="O66" s="34"/>
      <c r="P66" s="34" t="str" cm="1">
        <f t="array" ref="P66">IF($C66="","",SUMPRODUCT((TEXT($AE$5:$OE$5, "mmm")=LOWER(O$3))*$AE66:$OE66))</f>
        <v/>
      </c>
      <c r="Q66" s="34"/>
      <c r="R66" s="34" t="str" cm="1">
        <f t="array" ref="R66">IF($C66="","",SUMPRODUCT((TEXT($AE$5:$OE$5, "mmm")=LOWER(Q$3))*$AE66:$OE66))</f>
        <v/>
      </c>
      <c r="S66" s="34"/>
      <c r="T66" s="34" t="str" cm="1">
        <f t="array" ref="T66">IF($C66="","",SUMPRODUCT((TEXT($AE$5:$OE$5, "mmm")=LOWER(S$3))*$AE66:$OE66))</f>
        <v/>
      </c>
      <c r="U66" s="34"/>
      <c r="V66" s="34" t="str" cm="1">
        <f t="array" ref="V66">IF($C66="","",SUMPRODUCT((TEXT($AE$5:$OE$5, "mmm")=LOWER(U$3))*$AE66:$OE66))</f>
        <v/>
      </c>
      <c r="W66" s="34"/>
      <c r="X66" s="34" t="str" cm="1">
        <f t="array" ref="X66">IF($C66="","",SUMPRODUCT((TEXT($AE$5:$OE$5, "mmm")=LOWER(W$3))*$AE66:$OE66))</f>
        <v/>
      </c>
      <c r="Y66" s="34"/>
      <c r="Z66" s="34" t="str" cm="1">
        <f t="array" ref="Z66">IF($C66="","",SUMPRODUCT((TEXT($AE$5:$OE$5, "mmm")=LOWER(Y$3))*$AE66:$OE66))</f>
        <v/>
      </c>
      <c r="AA66" s="34"/>
      <c r="AB66" s="34" t="str" cm="1">
        <f t="array" ref="AB66">IF($C66="","",SUMPRODUCT((TEXT($AE$5:$OE$5, "mmm")=LOWER(AA$3))*$AE66:$OE66))</f>
        <v/>
      </c>
      <c r="AC66" s="34"/>
      <c r="AD66" s="34" t="str" cm="1">
        <f t="array" ref="AD66">IF($C66="","",SUMPRODUCT((TEXT($AE$5:$OE$5, "mmm")=LOWER(AC$3))*$AE66:$OE66))</f>
        <v/>
      </c>
      <c r="OE66" s="49"/>
    </row>
    <row r="67" spans="1:395">
      <c r="A67" s="35"/>
      <c r="C67" s="2" t="str">
        <f>IF(ISBLANK($B67),"",_xlfn.XLOOKUP($B67,Task_No,Project!$C$3:$C$144,"INVALID TASK"))</f>
        <v/>
      </c>
      <c r="E67" s="7" t="str">
        <f t="shared" si="18"/>
        <v/>
      </c>
      <c r="F67" s="7" t="str">
        <f t="shared" si="17"/>
        <v/>
      </c>
      <c r="G67" s="34"/>
      <c r="H67" s="34" t="str" cm="1">
        <f t="array" ref="H67">IF($C67="","",SUMPRODUCT((TEXT($AE$5:$OE$5, "mmm")=LOWER(G$3))*$AE67:$OE67))</f>
        <v/>
      </c>
      <c r="I67" s="34"/>
      <c r="J67" s="34" t="str" cm="1">
        <f t="array" ref="J67">IF($C67="","",SUMPRODUCT((TEXT($AE$5:$OE$5, "mmm")=LOWER(I$3))*$AE67:$OE67))</f>
        <v/>
      </c>
      <c r="K67" s="34"/>
      <c r="L67" s="34" t="str" cm="1">
        <f t="array" ref="L67">IF($C67="","",SUMPRODUCT((TEXT($AE$5:$OE$5, "mmm")=LOWER(K$3))*$AE67:$OE67))</f>
        <v/>
      </c>
      <c r="M67" s="34"/>
      <c r="N67" s="34" t="str" cm="1">
        <f t="array" ref="N67">IF($C67="","",SUMPRODUCT((TEXT($AE$5:$OE$5, "mmm")=LOWER(M$3))*$AE67:$OE67))</f>
        <v/>
      </c>
      <c r="O67" s="34"/>
      <c r="P67" s="34" t="str" cm="1">
        <f t="array" ref="P67">IF($C67="","",SUMPRODUCT((TEXT($AE$5:$OE$5, "mmm")=LOWER(O$3))*$AE67:$OE67))</f>
        <v/>
      </c>
      <c r="Q67" s="34"/>
      <c r="R67" s="34" t="str" cm="1">
        <f t="array" ref="R67">IF($C67="","",SUMPRODUCT((TEXT($AE$5:$OE$5, "mmm")=LOWER(Q$3))*$AE67:$OE67))</f>
        <v/>
      </c>
      <c r="S67" s="34"/>
      <c r="T67" s="34" t="str" cm="1">
        <f t="array" ref="T67">IF($C67="","",SUMPRODUCT((TEXT($AE$5:$OE$5, "mmm")=LOWER(S$3))*$AE67:$OE67))</f>
        <v/>
      </c>
      <c r="U67" s="34"/>
      <c r="V67" s="34" t="str" cm="1">
        <f t="array" ref="V67">IF($C67="","",SUMPRODUCT((TEXT($AE$5:$OE$5, "mmm")=LOWER(U$3))*$AE67:$OE67))</f>
        <v/>
      </c>
      <c r="W67" s="34"/>
      <c r="X67" s="34" t="str" cm="1">
        <f t="array" ref="X67">IF($C67="","",SUMPRODUCT((TEXT($AE$5:$OE$5, "mmm")=LOWER(W$3))*$AE67:$OE67))</f>
        <v/>
      </c>
      <c r="Y67" s="34"/>
      <c r="Z67" s="34" t="str" cm="1">
        <f t="array" ref="Z67">IF($C67="","",SUMPRODUCT((TEXT($AE$5:$OE$5, "mmm")=LOWER(Y$3))*$AE67:$OE67))</f>
        <v/>
      </c>
      <c r="AA67" s="34"/>
      <c r="AB67" s="34" t="str" cm="1">
        <f t="array" ref="AB67">IF($C67="","",SUMPRODUCT((TEXT($AE$5:$OE$5, "mmm")=LOWER(AA$3))*$AE67:$OE67))</f>
        <v/>
      </c>
      <c r="AC67" s="34"/>
      <c r="AD67" s="34" t="str" cm="1">
        <f t="array" ref="AD67">IF($C67="","",SUMPRODUCT((TEXT($AE$5:$OE$5, "mmm")=LOWER(AC$3))*$AE67:$OE67))</f>
        <v/>
      </c>
      <c r="OE67" s="49"/>
    </row>
    <row r="68" spans="1:395">
      <c r="A68" s="35"/>
      <c r="C68" s="2" t="str">
        <f>IF(ISBLANK($B68),"",_xlfn.XLOOKUP($B68,Task_No,Project!$C$3:$C$144,"INVALID TASK"))</f>
        <v/>
      </c>
      <c r="E68" s="7" t="str">
        <f t="shared" si="18"/>
        <v/>
      </c>
      <c r="F68" s="7" t="str">
        <f t="shared" si="17"/>
        <v/>
      </c>
      <c r="G68" s="34"/>
      <c r="H68" s="34" t="str" cm="1">
        <f t="array" ref="H68">IF($C68="","",SUMPRODUCT((TEXT($AE$5:$OE$5, "mmm")=LOWER(G$3))*$AE68:$OE68))</f>
        <v/>
      </c>
      <c r="I68" s="34"/>
      <c r="J68" s="34" t="str" cm="1">
        <f t="array" ref="J68">IF($C68="","",SUMPRODUCT((TEXT($AE$5:$OE$5, "mmm")=LOWER(I$3))*$AE68:$OE68))</f>
        <v/>
      </c>
      <c r="K68" s="34"/>
      <c r="L68" s="34" t="str" cm="1">
        <f t="array" ref="L68">IF($C68="","",SUMPRODUCT((TEXT($AE$5:$OE$5, "mmm")=LOWER(K$3))*$AE68:$OE68))</f>
        <v/>
      </c>
      <c r="M68" s="34"/>
      <c r="N68" s="34" t="str" cm="1">
        <f t="array" ref="N68">IF($C68="","",SUMPRODUCT((TEXT($AE$5:$OE$5, "mmm")=LOWER(M$3))*$AE68:$OE68))</f>
        <v/>
      </c>
      <c r="O68" s="34"/>
      <c r="P68" s="34" t="str" cm="1">
        <f t="array" ref="P68">IF($C68="","",SUMPRODUCT((TEXT($AE$5:$OE$5, "mmm")=LOWER(O$3))*$AE68:$OE68))</f>
        <v/>
      </c>
      <c r="Q68" s="34"/>
      <c r="R68" s="34" t="str" cm="1">
        <f t="array" ref="R68">IF($C68="","",SUMPRODUCT((TEXT($AE$5:$OE$5, "mmm")=LOWER(Q$3))*$AE68:$OE68))</f>
        <v/>
      </c>
      <c r="S68" s="34"/>
      <c r="T68" s="34" t="str" cm="1">
        <f t="array" ref="T68">IF($C68="","",SUMPRODUCT((TEXT($AE$5:$OE$5, "mmm")=LOWER(S$3))*$AE68:$OE68))</f>
        <v/>
      </c>
      <c r="U68" s="34"/>
      <c r="V68" s="34" t="str" cm="1">
        <f t="array" ref="V68">IF($C68="","",SUMPRODUCT((TEXT($AE$5:$OE$5, "mmm")=LOWER(U$3))*$AE68:$OE68))</f>
        <v/>
      </c>
      <c r="W68" s="34"/>
      <c r="X68" s="34" t="str" cm="1">
        <f t="array" ref="X68">IF($C68="","",SUMPRODUCT((TEXT($AE$5:$OE$5, "mmm")=LOWER(W$3))*$AE68:$OE68))</f>
        <v/>
      </c>
      <c r="Y68" s="34"/>
      <c r="Z68" s="34" t="str" cm="1">
        <f t="array" ref="Z68">IF($C68="","",SUMPRODUCT((TEXT($AE$5:$OE$5, "mmm")=LOWER(Y$3))*$AE68:$OE68))</f>
        <v/>
      </c>
      <c r="AA68" s="34"/>
      <c r="AB68" s="34" t="str" cm="1">
        <f t="array" ref="AB68">IF($C68="","",SUMPRODUCT((TEXT($AE$5:$OE$5, "mmm")=LOWER(AA$3))*$AE68:$OE68))</f>
        <v/>
      </c>
      <c r="AC68" s="34"/>
      <c r="AD68" s="34" t="str" cm="1">
        <f t="array" ref="AD68">IF($C68="","",SUMPRODUCT((TEXT($AE$5:$OE$5, "mmm")=LOWER(AC$3))*$AE68:$OE68))</f>
        <v/>
      </c>
      <c r="OE68" s="49"/>
    </row>
    <row r="69" spans="1:395">
      <c r="A69" s="35"/>
      <c r="C69" s="2" t="str">
        <f>IF(ISBLANK($B69),"",_xlfn.XLOOKUP($B69,Task_No,Project!$C$3:$C$144,"INVALID TASK"))</f>
        <v/>
      </c>
      <c r="E69" s="7" t="str">
        <f t="shared" si="18"/>
        <v/>
      </c>
      <c r="F69" s="7" t="str">
        <f t="shared" si="17"/>
        <v/>
      </c>
      <c r="G69" s="34"/>
      <c r="H69" s="34" t="str" cm="1">
        <f t="array" ref="H69">IF($C69="","",SUMPRODUCT((TEXT($AE$5:$OE$5, "mmm")=LOWER(G$3))*$AE69:$OE69))</f>
        <v/>
      </c>
      <c r="I69" s="34"/>
      <c r="J69" s="34" t="str" cm="1">
        <f t="array" ref="J69">IF($C69="","",SUMPRODUCT((TEXT($AE$5:$OE$5, "mmm")=LOWER(I$3))*$AE69:$OE69))</f>
        <v/>
      </c>
      <c r="K69" s="34"/>
      <c r="L69" s="34" t="str" cm="1">
        <f t="array" ref="L69">IF($C69="","",SUMPRODUCT((TEXT($AE$5:$OE$5, "mmm")=LOWER(K$3))*$AE69:$OE69))</f>
        <v/>
      </c>
      <c r="M69" s="34"/>
      <c r="N69" s="34" t="str" cm="1">
        <f t="array" ref="N69">IF($C69="","",SUMPRODUCT((TEXT($AE$5:$OE$5, "mmm")=LOWER(M$3))*$AE69:$OE69))</f>
        <v/>
      </c>
      <c r="O69" s="34"/>
      <c r="P69" s="34" t="str" cm="1">
        <f t="array" ref="P69">IF($C69="","",SUMPRODUCT((TEXT($AE$5:$OE$5, "mmm")=LOWER(O$3))*$AE69:$OE69))</f>
        <v/>
      </c>
      <c r="Q69" s="34"/>
      <c r="R69" s="34" t="str" cm="1">
        <f t="array" ref="R69">IF($C69="","",SUMPRODUCT((TEXT($AE$5:$OE$5, "mmm")=LOWER(Q$3))*$AE69:$OE69))</f>
        <v/>
      </c>
      <c r="S69" s="34"/>
      <c r="T69" s="34" t="str" cm="1">
        <f t="array" ref="T69">IF($C69="","",SUMPRODUCT((TEXT($AE$5:$OE$5, "mmm")=LOWER(S$3))*$AE69:$OE69))</f>
        <v/>
      </c>
      <c r="U69" s="34"/>
      <c r="V69" s="34" t="str" cm="1">
        <f t="array" ref="V69">IF($C69="","",SUMPRODUCT((TEXT($AE$5:$OE$5, "mmm")=LOWER(U$3))*$AE69:$OE69))</f>
        <v/>
      </c>
      <c r="W69" s="34"/>
      <c r="X69" s="34" t="str" cm="1">
        <f t="array" ref="X69">IF($C69="","",SUMPRODUCT((TEXT($AE$5:$OE$5, "mmm")=LOWER(W$3))*$AE69:$OE69))</f>
        <v/>
      </c>
      <c r="Y69" s="34"/>
      <c r="Z69" s="34" t="str" cm="1">
        <f t="array" ref="Z69">IF($C69="","",SUMPRODUCT((TEXT($AE$5:$OE$5, "mmm")=LOWER(Y$3))*$AE69:$OE69))</f>
        <v/>
      </c>
      <c r="AA69" s="34"/>
      <c r="AB69" s="34" t="str" cm="1">
        <f t="array" ref="AB69">IF($C69="","",SUMPRODUCT((TEXT($AE$5:$OE$5, "mmm")=LOWER(AA$3))*$AE69:$OE69))</f>
        <v/>
      </c>
      <c r="AC69" s="34"/>
      <c r="AD69" s="34" t="str" cm="1">
        <f t="array" ref="AD69">IF($C69="","",SUMPRODUCT((TEXT($AE$5:$OE$5, "mmm")=LOWER(AC$3))*$AE69:$OE69))</f>
        <v/>
      </c>
      <c r="OE69" s="49"/>
    </row>
    <row r="70" spans="1:395">
      <c r="A70" s="35"/>
      <c r="C70" s="2" t="str">
        <f>IF(ISBLANK($B70),"",_xlfn.XLOOKUP($B70,Task_No,Project!$C$3:$C$144,"INVALID TASK"))</f>
        <v/>
      </c>
      <c r="E70" s="7" t="str">
        <f t="shared" si="18"/>
        <v/>
      </c>
      <c r="F70" s="7" t="str">
        <f t="shared" si="17"/>
        <v/>
      </c>
      <c r="G70" s="34"/>
      <c r="H70" s="34" t="str" cm="1">
        <f t="array" ref="H70">IF($C70="","",SUMPRODUCT((TEXT($AE$5:$OE$5, "mmm")=LOWER(G$3))*$AE70:$OE70))</f>
        <v/>
      </c>
      <c r="I70" s="34"/>
      <c r="J70" s="34" t="str" cm="1">
        <f t="array" ref="J70">IF($C70="","",SUMPRODUCT((TEXT($AE$5:$OE$5, "mmm")=LOWER(I$3))*$AE70:$OE70))</f>
        <v/>
      </c>
      <c r="K70" s="34"/>
      <c r="L70" s="34" t="str" cm="1">
        <f t="array" ref="L70">IF($C70="","",SUMPRODUCT((TEXT($AE$5:$OE$5, "mmm")=LOWER(K$3))*$AE70:$OE70))</f>
        <v/>
      </c>
      <c r="M70" s="34"/>
      <c r="N70" s="34" t="str" cm="1">
        <f t="array" ref="N70">IF($C70="","",SUMPRODUCT((TEXT($AE$5:$OE$5, "mmm")=LOWER(M$3))*$AE70:$OE70))</f>
        <v/>
      </c>
      <c r="O70" s="34"/>
      <c r="P70" s="34" t="str" cm="1">
        <f t="array" ref="P70">IF($C70="","",SUMPRODUCT((TEXT($AE$5:$OE$5, "mmm")=LOWER(O$3))*$AE70:$OE70))</f>
        <v/>
      </c>
      <c r="Q70" s="34"/>
      <c r="R70" s="34" t="str" cm="1">
        <f t="array" ref="R70">IF($C70="","",SUMPRODUCT((TEXT($AE$5:$OE$5, "mmm")=LOWER(Q$3))*$AE70:$OE70))</f>
        <v/>
      </c>
      <c r="S70" s="34"/>
      <c r="T70" s="34" t="str" cm="1">
        <f t="array" ref="T70">IF($C70="","",SUMPRODUCT((TEXT($AE$5:$OE$5, "mmm")=LOWER(S$3))*$AE70:$OE70))</f>
        <v/>
      </c>
      <c r="U70" s="34"/>
      <c r="V70" s="34" t="str" cm="1">
        <f t="array" ref="V70">IF($C70="","",SUMPRODUCT((TEXT($AE$5:$OE$5, "mmm")=LOWER(U$3))*$AE70:$OE70))</f>
        <v/>
      </c>
      <c r="W70" s="34"/>
      <c r="X70" s="34" t="str" cm="1">
        <f t="array" ref="X70">IF($C70="","",SUMPRODUCT((TEXT($AE$5:$OE$5, "mmm")=LOWER(W$3))*$AE70:$OE70))</f>
        <v/>
      </c>
      <c r="Y70" s="34"/>
      <c r="Z70" s="34" t="str" cm="1">
        <f t="array" ref="Z70">IF($C70="","",SUMPRODUCT((TEXT($AE$5:$OE$5, "mmm")=LOWER(Y$3))*$AE70:$OE70))</f>
        <v/>
      </c>
      <c r="AA70" s="34"/>
      <c r="AB70" s="34" t="str" cm="1">
        <f t="array" ref="AB70">IF($C70="","",SUMPRODUCT((TEXT($AE$5:$OE$5, "mmm")=LOWER(AA$3))*$AE70:$OE70))</f>
        <v/>
      </c>
      <c r="AC70" s="34"/>
      <c r="AD70" s="34" t="str" cm="1">
        <f t="array" ref="AD70">IF($C70="","",SUMPRODUCT((TEXT($AE$5:$OE$5, "mmm")=LOWER(AC$3))*$AE70:$OE70))</f>
        <v/>
      </c>
      <c r="OE70" s="49"/>
    </row>
    <row r="71" spans="1:395">
      <c r="A71" s="35"/>
      <c r="C71" s="2" t="str">
        <f>IF(ISBLANK($B71),"",_xlfn.XLOOKUP($B71,Task_No,Project!$C$3:$C$144,"INVALID TASK"))</f>
        <v/>
      </c>
      <c r="E71" s="7" t="str">
        <f t="shared" si="18"/>
        <v/>
      </c>
      <c r="F71" s="7" t="str">
        <f t="shared" si="17"/>
        <v/>
      </c>
      <c r="G71" s="34"/>
      <c r="H71" s="34" t="str" cm="1">
        <f t="array" ref="H71">IF($C71="","",SUMPRODUCT((TEXT($AE$5:$OE$5, "mmm")=LOWER(G$3))*$AE71:$OE71))</f>
        <v/>
      </c>
      <c r="I71" s="34"/>
      <c r="J71" s="34" t="str" cm="1">
        <f t="array" ref="J71">IF($C71="","",SUMPRODUCT((TEXT($AE$5:$OE$5, "mmm")=LOWER(I$3))*$AE71:$OE71))</f>
        <v/>
      </c>
      <c r="K71" s="34"/>
      <c r="L71" s="34" t="str" cm="1">
        <f t="array" ref="L71">IF($C71="","",SUMPRODUCT((TEXT($AE$5:$OE$5, "mmm")=LOWER(K$3))*$AE71:$OE71))</f>
        <v/>
      </c>
      <c r="M71" s="34"/>
      <c r="N71" s="34" t="str" cm="1">
        <f t="array" ref="N71">IF($C71="","",SUMPRODUCT((TEXT($AE$5:$OE$5, "mmm")=LOWER(M$3))*$AE71:$OE71))</f>
        <v/>
      </c>
      <c r="O71" s="34"/>
      <c r="P71" s="34" t="str" cm="1">
        <f t="array" ref="P71">IF($C71="","",SUMPRODUCT((TEXT($AE$5:$OE$5, "mmm")=LOWER(O$3))*$AE71:$OE71))</f>
        <v/>
      </c>
      <c r="Q71" s="34"/>
      <c r="R71" s="34" t="str" cm="1">
        <f t="array" ref="R71">IF($C71="","",SUMPRODUCT((TEXT($AE$5:$OE$5, "mmm")=LOWER(Q$3))*$AE71:$OE71))</f>
        <v/>
      </c>
      <c r="S71" s="34"/>
      <c r="T71" s="34" t="str" cm="1">
        <f t="array" ref="T71">IF($C71="","",SUMPRODUCT((TEXT($AE$5:$OE$5, "mmm")=LOWER(S$3))*$AE71:$OE71))</f>
        <v/>
      </c>
      <c r="U71" s="34"/>
      <c r="V71" s="34" t="str" cm="1">
        <f t="array" ref="V71">IF($C71="","",SUMPRODUCT((TEXT($AE$5:$OE$5, "mmm")=LOWER(U$3))*$AE71:$OE71))</f>
        <v/>
      </c>
      <c r="W71" s="34"/>
      <c r="X71" s="34" t="str" cm="1">
        <f t="array" ref="X71">IF($C71="","",SUMPRODUCT((TEXT($AE$5:$OE$5, "mmm")=LOWER(W$3))*$AE71:$OE71))</f>
        <v/>
      </c>
      <c r="Y71" s="34"/>
      <c r="Z71" s="34" t="str" cm="1">
        <f t="array" ref="Z71">IF($C71="","",SUMPRODUCT((TEXT($AE$5:$OE$5, "mmm")=LOWER(Y$3))*$AE71:$OE71))</f>
        <v/>
      </c>
      <c r="AA71" s="34"/>
      <c r="AB71" s="34" t="str" cm="1">
        <f t="array" ref="AB71">IF($C71="","",SUMPRODUCT((TEXT($AE$5:$OE$5, "mmm")=LOWER(AA$3))*$AE71:$OE71))</f>
        <v/>
      </c>
      <c r="AC71" s="34"/>
      <c r="AD71" s="34" t="str" cm="1">
        <f t="array" ref="AD71">IF($C71="","",SUMPRODUCT((TEXT($AE$5:$OE$5, "mmm")=LOWER(AC$3))*$AE71:$OE71))</f>
        <v/>
      </c>
      <c r="OE71" s="49"/>
    </row>
    <row r="72" spans="1:395">
      <c r="A72" s="35"/>
      <c r="C72" s="2" t="str">
        <f>IF(ISBLANK($B72),"",_xlfn.XLOOKUP($B72,Task_No,Project!$C$3:$C$144,"INVALID TASK"))</f>
        <v/>
      </c>
      <c r="E72" s="7" t="str">
        <f t="shared" si="18"/>
        <v/>
      </c>
      <c r="F72" s="7" t="str">
        <f t="shared" si="17"/>
        <v/>
      </c>
      <c r="G72" s="34"/>
      <c r="H72" s="34" t="str" cm="1">
        <f t="array" ref="H72">IF($C72="","",SUMPRODUCT((TEXT($AE$5:$OE$5, "mmm")=LOWER(G$3))*$AE72:$OE72))</f>
        <v/>
      </c>
      <c r="I72" s="34"/>
      <c r="J72" s="34" t="str" cm="1">
        <f t="array" ref="J72">IF($C72="","",SUMPRODUCT((TEXT($AE$5:$OE$5, "mmm")=LOWER(I$3))*$AE72:$OE72))</f>
        <v/>
      </c>
      <c r="K72" s="34"/>
      <c r="L72" s="34" t="str" cm="1">
        <f t="array" ref="L72">IF($C72="","",SUMPRODUCT((TEXT($AE$5:$OE$5, "mmm")=LOWER(K$3))*$AE72:$OE72))</f>
        <v/>
      </c>
      <c r="M72" s="34"/>
      <c r="N72" s="34" t="str" cm="1">
        <f t="array" ref="N72">IF($C72="","",SUMPRODUCT((TEXT($AE$5:$OE$5, "mmm")=LOWER(M$3))*$AE72:$OE72))</f>
        <v/>
      </c>
      <c r="O72" s="34"/>
      <c r="P72" s="34" t="str" cm="1">
        <f t="array" ref="P72">IF($C72="","",SUMPRODUCT((TEXT($AE$5:$OE$5, "mmm")=LOWER(O$3))*$AE72:$OE72))</f>
        <v/>
      </c>
      <c r="Q72" s="34"/>
      <c r="R72" s="34" t="str" cm="1">
        <f t="array" ref="R72">IF($C72="","",SUMPRODUCT((TEXT($AE$5:$OE$5, "mmm")=LOWER(Q$3))*$AE72:$OE72))</f>
        <v/>
      </c>
      <c r="S72" s="34"/>
      <c r="T72" s="34" t="str" cm="1">
        <f t="array" ref="T72">IF($C72="","",SUMPRODUCT((TEXT($AE$5:$OE$5, "mmm")=LOWER(S$3))*$AE72:$OE72))</f>
        <v/>
      </c>
      <c r="U72" s="34"/>
      <c r="V72" s="34" t="str" cm="1">
        <f t="array" ref="V72">IF($C72="","",SUMPRODUCT((TEXT($AE$5:$OE$5, "mmm")=LOWER(U$3))*$AE72:$OE72))</f>
        <v/>
      </c>
      <c r="W72" s="34"/>
      <c r="X72" s="34" t="str" cm="1">
        <f t="array" ref="X72">IF($C72="","",SUMPRODUCT((TEXT($AE$5:$OE$5, "mmm")=LOWER(W$3))*$AE72:$OE72))</f>
        <v/>
      </c>
      <c r="Y72" s="34"/>
      <c r="Z72" s="34" t="str" cm="1">
        <f t="array" ref="Z72">IF($C72="","",SUMPRODUCT((TEXT($AE$5:$OE$5, "mmm")=LOWER(Y$3))*$AE72:$OE72))</f>
        <v/>
      </c>
      <c r="AA72" s="34"/>
      <c r="AB72" s="34" t="str" cm="1">
        <f t="array" ref="AB72">IF($C72="","",SUMPRODUCT((TEXT($AE$5:$OE$5, "mmm")=LOWER(AA$3))*$AE72:$OE72))</f>
        <v/>
      </c>
      <c r="AC72" s="34"/>
      <c r="AD72" s="34" t="str" cm="1">
        <f t="array" ref="AD72">IF($C72="","",SUMPRODUCT((TEXT($AE$5:$OE$5, "mmm")=LOWER(AC$3))*$AE72:$OE72))</f>
        <v/>
      </c>
      <c r="OE72" s="49"/>
    </row>
    <row r="73" spans="1:395">
      <c r="A73" s="35"/>
      <c r="C73" s="2" t="str">
        <f>IF(ISBLANK($B73),"",_xlfn.XLOOKUP($B73,Task_No,Project!$C$3:$C$144,"INVALID TASK"))</f>
        <v/>
      </c>
      <c r="E73" s="7" t="str">
        <f t="shared" si="18"/>
        <v/>
      </c>
      <c r="F73" s="7" t="str">
        <f t="shared" si="17"/>
        <v/>
      </c>
      <c r="G73" s="34"/>
      <c r="H73" s="34" t="str" cm="1">
        <f t="array" ref="H73">IF($C73="","",SUMPRODUCT((TEXT($AE$5:$OE$5, "mmm")=LOWER(G$3))*$AE73:$OE73))</f>
        <v/>
      </c>
      <c r="I73" s="34"/>
      <c r="J73" s="34" t="str" cm="1">
        <f t="array" ref="J73">IF($C73="","",SUMPRODUCT((TEXT($AE$5:$OE$5, "mmm")=LOWER(I$3))*$AE73:$OE73))</f>
        <v/>
      </c>
      <c r="K73" s="34"/>
      <c r="L73" s="34" t="str" cm="1">
        <f t="array" ref="L73">IF($C73="","",SUMPRODUCT((TEXT($AE$5:$OE$5, "mmm")=LOWER(K$3))*$AE73:$OE73))</f>
        <v/>
      </c>
      <c r="M73" s="34"/>
      <c r="N73" s="34" t="str" cm="1">
        <f t="array" ref="N73">IF($C73="","",SUMPRODUCT((TEXT($AE$5:$OE$5, "mmm")=LOWER(M$3))*$AE73:$OE73))</f>
        <v/>
      </c>
      <c r="O73" s="34"/>
      <c r="P73" s="34" t="str" cm="1">
        <f t="array" ref="P73">IF($C73="","",SUMPRODUCT((TEXT($AE$5:$OE$5, "mmm")=LOWER(O$3))*$AE73:$OE73))</f>
        <v/>
      </c>
      <c r="Q73" s="34"/>
      <c r="R73" s="34" t="str" cm="1">
        <f t="array" ref="R73">IF($C73="","",SUMPRODUCT((TEXT($AE$5:$OE$5, "mmm")=LOWER(Q$3))*$AE73:$OE73))</f>
        <v/>
      </c>
      <c r="S73" s="34"/>
      <c r="T73" s="34" t="str" cm="1">
        <f t="array" ref="T73">IF($C73="","",SUMPRODUCT((TEXT($AE$5:$OE$5, "mmm")=LOWER(S$3))*$AE73:$OE73))</f>
        <v/>
      </c>
      <c r="U73" s="34"/>
      <c r="V73" s="34" t="str" cm="1">
        <f t="array" ref="V73">IF($C73="","",SUMPRODUCT((TEXT($AE$5:$OE$5, "mmm")=LOWER(U$3))*$AE73:$OE73))</f>
        <v/>
      </c>
      <c r="W73" s="34"/>
      <c r="X73" s="34" t="str" cm="1">
        <f t="array" ref="X73">IF($C73="","",SUMPRODUCT((TEXT($AE$5:$OE$5, "mmm")=LOWER(W$3))*$AE73:$OE73))</f>
        <v/>
      </c>
      <c r="Y73" s="34"/>
      <c r="Z73" s="34" t="str" cm="1">
        <f t="array" ref="Z73">IF($C73="","",SUMPRODUCT((TEXT($AE$5:$OE$5, "mmm")=LOWER(Y$3))*$AE73:$OE73))</f>
        <v/>
      </c>
      <c r="AA73" s="34"/>
      <c r="AB73" s="34" t="str" cm="1">
        <f t="array" ref="AB73">IF($C73="","",SUMPRODUCT((TEXT($AE$5:$OE$5, "mmm")=LOWER(AA$3))*$AE73:$OE73))</f>
        <v/>
      </c>
      <c r="AC73" s="34"/>
      <c r="AD73" s="34" t="str" cm="1">
        <f t="array" ref="AD73">IF($C73="","",SUMPRODUCT((TEXT($AE$5:$OE$5, "mmm")=LOWER(AC$3))*$AE73:$OE73))</f>
        <v/>
      </c>
      <c r="OE73" s="49"/>
    </row>
    <row r="74" spans="1:395">
      <c r="A74" s="35"/>
      <c r="C74" s="2" t="str">
        <f>IF(ISBLANK($B74),"",_xlfn.XLOOKUP($B74,Task_No,Project!$C$3:$C$144,"INVALID TASK"))</f>
        <v/>
      </c>
      <c r="E74" s="7" t="str">
        <f t="shared" si="18"/>
        <v/>
      </c>
      <c r="F74" s="7" t="str">
        <f t="shared" si="17"/>
        <v/>
      </c>
      <c r="G74" s="34"/>
      <c r="H74" s="34" t="str" cm="1">
        <f t="array" ref="H74">IF($C74="","",SUMPRODUCT((TEXT($AE$5:$OE$5, "mmm")=LOWER(G$3))*$AE74:$OE74))</f>
        <v/>
      </c>
      <c r="I74" s="34"/>
      <c r="J74" s="34" t="str" cm="1">
        <f t="array" ref="J74">IF($C74="","",SUMPRODUCT((TEXT($AE$5:$OE$5, "mmm")=LOWER(I$3))*$AE74:$OE74))</f>
        <v/>
      </c>
      <c r="K74" s="34"/>
      <c r="L74" s="34" t="str" cm="1">
        <f t="array" ref="L74">IF($C74="","",SUMPRODUCT((TEXT($AE$5:$OE$5, "mmm")=LOWER(K$3))*$AE74:$OE74))</f>
        <v/>
      </c>
      <c r="M74" s="34"/>
      <c r="N74" s="34" t="str" cm="1">
        <f t="array" ref="N74">IF($C74="","",SUMPRODUCT((TEXT($AE$5:$OE$5, "mmm")=LOWER(M$3))*$AE74:$OE74))</f>
        <v/>
      </c>
      <c r="O74" s="34"/>
      <c r="P74" s="34" t="str" cm="1">
        <f t="array" ref="P74">IF($C74="","",SUMPRODUCT((TEXT($AE$5:$OE$5, "mmm")=LOWER(O$3))*$AE74:$OE74))</f>
        <v/>
      </c>
      <c r="Q74" s="34"/>
      <c r="R74" s="34" t="str" cm="1">
        <f t="array" ref="R74">IF($C74="","",SUMPRODUCT((TEXT($AE$5:$OE$5, "mmm")=LOWER(Q$3))*$AE74:$OE74))</f>
        <v/>
      </c>
      <c r="S74" s="34"/>
      <c r="T74" s="34" t="str" cm="1">
        <f t="array" ref="T74">IF($C74="","",SUMPRODUCT((TEXT($AE$5:$OE$5, "mmm")=LOWER(S$3))*$AE74:$OE74))</f>
        <v/>
      </c>
      <c r="U74" s="34"/>
      <c r="V74" s="34" t="str" cm="1">
        <f t="array" ref="V74">IF($C74="","",SUMPRODUCT((TEXT($AE$5:$OE$5, "mmm")=LOWER(U$3))*$AE74:$OE74))</f>
        <v/>
      </c>
      <c r="W74" s="34"/>
      <c r="X74" s="34" t="str" cm="1">
        <f t="array" ref="X74">IF($C74="","",SUMPRODUCT((TEXT($AE$5:$OE$5, "mmm")=LOWER(W$3))*$AE74:$OE74))</f>
        <v/>
      </c>
      <c r="Y74" s="34"/>
      <c r="Z74" s="34" t="str" cm="1">
        <f t="array" ref="Z74">IF($C74="","",SUMPRODUCT((TEXT($AE$5:$OE$5, "mmm")=LOWER(Y$3))*$AE74:$OE74))</f>
        <v/>
      </c>
      <c r="AA74" s="34"/>
      <c r="AB74" s="34" t="str" cm="1">
        <f t="array" ref="AB74">IF($C74="","",SUMPRODUCT((TEXT($AE$5:$OE$5, "mmm")=LOWER(AA$3))*$AE74:$OE74))</f>
        <v/>
      </c>
      <c r="AC74" s="34"/>
      <c r="AD74" s="34" t="str" cm="1">
        <f t="array" ref="AD74">IF($C74="","",SUMPRODUCT((TEXT($AE$5:$OE$5, "mmm")=LOWER(AC$3))*$AE74:$OE74))</f>
        <v/>
      </c>
      <c r="OE74" s="49"/>
    </row>
    <row r="75" spans="1:395">
      <c r="A75" s="35"/>
      <c r="C75" s="2" t="str">
        <f>IF(ISBLANK($B75),"",_xlfn.XLOOKUP($B75,Task_No,Project!$C$3:$C$144,"INVALID TASK"))</f>
        <v/>
      </c>
      <c r="E75" s="7" t="str">
        <f t="shared" si="18"/>
        <v/>
      </c>
      <c r="F75" s="7" t="str">
        <f t="shared" si="17"/>
        <v/>
      </c>
      <c r="G75" s="34"/>
      <c r="H75" s="34" t="str" cm="1">
        <f t="array" ref="H75">IF($C75="","",SUMPRODUCT((TEXT($AE$5:$OE$5, "mmm")=LOWER(G$3))*$AE75:$OE75))</f>
        <v/>
      </c>
      <c r="I75" s="34"/>
      <c r="J75" s="34" t="str" cm="1">
        <f t="array" ref="J75">IF($C75="","",SUMPRODUCT((TEXT($AE$5:$OE$5, "mmm")=LOWER(I$3))*$AE75:$OE75))</f>
        <v/>
      </c>
      <c r="K75" s="34"/>
      <c r="L75" s="34" t="str" cm="1">
        <f t="array" ref="L75">IF($C75="","",SUMPRODUCT((TEXT($AE$5:$OE$5, "mmm")=LOWER(K$3))*$AE75:$OE75))</f>
        <v/>
      </c>
      <c r="M75" s="34"/>
      <c r="N75" s="34" t="str" cm="1">
        <f t="array" ref="N75">IF($C75="","",SUMPRODUCT((TEXT($AE$5:$OE$5, "mmm")=LOWER(M$3))*$AE75:$OE75))</f>
        <v/>
      </c>
      <c r="O75" s="34"/>
      <c r="P75" s="34" t="str" cm="1">
        <f t="array" ref="P75">IF($C75="","",SUMPRODUCT((TEXT($AE$5:$OE$5, "mmm")=LOWER(O$3))*$AE75:$OE75))</f>
        <v/>
      </c>
      <c r="Q75" s="34"/>
      <c r="R75" s="34" t="str" cm="1">
        <f t="array" ref="R75">IF($C75="","",SUMPRODUCT((TEXT($AE$5:$OE$5, "mmm")=LOWER(Q$3))*$AE75:$OE75))</f>
        <v/>
      </c>
      <c r="S75" s="34"/>
      <c r="T75" s="34" t="str" cm="1">
        <f t="array" ref="T75">IF($C75="","",SUMPRODUCT((TEXT($AE$5:$OE$5, "mmm")=LOWER(S$3))*$AE75:$OE75))</f>
        <v/>
      </c>
      <c r="U75" s="34"/>
      <c r="V75" s="34" t="str" cm="1">
        <f t="array" ref="V75">IF($C75="","",SUMPRODUCT((TEXT($AE$5:$OE$5, "mmm")=LOWER(U$3))*$AE75:$OE75))</f>
        <v/>
      </c>
      <c r="W75" s="34"/>
      <c r="X75" s="34" t="str" cm="1">
        <f t="array" ref="X75">IF($C75="","",SUMPRODUCT((TEXT($AE$5:$OE$5, "mmm")=LOWER(W$3))*$AE75:$OE75))</f>
        <v/>
      </c>
      <c r="Y75" s="34"/>
      <c r="Z75" s="34" t="str" cm="1">
        <f t="array" ref="Z75">IF($C75="","",SUMPRODUCT((TEXT($AE$5:$OE$5, "mmm")=LOWER(Y$3))*$AE75:$OE75))</f>
        <v/>
      </c>
      <c r="AA75" s="34"/>
      <c r="AB75" s="34" t="str" cm="1">
        <f t="array" ref="AB75">IF($C75="","",SUMPRODUCT((TEXT($AE$5:$OE$5, "mmm")=LOWER(AA$3))*$AE75:$OE75))</f>
        <v/>
      </c>
      <c r="AC75" s="34"/>
      <c r="AD75" s="34" t="str" cm="1">
        <f t="array" ref="AD75">IF($C75="","",SUMPRODUCT((TEXT($AE$5:$OE$5, "mmm")=LOWER(AC$3))*$AE75:$OE75))</f>
        <v/>
      </c>
      <c r="OE75" s="49"/>
    </row>
    <row r="76" spans="1:395">
      <c r="A76" s="35"/>
      <c r="C76" s="2" t="str">
        <f>IF(ISBLANK($B76),"",_xlfn.XLOOKUP($B76,Task_No,Project!$C$3:$C$144,"INVALID TASK"))</f>
        <v/>
      </c>
      <c r="E76" s="7" t="str">
        <f t="shared" si="18"/>
        <v/>
      </c>
      <c r="F76" s="7" t="str">
        <f t="shared" si="17"/>
        <v/>
      </c>
      <c r="G76" s="34"/>
      <c r="H76" s="34" t="str" cm="1">
        <f t="array" ref="H76">IF($C76="","",SUMPRODUCT((TEXT($AE$5:$OE$5, "mmm")=LOWER(G$3))*$AE76:$OE76))</f>
        <v/>
      </c>
      <c r="I76" s="34"/>
      <c r="J76" s="34" t="str" cm="1">
        <f t="array" ref="J76">IF($C76="","",SUMPRODUCT((TEXT($AE$5:$OE$5, "mmm")=LOWER(I$3))*$AE76:$OE76))</f>
        <v/>
      </c>
      <c r="K76" s="34"/>
      <c r="L76" s="34" t="str" cm="1">
        <f t="array" ref="L76">IF($C76="","",SUMPRODUCT((TEXT($AE$5:$OE$5, "mmm")=LOWER(K$3))*$AE76:$OE76))</f>
        <v/>
      </c>
      <c r="M76" s="34"/>
      <c r="N76" s="34" t="str" cm="1">
        <f t="array" ref="N76">IF($C76="","",SUMPRODUCT((TEXT($AE$5:$OE$5, "mmm")=LOWER(M$3))*$AE76:$OE76))</f>
        <v/>
      </c>
      <c r="O76" s="34"/>
      <c r="P76" s="34" t="str" cm="1">
        <f t="array" ref="P76">IF($C76="","",SUMPRODUCT((TEXT($AE$5:$OE$5, "mmm")=LOWER(O$3))*$AE76:$OE76))</f>
        <v/>
      </c>
      <c r="Q76" s="34"/>
      <c r="R76" s="34" t="str" cm="1">
        <f t="array" ref="R76">IF($C76="","",SUMPRODUCT((TEXT($AE$5:$OE$5, "mmm")=LOWER(Q$3))*$AE76:$OE76))</f>
        <v/>
      </c>
      <c r="S76" s="34"/>
      <c r="T76" s="34" t="str" cm="1">
        <f t="array" ref="T76">IF($C76="","",SUMPRODUCT((TEXT($AE$5:$OE$5, "mmm")=LOWER(S$3))*$AE76:$OE76))</f>
        <v/>
      </c>
      <c r="U76" s="34"/>
      <c r="V76" s="34" t="str" cm="1">
        <f t="array" ref="V76">IF($C76="","",SUMPRODUCT((TEXT($AE$5:$OE$5, "mmm")=LOWER(U$3))*$AE76:$OE76))</f>
        <v/>
      </c>
      <c r="W76" s="34"/>
      <c r="X76" s="34" t="str" cm="1">
        <f t="array" ref="X76">IF($C76="","",SUMPRODUCT((TEXT($AE$5:$OE$5, "mmm")=LOWER(W$3))*$AE76:$OE76))</f>
        <v/>
      </c>
      <c r="Y76" s="34"/>
      <c r="Z76" s="34" t="str" cm="1">
        <f t="array" ref="Z76">IF($C76="","",SUMPRODUCT((TEXT($AE$5:$OE$5, "mmm")=LOWER(Y$3))*$AE76:$OE76))</f>
        <v/>
      </c>
      <c r="AA76" s="34"/>
      <c r="AB76" s="34" t="str" cm="1">
        <f t="array" ref="AB76">IF($C76="","",SUMPRODUCT((TEXT($AE$5:$OE$5, "mmm")=LOWER(AA$3))*$AE76:$OE76))</f>
        <v/>
      </c>
      <c r="AC76" s="34"/>
      <c r="AD76" s="34" t="str" cm="1">
        <f t="array" ref="AD76">IF($C76="","",SUMPRODUCT((TEXT($AE$5:$OE$5, "mmm")=LOWER(AC$3))*$AE76:$OE76))</f>
        <v/>
      </c>
      <c r="OE76" s="49"/>
    </row>
    <row r="77" spans="1:395">
      <c r="A77" s="35"/>
      <c r="C77" s="2" t="str">
        <f>IF(ISBLANK($B77),"",_xlfn.XLOOKUP($B77,Task_No,Project!$C$3:$C$144,"INVALID TASK"))</f>
        <v/>
      </c>
      <c r="E77" s="7" t="str">
        <f t="shared" si="18"/>
        <v/>
      </c>
      <c r="F77" s="7" t="str">
        <f t="shared" si="17"/>
        <v/>
      </c>
      <c r="G77" s="34"/>
      <c r="H77" s="34" t="str" cm="1">
        <f t="array" ref="H77">IF($C77="","",SUMPRODUCT((TEXT($AE$5:$OE$5, "mmm")=LOWER(G$3))*$AE77:$OE77))</f>
        <v/>
      </c>
      <c r="I77" s="34"/>
      <c r="J77" s="34" t="str" cm="1">
        <f t="array" ref="J77">IF($C77="","",SUMPRODUCT((TEXT($AE$5:$OE$5, "mmm")=LOWER(I$3))*$AE77:$OE77))</f>
        <v/>
      </c>
      <c r="K77" s="34"/>
      <c r="L77" s="34" t="str" cm="1">
        <f t="array" ref="L77">IF($C77="","",SUMPRODUCT((TEXT($AE$5:$OE$5, "mmm")=LOWER(K$3))*$AE77:$OE77))</f>
        <v/>
      </c>
      <c r="M77" s="34"/>
      <c r="N77" s="34" t="str" cm="1">
        <f t="array" ref="N77">IF($C77="","",SUMPRODUCT((TEXT($AE$5:$OE$5, "mmm")=LOWER(M$3))*$AE77:$OE77))</f>
        <v/>
      </c>
      <c r="O77" s="34"/>
      <c r="P77" s="34" t="str" cm="1">
        <f t="array" ref="P77">IF($C77="","",SUMPRODUCT((TEXT($AE$5:$OE$5, "mmm")=LOWER(O$3))*$AE77:$OE77))</f>
        <v/>
      </c>
      <c r="Q77" s="34"/>
      <c r="R77" s="34" t="str" cm="1">
        <f t="array" ref="R77">IF($C77="","",SUMPRODUCT((TEXT($AE$5:$OE$5, "mmm")=LOWER(Q$3))*$AE77:$OE77))</f>
        <v/>
      </c>
      <c r="S77" s="34"/>
      <c r="T77" s="34" t="str" cm="1">
        <f t="array" ref="T77">IF($C77="","",SUMPRODUCT((TEXT($AE$5:$OE$5, "mmm")=LOWER(S$3))*$AE77:$OE77))</f>
        <v/>
      </c>
      <c r="U77" s="34"/>
      <c r="V77" s="34" t="str" cm="1">
        <f t="array" ref="V77">IF($C77="","",SUMPRODUCT((TEXT($AE$5:$OE$5, "mmm")=LOWER(U$3))*$AE77:$OE77))</f>
        <v/>
      </c>
      <c r="W77" s="34"/>
      <c r="X77" s="34" t="str" cm="1">
        <f t="array" ref="X77">IF($C77="","",SUMPRODUCT((TEXT($AE$5:$OE$5, "mmm")=LOWER(W$3))*$AE77:$OE77))</f>
        <v/>
      </c>
      <c r="Y77" s="34"/>
      <c r="Z77" s="34" t="str" cm="1">
        <f t="array" ref="Z77">IF($C77="","",SUMPRODUCT((TEXT($AE$5:$OE$5, "mmm")=LOWER(Y$3))*$AE77:$OE77))</f>
        <v/>
      </c>
      <c r="AA77" s="34"/>
      <c r="AB77" s="34" t="str" cm="1">
        <f t="array" ref="AB77">IF($C77="","",SUMPRODUCT((TEXT($AE$5:$OE$5, "mmm")=LOWER(AA$3))*$AE77:$OE77))</f>
        <v/>
      </c>
      <c r="AC77" s="34"/>
      <c r="AD77" s="34" t="str" cm="1">
        <f t="array" ref="AD77">IF($C77="","",SUMPRODUCT((TEXT($AE$5:$OE$5, "mmm")=LOWER(AC$3))*$AE77:$OE77))</f>
        <v/>
      </c>
      <c r="OE77" s="49"/>
    </row>
    <row r="78" spans="1:395">
      <c r="A78" s="35"/>
      <c r="C78" s="2" t="str">
        <f>IF(ISBLANK($B78),"",_xlfn.XLOOKUP($B78,Task_No,Project!$C$3:$C$144,"INVALID TASK"))</f>
        <v/>
      </c>
      <c r="E78" s="7" t="str">
        <f t="shared" si="18"/>
        <v/>
      </c>
      <c r="F78" s="7" t="str">
        <f t="shared" si="17"/>
        <v/>
      </c>
      <c r="G78" s="34"/>
      <c r="H78" s="34" t="str" cm="1">
        <f t="array" ref="H78">IF($C78="","",SUMPRODUCT((TEXT($AE$5:$OE$5, "mmm")=LOWER(G$3))*$AE78:$OE78))</f>
        <v/>
      </c>
      <c r="I78" s="34"/>
      <c r="J78" s="34" t="str" cm="1">
        <f t="array" ref="J78">IF($C78="","",SUMPRODUCT((TEXT($AE$5:$OE$5, "mmm")=LOWER(I$3))*$AE78:$OE78))</f>
        <v/>
      </c>
      <c r="K78" s="34"/>
      <c r="L78" s="34" t="str" cm="1">
        <f t="array" ref="L78">IF($C78="","",SUMPRODUCT((TEXT($AE$5:$OE$5, "mmm")=LOWER(K$3))*$AE78:$OE78))</f>
        <v/>
      </c>
      <c r="M78" s="34"/>
      <c r="N78" s="34" t="str" cm="1">
        <f t="array" ref="N78">IF($C78="","",SUMPRODUCT((TEXT($AE$5:$OE$5, "mmm")=LOWER(M$3))*$AE78:$OE78))</f>
        <v/>
      </c>
      <c r="O78" s="34"/>
      <c r="P78" s="34" t="str" cm="1">
        <f t="array" ref="P78">IF($C78="","",SUMPRODUCT((TEXT($AE$5:$OE$5, "mmm")=LOWER(O$3))*$AE78:$OE78))</f>
        <v/>
      </c>
      <c r="Q78" s="34"/>
      <c r="R78" s="34" t="str" cm="1">
        <f t="array" ref="R78">IF($C78="","",SUMPRODUCT((TEXT($AE$5:$OE$5, "mmm")=LOWER(Q$3))*$AE78:$OE78))</f>
        <v/>
      </c>
      <c r="S78" s="34"/>
      <c r="T78" s="34" t="str" cm="1">
        <f t="array" ref="T78">IF($C78="","",SUMPRODUCT((TEXT($AE$5:$OE$5, "mmm")=LOWER(S$3))*$AE78:$OE78))</f>
        <v/>
      </c>
      <c r="U78" s="34"/>
      <c r="V78" s="34" t="str" cm="1">
        <f t="array" ref="V78">IF($C78="","",SUMPRODUCT((TEXT($AE$5:$OE$5, "mmm")=LOWER(U$3))*$AE78:$OE78))</f>
        <v/>
      </c>
      <c r="W78" s="34"/>
      <c r="X78" s="34" t="str" cm="1">
        <f t="array" ref="X78">IF($C78="","",SUMPRODUCT((TEXT($AE$5:$OE$5, "mmm")=LOWER(W$3))*$AE78:$OE78))</f>
        <v/>
      </c>
      <c r="Y78" s="34"/>
      <c r="Z78" s="34" t="str" cm="1">
        <f t="array" ref="Z78">IF($C78="","",SUMPRODUCT((TEXT($AE$5:$OE$5, "mmm")=LOWER(Y$3))*$AE78:$OE78))</f>
        <v/>
      </c>
      <c r="AA78" s="34"/>
      <c r="AB78" s="34" t="str" cm="1">
        <f t="array" ref="AB78">IF($C78="","",SUMPRODUCT((TEXT($AE$5:$OE$5, "mmm")=LOWER(AA$3))*$AE78:$OE78))</f>
        <v/>
      </c>
      <c r="AC78" s="34"/>
      <c r="AD78" s="34" t="str" cm="1">
        <f t="array" ref="AD78">IF($C78="","",SUMPRODUCT((TEXT($AE$5:$OE$5, "mmm")=LOWER(AC$3))*$AE78:$OE78))</f>
        <v/>
      </c>
      <c r="OE78" s="49"/>
    </row>
    <row r="79" spans="1:395">
      <c r="A79" s="35"/>
      <c r="C79" s="2" t="str">
        <f>IF(ISBLANK($B79),"",_xlfn.XLOOKUP($B79,Task_No,Project!$C$3:$C$144,"INVALID TASK"))</f>
        <v/>
      </c>
      <c r="E79" s="7" t="str">
        <f t="shared" si="18"/>
        <v/>
      </c>
      <c r="F79" s="7" t="str">
        <f t="shared" si="17"/>
        <v/>
      </c>
      <c r="G79" s="34"/>
      <c r="H79" s="34" t="str" cm="1">
        <f t="array" ref="H79">IF($C79="","",SUMPRODUCT((TEXT($AE$5:$OE$5, "mmm")=LOWER(G$3))*$AE79:$OE79))</f>
        <v/>
      </c>
      <c r="I79" s="34"/>
      <c r="J79" s="34" t="str" cm="1">
        <f t="array" ref="J79">IF($C79="","",SUMPRODUCT((TEXT($AE$5:$OE$5, "mmm")=LOWER(I$3))*$AE79:$OE79))</f>
        <v/>
      </c>
      <c r="K79" s="34"/>
      <c r="L79" s="34" t="str" cm="1">
        <f t="array" ref="L79">IF($C79="","",SUMPRODUCT((TEXT($AE$5:$OE$5, "mmm")=LOWER(K$3))*$AE79:$OE79))</f>
        <v/>
      </c>
      <c r="M79" s="34"/>
      <c r="N79" s="34" t="str" cm="1">
        <f t="array" ref="N79">IF($C79="","",SUMPRODUCT((TEXT($AE$5:$OE$5, "mmm")=LOWER(M$3))*$AE79:$OE79))</f>
        <v/>
      </c>
      <c r="O79" s="34"/>
      <c r="P79" s="34" t="str" cm="1">
        <f t="array" ref="P79">IF($C79="","",SUMPRODUCT((TEXT($AE$5:$OE$5, "mmm")=LOWER(O$3))*$AE79:$OE79))</f>
        <v/>
      </c>
      <c r="Q79" s="34"/>
      <c r="R79" s="34" t="str" cm="1">
        <f t="array" ref="R79">IF($C79="","",SUMPRODUCT((TEXT($AE$5:$OE$5, "mmm")=LOWER(Q$3))*$AE79:$OE79))</f>
        <v/>
      </c>
      <c r="S79" s="34"/>
      <c r="T79" s="34" t="str" cm="1">
        <f t="array" ref="T79">IF($C79="","",SUMPRODUCT((TEXT($AE$5:$OE$5, "mmm")=LOWER(S$3))*$AE79:$OE79))</f>
        <v/>
      </c>
      <c r="U79" s="34"/>
      <c r="V79" s="34" t="str" cm="1">
        <f t="array" ref="V79">IF($C79="","",SUMPRODUCT((TEXT($AE$5:$OE$5, "mmm")=LOWER(U$3))*$AE79:$OE79))</f>
        <v/>
      </c>
      <c r="W79" s="34"/>
      <c r="X79" s="34" t="str" cm="1">
        <f t="array" ref="X79">IF($C79="","",SUMPRODUCT((TEXT($AE$5:$OE$5, "mmm")=LOWER(W$3))*$AE79:$OE79))</f>
        <v/>
      </c>
      <c r="Y79" s="34"/>
      <c r="Z79" s="34" t="str" cm="1">
        <f t="array" ref="Z79">IF($C79="","",SUMPRODUCT((TEXT($AE$5:$OE$5, "mmm")=LOWER(Y$3))*$AE79:$OE79))</f>
        <v/>
      </c>
      <c r="AA79" s="34"/>
      <c r="AB79" s="34" t="str" cm="1">
        <f t="array" ref="AB79">IF($C79="","",SUMPRODUCT((TEXT($AE$5:$OE$5, "mmm")=LOWER(AA$3))*$AE79:$OE79))</f>
        <v/>
      </c>
      <c r="AC79" s="34"/>
      <c r="AD79" s="34" t="str" cm="1">
        <f t="array" ref="AD79">IF($C79="","",SUMPRODUCT((TEXT($AE$5:$OE$5, "mmm")=LOWER(AC$3))*$AE79:$OE79))</f>
        <v/>
      </c>
      <c r="OE79" s="49"/>
    </row>
    <row r="80" spans="1:395">
      <c r="A80" s="35"/>
      <c r="C80" s="2" t="str">
        <f>IF(ISBLANK($B80),"",_xlfn.XLOOKUP($B80,Task_No,Project!$C$3:$C$144,"INVALID TASK"))</f>
        <v/>
      </c>
      <c r="E80" s="7" t="str">
        <f t="shared" si="18"/>
        <v/>
      </c>
      <c r="F80" s="7" t="str">
        <f t="shared" ref="F80:F143" si="19">IF(C80 = "", "", SUM($H80,$J80,$L80,$N80,$P80,$R80,$T80,$V80,$X80,$Z80,$AB80,$AD80))</f>
        <v/>
      </c>
      <c r="G80" s="34"/>
      <c r="H80" s="34" t="str" cm="1">
        <f t="array" ref="H80">IF($C80="","",SUMPRODUCT((TEXT($AE$5:$OE$5, "mmm")=LOWER(G$3))*$AE80:$OE80))</f>
        <v/>
      </c>
      <c r="I80" s="34"/>
      <c r="J80" s="34" t="str" cm="1">
        <f t="array" ref="J80">IF($C80="","",SUMPRODUCT((TEXT($AE$5:$OE$5, "mmm")=LOWER(I$3))*$AE80:$OE80))</f>
        <v/>
      </c>
      <c r="K80" s="34"/>
      <c r="L80" s="34" t="str" cm="1">
        <f t="array" ref="L80">IF($C80="","",SUMPRODUCT((TEXT($AE$5:$OE$5, "mmm")=LOWER(K$3))*$AE80:$OE80))</f>
        <v/>
      </c>
      <c r="M80" s="34"/>
      <c r="N80" s="34" t="str" cm="1">
        <f t="array" ref="N80">IF($C80="","",SUMPRODUCT((TEXT($AE$5:$OE$5, "mmm")=LOWER(M$3))*$AE80:$OE80))</f>
        <v/>
      </c>
      <c r="O80" s="34"/>
      <c r="P80" s="34" t="str" cm="1">
        <f t="array" ref="P80">IF($C80="","",SUMPRODUCT((TEXT($AE$5:$OE$5, "mmm")=LOWER(O$3))*$AE80:$OE80))</f>
        <v/>
      </c>
      <c r="Q80" s="34"/>
      <c r="R80" s="34" t="str" cm="1">
        <f t="array" ref="R80">IF($C80="","",SUMPRODUCT((TEXT($AE$5:$OE$5, "mmm")=LOWER(Q$3))*$AE80:$OE80))</f>
        <v/>
      </c>
      <c r="S80" s="34"/>
      <c r="T80" s="34" t="str" cm="1">
        <f t="array" ref="T80">IF($C80="","",SUMPRODUCT((TEXT($AE$5:$OE$5, "mmm")=LOWER(S$3))*$AE80:$OE80))</f>
        <v/>
      </c>
      <c r="U80" s="34"/>
      <c r="V80" s="34" t="str" cm="1">
        <f t="array" ref="V80">IF($C80="","",SUMPRODUCT((TEXT($AE$5:$OE$5, "mmm")=LOWER(U$3))*$AE80:$OE80))</f>
        <v/>
      </c>
      <c r="W80" s="34"/>
      <c r="X80" s="34" t="str" cm="1">
        <f t="array" ref="X80">IF($C80="","",SUMPRODUCT((TEXT($AE$5:$OE$5, "mmm")=LOWER(W$3))*$AE80:$OE80))</f>
        <v/>
      </c>
      <c r="Y80" s="34"/>
      <c r="Z80" s="34" t="str" cm="1">
        <f t="array" ref="Z80">IF($C80="","",SUMPRODUCT((TEXT($AE$5:$OE$5, "mmm")=LOWER(Y$3))*$AE80:$OE80))</f>
        <v/>
      </c>
      <c r="AA80" s="34"/>
      <c r="AB80" s="34" t="str" cm="1">
        <f t="array" ref="AB80">IF($C80="","",SUMPRODUCT((TEXT($AE$5:$OE$5, "mmm")=LOWER(AA$3))*$AE80:$OE80))</f>
        <v/>
      </c>
      <c r="AC80" s="34"/>
      <c r="AD80" s="34" t="str" cm="1">
        <f t="array" ref="AD80">IF($C80="","",SUMPRODUCT((TEXT($AE$5:$OE$5, "mmm")=LOWER(AC$3))*$AE80:$OE80))</f>
        <v/>
      </c>
      <c r="OE80" s="49"/>
    </row>
    <row r="81" spans="1:395">
      <c r="A81" s="35"/>
      <c r="C81" s="2" t="str">
        <f>IF(ISBLANK($B81),"",_xlfn.XLOOKUP($B81,Task_No,Project!$C$3:$C$144,"INVALID TASK"))</f>
        <v/>
      </c>
      <c r="E81" s="7" t="str">
        <f t="shared" ref="E81:E144" si="20">IF(C81="","",SUM($G81,$I81,$K81,$M81,$O81,$Q81,$S81,$U81,$W81,$Y81,$AA81,$AC81))</f>
        <v/>
      </c>
      <c r="F81" s="7" t="str">
        <f t="shared" si="19"/>
        <v/>
      </c>
      <c r="G81" s="34"/>
      <c r="H81" s="34" t="str" cm="1">
        <f t="array" ref="H81">IF($C81="","",SUMPRODUCT((TEXT($AE$5:$OE$5, "mmm")=LOWER(G$3))*$AE81:$OE81))</f>
        <v/>
      </c>
      <c r="I81" s="34"/>
      <c r="J81" s="34" t="str" cm="1">
        <f t="array" ref="J81">IF($C81="","",SUMPRODUCT((TEXT($AE$5:$OE$5, "mmm")=LOWER(I$3))*$AE81:$OE81))</f>
        <v/>
      </c>
      <c r="K81" s="34"/>
      <c r="L81" s="34" t="str" cm="1">
        <f t="array" ref="L81">IF($C81="","",SUMPRODUCT((TEXT($AE$5:$OE$5, "mmm")=LOWER(K$3))*$AE81:$OE81))</f>
        <v/>
      </c>
      <c r="M81" s="34"/>
      <c r="N81" s="34" t="str" cm="1">
        <f t="array" ref="N81">IF($C81="","",SUMPRODUCT((TEXT($AE$5:$OE$5, "mmm")=LOWER(M$3))*$AE81:$OE81))</f>
        <v/>
      </c>
      <c r="O81" s="34"/>
      <c r="P81" s="34" t="str" cm="1">
        <f t="array" ref="P81">IF($C81="","",SUMPRODUCT((TEXT($AE$5:$OE$5, "mmm")=LOWER(O$3))*$AE81:$OE81))</f>
        <v/>
      </c>
      <c r="Q81" s="34"/>
      <c r="R81" s="34" t="str" cm="1">
        <f t="array" ref="R81">IF($C81="","",SUMPRODUCT((TEXT($AE$5:$OE$5, "mmm")=LOWER(Q$3))*$AE81:$OE81))</f>
        <v/>
      </c>
      <c r="S81" s="34"/>
      <c r="T81" s="34" t="str" cm="1">
        <f t="array" ref="T81">IF($C81="","",SUMPRODUCT((TEXT($AE$5:$OE$5, "mmm")=LOWER(S$3))*$AE81:$OE81))</f>
        <v/>
      </c>
      <c r="U81" s="34"/>
      <c r="V81" s="34" t="str" cm="1">
        <f t="array" ref="V81">IF($C81="","",SUMPRODUCT((TEXT($AE$5:$OE$5, "mmm")=LOWER(U$3))*$AE81:$OE81))</f>
        <v/>
      </c>
      <c r="W81" s="34"/>
      <c r="X81" s="34" t="str" cm="1">
        <f t="array" ref="X81">IF($C81="","",SUMPRODUCT((TEXT($AE$5:$OE$5, "mmm")=LOWER(W$3))*$AE81:$OE81))</f>
        <v/>
      </c>
      <c r="Y81" s="34"/>
      <c r="Z81" s="34" t="str" cm="1">
        <f t="array" ref="Z81">IF($C81="","",SUMPRODUCT((TEXT($AE$5:$OE$5, "mmm")=LOWER(Y$3))*$AE81:$OE81))</f>
        <v/>
      </c>
      <c r="AA81" s="34"/>
      <c r="AB81" s="34" t="str" cm="1">
        <f t="array" ref="AB81">IF($C81="","",SUMPRODUCT((TEXT($AE$5:$OE$5, "mmm")=LOWER(AA$3))*$AE81:$OE81))</f>
        <v/>
      </c>
      <c r="AC81" s="34"/>
      <c r="AD81" s="34" t="str" cm="1">
        <f t="array" ref="AD81">IF($C81="","",SUMPRODUCT((TEXT($AE$5:$OE$5, "mmm")=LOWER(AC$3))*$AE81:$OE81))</f>
        <v/>
      </c>
      <c r="OE81" s="49"/>
    </row>
    <row r="82" spans="1:395">
      <c r="A82" s="35"/>
      <c r="C82" s="2" t="str">
        <f>IF(ISBLANK($B82),"",_xlfn.XLOOKUP($B82,Task_No,Project!$C$3:$C$144,"INVALID TASK"))</f>
        <v/>
      </c>
      <c r="E82" s="7" t="str">
        <f t="shared" si="20"/>
        <v/>
      </c>
      <c r="F82" s="7" t="str">
        <f t="shared" si="19"/>
        <v/>
      </c>
      <c r="G82" s="34"/>
      <c r="H82" s="34" t="str" cm="1">
        <f t="array" ref="H82">IF($C82="","",SUMPRODUCT((TEXT($AE$5:$OE$5, "mmm")=LOWER(G$3))*$AE82:$OE82))</f>
        <v/>
      </c>
      <c r="I82" s="34"/>
      <c r="J82" s="34" t="str" cm="1">
        <f t="array" ref="J82">IF($C82="","",SUMPRODUCT((TEXT($AE$5:$OE$5, "mmm")=LOWER(I$3))*$AE82:$OE82))</f>
        <v/>
      </c>
      <c r="K82" s="34"/>
      <c r="L82" s="34" t="str" cm="1">
        <f t="array" ref="L82">IF($C82="","",SUMPRODUCT((TEXT($AE$5:$OE$5, "mmm")=LOWER(K$3))*$AE82:$OE82))</f>
        <v/>
      </c>
      <c r="M82" s="34"/>
      <c r="N82" s="34" t="str" cm="1">
        <f t="array" ref="N82">IF($C82="","",SUMPRODUCT((TEXT($AE$5:$OE$5, "mmm")=LOWER(M$3))*$AE82:$OE82))</f>
        <v/>
      </c>
      <c r="O82" s="34"/>
      <c r="P82" s="34" t="str" cm="1">
        <f t="array" ref="P82">IF($C82="","",SUMPRODUCT((TEXT($AE$5:$OE$5, "mmm")=LOWER(O$3))*$AE82:$OE82))</f>
        <v/>
      </c>
      <c r="Q82" s="34"/>
      <c r="R82" s="34" t="str" cm="1">
        <f t="array" ref="R82">IF($C82="","",SUMPRODUCT((TEXT($AE$5:$OE$5, "mmm")=LOWER(Q$3))*$AE82:$OE82))</f>
        <v/>
      </c>
      <c r="S82" s="34"/>
      <c r="T82" s="34" t="str" cm="1">
        <f t="array" ref="T82">IF($C82="","",SUMPRODUCT((TEXT($AE$5:$OE$5, "mmm")=LOWER(S$3))*$AE82:$OE82))</f>
        <v/>
      </c>
      <c r="U82" s="34"/>
      <c r="V82" s="34" t="str" cm="1">
        <f t="array" ref="V82">IF($C82="","",SUMPRODUCT((TEXT($AE$5:$OE$5, "mmm")=LOWER(U$3))*$AE82:$OE82))</f>
        <v/>
      </c>
      <c r="W82" s="34"/>
      <c r="X82" s="34" t="str" cm="1">
        <f t="array" ref="X82">IF($C82="","",SUMPRODUCT((TEXT($AE$5:$OE$5, "mmm")=LOWER(W$3))*$AE82:$OE82))</f>
        <v/>
      </c>
      <c r="Y82" s="34"/>
      <c r="Z82" s="34" t="str" cm="1">
        <f t="array" ref="Z82">IF($C82="","",SUMPRODUCT((TEXT($AE$5:$OE$5, "mmm")=LOWER(Y$3))*$AE82:$OE82))</f>
        <v/>
      </c>
      <c r="AA82" s="34"/>
      <c r="AB82" s="34" t="str" cm="1">
        <f t="array" ref="AB82">IF($C82="","",SUMPRODUCT((TEXT($AE$5:$OE$5, "mmm")=LOWER(AA$3))*$AE82:$OE82))</f>
        <v/>
      </c>
      <c r="AC82" s="34"/>
      <c r="AD82" s="34" t="str" cm="1">
        <f t="array" ref="AD82">IF($C82="","",SUMPRODUCT((TEXT($AE$5:$OE$5, "mmm")=LOWER(AC$3))*$AE82:$OE82))</f>
        <v/>
      </c>
      <c r="OE82" s="49"/>
    </row>
    <row r="83" spans="1:395">
      <c r="A83" s="35"/>
      <c r="C83" s="2" t="str">
        <f>IF(ISBLANK($B83),"",_xlfn.XLOOKUP($B83,Task_No,Project!$C$3:$C$144,"INVALID TASK"))</f>
        <v/>
      </c>
      <c r="E83" s="7" t="str">
        <f t="shared" si="20"/>
        <v/>
      </c>
      <c r="F83" s="7" t="str">
        <f t="shared" si="19"/>
        <v/>
      </c>
      <c r="G83" s="34"/>
      <c r="H83" s="34" t="str" cm="1">
        <f t="array" ref="H83">IF($C83="","",SUMPRODUCT((TEXT($AE$5:$OE$5, "mmm")=LOWER(G$3))*$AE83:$OE83))</f>
        <v/>
      </c>
      <c r="I83" s="34"/>
      <c r="J83" s="34" t="str" cm="1">
        <f t="array" ref="J83">IF($C83="","",SUMPRODUCT((TEXT($AE$5:$OE$5, "mmm")=LOWER(I$3))*$AE83:$OE83))</f>
        <v/>
      </c>
      <c r="K83" s="34"/>
      <c r="L83" s="34" t="str" cm="1">
        <f t="array" ref="L83">IF($C83="","",SUMPRODUCT((TEXT($AE$5:$OE$5, "mmm")=LOWER(K$3))*$AE83:$OE83))</f>
        <v/>
      </c>
      <c r="M83" s="34"/>
      <c r="N83" s="34" t="str" cm="1">
        <f t="array" ref="N83">IF($C83="","",SUMPRODUCT((TEXT($AE$5:$OE$5, "mmm")=LOWER(M$3))*$AE83:$OE83))</f>
        <v/>
      </c>
      <c r="O83" s="34"/>
      <c r="P83" s="34" t="str" cm="1">
        <f t="array" ref="P83">IF($C83="","",SUMPRODUCT((TEXT($AE$5:$OE$5, "mmm")=LOWER(O$3))*$AE83:$OE83))</f>
        <v/>
      </c>
      <c r="Q83" s="34"/>
      <c r="R83" s="34" t="str" cm="1">
        <f t="array" ref="R83">IF($C83="","",SUMPRODUCT((TEXT($AE$5:$OE$5, "mmm")=LOWER(Q$3))*$AE83:$OE83))</f>
        <v/>
      </c>
      <c r="S83" s="34"/>
      <c r="T83" s="34" t="str" cm="1">
        <f t="array" ref="T83">IF($C83="","",SUMPRODUCT((TEXT($AE$5:$OE$5, "mmm")=LOWER(S$3))*$AE83:$OE83))</f>
        <v/>
      </c>
      <c r="U83" s="34"/>
      <c r="V83" s="34" t="str" cm="1">
        <f t="array" ref="V83">IF($C83="","",SUMPRODUCT((TEXT($AE$5:$OE$5, "mmm")=LOWER(U$3))*$AE83:$OE83))</f>
        <v/>
      </c>
      <c r="W83" s="34"/>
      <c r="X83" s="34" t="str" cm="1">
        <f t="array" ref="X83">IF($C83="","",SUMPRODUCT((TEXT($AE$5:$OE$5, "mmm")=LOWER(W$3))*$AE83:$OE83))</f>
        <v/>
      </c>
      <c r="Y83" s="34"/>
      <c r="Z83" s="34" t="str" cm="1">
        <f t="array" ref="Z83">IF($C83="","",SUMPRODUCT((TEXT($AE$5:$OE$5, "mmm")=LOWER(Y$3))*$AE83:$OE83))</f>
        <v/>
      </c>
      <c r="AA83" s="34"/>
      <c r="AB83" s="34" t="str" cm="1">
        <f t="array" ref="AB83">IF($C83="","",SUMPRODUCT((TEXT($AE$5:$OE$5, "mmm")=LOWER(AA$3))*$AE83:$OE83))</f>
        <v/>
      </c>
      <c r="AC83" s="34"/>
      <c r="AD83" s="34" t="str" cm="1">
        <f t="array" ref="AD83">IF($C83="","",SUMPRODUCT((TEXT($AE$5:$OE$5, "mmm")=LOWER(AC$3))*$AE83:$OE83))</f>
        <v/>
      </c>
      <c r="OE83" s="49"/>
    </row>
    <row r="84" spans="1:395">
      <c r="A84" s="35"/>
      <c r="C84" s="2" t="str">
        <f>IF(ISBLANK($B84),"",_xlfn.XLOOKUP($B84,Task_No,Project!$C$3:$C$144,"INVALID TASK"))</f>
        <v/>
      </c>
      <c r="E84" s="7" t="str">
        <f t="shared" si="20"/>
        <v/>
      </c>
      <c r="F84" s="7" t="str">
        <f t="shared" si="19"/>
        <v/>
      </c>
      <c r="G84" s="34"/>
      <c r="H84" s="34" t="str" cm="1">
        <f t="array" ref="H84">IF($C84="","",SUMPRODUCT((TEXT($AE$5:$OE$5, "mmm")=LOWER(G$3))*$AE84:$OE84))</f>
        <v/>
      </c>
      <c r="I84" s="34"/>
      <c r="J84" s="34" t="str" cm="1">
        <f t="array" ref="J84">IF($C84="","",SUMPRODUCT((TEXT($AE$5:$OE$5, "mmm")=LOWER(I$3))*$AE84:$OE84))</f>
        <v/>
      </c>
      <c r="K84" s="34"/>
      <c r="L84" s="34" t="str" cm="1">
        <f t="array" ref="L84">IF($C84="","",SUMPRODUCT((TEXT($AE$5:$OE$5, "mmm")=LOWER(K$3))*$AE84:$OE84))</f>
        <v/>
      </c>
      <c r="M84" s="34"/>
      <c r="N84" s="34" t="str" cm="1">
        <f t="array" ref="N84">IF($C84="","",SUMPRODUCT((TEXT($AE$5:$OE$5, "mmm")=LOWER(M$3))*$AE84:$OE84))</f>
        <v/>
      </c>
      <c r="O84" s="34"/>
      <c r="P84" s="34" t="str" cm="1">
        <f t="array" ref="P84">IF($C84="","",SUMPRODUCT((TEXT($AE$5:$OE$5, "mmm")=LOWER(O$3))*$AE84:$OE84))</f>
        <v/>
      </c>
      <c r="Q84" s="34"/>
      <c r="R84" s="34" t="str" cm="1">
        <f t="array" ref="R84">IF($C84="","",SUMPRODUCT((TEXT($AE$5:$OE$5, "mmm")=LOWER(Q$3))*$AE84:$OE84))</f>
        <v/>
      </c>
      <c r="S84" s="34"/>
      <c r="T84" s="34" t="str" cm="1">
        <f t="array" ref="T84">IF($C84="","",SUMPRODUCT((TEXT($AE$5:$OE$5, "mmm")=LOWER(S$3))*$AE84:$OE84))</f>
        <v/>
      </c>
      <c r="U84" s="34"/>
      <c r="V84" s="34" t="str" cm="1">
        <f t="array" ref="V84">IF($C84="","",SUMPRODUCT((TEXT($AE$5:$OE$5, "mmm")=LOWER(U$3))*$AE84:$OE84))</f>
        <v/>
      </c>
      <c r="W84" s="34"/>
      <c r="X84" s="34" t="str" cm="1">
        <f t="array" ref="X84">IF($C84="","",SUMPRODUCT((TEXT($AE$5:$OE$5, "mmm")=LOWER(W$3))*$AE84:$OE84))</f>
        <v/>
      </c>
      <c r="Y84" s="34"/>
      <c r="Z84" s="34" t="str" cm="1">
        <f t="array" ref="Z84">IF($C84="","",SUMPRODUCT((TEXT($AE$5:$OE$5, "mmm")=LOWER(Y$3))*$AE84:$OE84))</f>
        <v/>
      </c>
      <c r="AA84" s="34"/>
      <c r="AB84" s="34" t="str" cm="1">
        <f t="array" ref="AB84">IF($C84="","",SUMPRODUCT((TEXT($AE$5:$OE$5, "mmm")=LOWER(AA$3))*$AE84:$OE84))</f>
        <v/>
      </c>
      <c r="AC84" s="34"/>
      <c r="AD84" s="34" t="str" cm="1">
        <f t="array" ref="AD84">IF($C84="","",SUMPRODUCT((TEXT($AE$5:$OE$5, "mmm")=LOWER(AC$3))*$AE84:$OE84))</f>
        <v/>
      </c>
      <c r="OE84" s="49"/>
    </row>
    <row r="85" spans="1:395">
      <c r="A85" s="35"/>
      <c r="C85" s="2" t="str">
        <f>IF(ISBLANK($B85),"",_xlfn.XLOOKUP($B85,Task_No,Project!$C$3:$C$144,"INVALID TASK"))</f>
        <v/>
      </c>
      <c r="E85" s="7" t="str">
        <f t="shared" si="20"/>
        <v/>
      </c>
      <c r="F85" s="7" t="str">
        <f t="shared" si="19"/>
        <v/>
      </c>
      <c r="G85" s="34"/>
      <c r="H85" s="34" t="str" cm="1">
        <f t="array" ref="H85">IF($C85="","",SUMPRODUCT((TEXT($AE$5:$OE$5, "mmm")=LOWER(G$3))*$AE85:$OE85))</f>
        <v/>
      </c>
      <c r="I85" s="34"/>
      <c r="J85" s="34" t="str" cm="1">
        <f t="array" ref="J85">IF($C85="","",SUMPRODUCT((TEXT($AE$5:$OE$5, "mmm")=LOWER(I$3))*$AE85:$OE85))</f>
        <v/>
      </c>
      <c r="K85" s="34"/>
      <c r="L85" s="34" t="str" cm="1">
        <f t="array" ref="L85">IF($C85="","",SUMPRODUCT((TEXT($AE$5:$OE$5, "mmm")=LOWER(K$3))*$AE85:$OE85))</f>
        <v/>
      </c>
      <c r="M85" s="34"/>
      <c r="N85" s="34" t="str" cm="1">
        <f t="array" ref="N85">IF($C85="","",SUMPRODUCT((TEXT($AE$5:$OE$5, "mmm")=LOWER(M$3))*$AE85:$OE85))</f>
        <v/>
      </c>
      <c r="O85" s="34"/>
      <c r="P85" s="34" t="str" cm="1">
        <f t="array" ref="P85">IF($C85="","",SUMPRODUCT((TEXT($AE$5:$OE$5, "mmm")=LOWER(O$3))*$AE85:$OE85))</f>
        <v/>
      </c>
      <c r="Q85" s="34"/>
      <c r="R85" s="34" t="str" cm="1">
        <f t="array" ref="R85">IF($C85="","",SUMPRODUCT((TEXT($AE$5:$OE$5, "mmm")=LOWER(Q$3))*$AE85:$OE85))</f>
        <v/>
      </c>
      <c r="S85" s="34"/>
      <c r="T85" s="34" t="str" cm="1">
        <f t="array" ref="T85">IF($C85="","",SUMPRODUCT((TEXT($AE$5:$OE$5, "mmm")=LOWER(S$3))*$AE85:$OE85))</f>
        <v/>
      </c>
      <c r="U85" s="34"/>
      <c r="V85" s="34" t="str" cm="1">
        <f t="array" ref="V85">IF($C85="","",SUMPRODUCT((TEXT($AE$5:$OE$5, "mmm")=LOWER(U$3))*$AE85:$OE85))</f>
        <v/>
      </c>
      <c r="W85" s="34"/>
      <c r="X85" s="34" t="str" cm="1">
        <f t="array" ref="X85">IF($C85="","",SUMPRODUCT((TEXT($AE$5:$OE$5, "mmm")=LOWER(W$3))*$AE85:$OE85))</f>
        <v/>
      </c>
      <c r="Y85" s="34"/>
      <c r="Z85" s="34" t="str" cm="1">
        <f t="array" ref="Z85">IF($C85="","",SUMPRODUCT((TEXT($AE$5:$OE$5, "mmm")=LOWER(Y$3))*$AE85:$OE85))</f>
        <v/>
      </c>
      <c r="AA85" s="34"/>
      <c r="AB85" s="34" t="str" cm="1">
        <f t="array" ref="AB85">IF($C85="","",SUMPRODUCT((TEXT($AE$5:$OE$5, "mmm")=LOWER(AA$3))*$AE85:$OE85))</f>
        <v/>
      </c>
      <c r="AC85" s="34"/>
      <c r="AD85" s="34" t="str" cm="1">
        <f t="array" ref="AD85">IF($C85="","",SUMPRODUCT((TEXT($AE$5:$OE$5, "mmm")=LOWER(AC$3))*$AE85:$OE85))</f>
        <v/>
      </c>
      <c r="OE85" s="49"/>
    </row>
    <row r="86" spans="1:395">
      <c r="A86" s="35"/>
      <c r="C86" s="2" t="str">
        <f>IF(ISBLANK($B86),"",_xlfn.XLOOKUP($B86,Task_No,Project!$C$3:$C$144,"INVALID TASK"))</f>
        <v/>
      </c>
      <c r="E86" s="7" t="str">
        <f t="shared" si="20"/>
        <v/>
      </c>
      <c r="F86" s="7" t="str">
        <f t="shared" si="19"/>
        <v/>
      </c>
      <c r="G86" s="34"/>
      <c r="H86" s="34" t="str" cm="1">
        <f t="array" ref="H86">IF($C86="","",SUMPRODUCT((TEXT($AE$5:$OE$5, "mmm")=LOWER(G$3))*$AE86:$OE86))</f>
        <v/>
      </c>
      <c r="I86" s="34"/>
      <c r="J86" s="34" t="str" cm="1">
        <f t="array" ref="J86">IF($C86="","",SUMPRODUCT((TEXT($AE$5:$OE$5, "mmm")=LOWER(I$3))*$AE86:$OE86))</f>
        <v/>
      </c>
      <c r="K86" s="34"/>
      <c r="L86" s="34" t="str" cm="1">
        <f t="array" ref="L86">IF($C86="","",SUMPRODUCT((TEXT($AE$5:$OE$5, "mmm")=LOWER(K$3))*$AE86:$OE86))</f>
        <v/>
      </c>
      <c r="M86" s="34"/>
      <c r="N86" s="34" t="str" cm="1">
        <f t="array" ref="N86">IF($C86="","",SUMPRODUCT((TEXT($AE$5:$OE$5, "mmm")=LOWER(M$3))*$AE86:$OE86))</f>
        <v/>
      </c>
      <c r="O86" s="34"/>
      <c r="P86" s="34" t="str" cm="1">
        <f t="array" ref="P86">IF($C86="","",SUMPRODUCT((TEXT($AE$5:$OE$5, "mmm")=LOWER(O$3))*$AE86:$OE86))</f>
        <v/>
      </c>
      <c r="Q86" s="34"/>
      <c r="R86" s="34" t="str" cm="1">
        <f t="array" ref="R86">IF($C86="","",SUMPRODUCT((TEXT($AE$5:$OE$5, "mmm")=LOWER(Q$3))*$AE86:$OE86))</f>
        <v/>
      </c>
      <c r="S86" s="34"/>
      <c r="T86" s="34" t="str" cm="1">
        <f t="array" ref="T86">IF($C86="","",SUMPRODUCT((TEXT($AE$5:$OE$5, "mmm")=LOWER(S$3))*$AE86:$OE86))</f>
        <v/>
      </c>
      <c r="U86" s="34"/>
      <c r="V86" s="34" t="str" cm="1">
        <f t="array" ref="V86">IF($C86="","",SUMPRODUCT((TEXT($AE$5:$OE$5, "mmm")=LOWER(U$3))*$AE86:$OE86))</f>
        <v/>
      </c>
      <c r="W86" s="34"/>
      <c r="X86" s="34" t="str" cm="1">
        <f t="array" ref="X86">IF($C86="","",SUMPRODUCT((TEXT($AE$5:$OE$5, "mmm")=LOWER(W$3))*$AE86:$OE86))</f>
        <v/>
      </c>
      <c r="Y86" s="34"/>
      <c r="Z86" s="34" t="str" cm="1">
        <f t="array" ref="Z86">IF($C86="","",SUMPRODUCT((TEXT($AE$5:$OE$5, "mmm")=LOWER(Y$3))*$AE86:$OE86))</f>
        <v/>
      </c>
      <c r="AA86" s="34"/>
      <c r="AB86" s="34" t="str" cm="1">
        <f t="array" ref="AB86">IF($C86="","",SUMPRODUCT((TEXT($AE$5:$OE$5, "mmm")=LOWER(AA$3))*$AE86:$OE86))</f>
        <v/>
      </c>
      <c r="AC86" s="34"/>
      <c r="AD86" s="34" t="str" cm="1">
        <f t="array" ref="AD86">IF($C86="","",SUMPRODUCT((TEXT($AE$5:$OE$5, "mmm")=LOWER(AC$3))*$AE86:$OE86))</f>
        <v/>
      </c>
      <c r="OE86" s="49"/>
    </row>
    <row r="87" spans="1:395">
      <c r="A87" s="35"/>
      <c r="C87" s="2" t="str">
        <f>IF(ISBLANK($B87),"",_xlfn.XLOOKUP($B87,Task_No,Project!$C$3:$C$144,"INVALID TASK"))</f>
        <v/>
      </c>
      <c r="E87" s="7" t="str">
        <f t="shared" si="20"/>
        <v/>
      </c>
      <c r="F87" s="7" t="str">
        <f t="shared" si="19"/>
        <v/>
      </c>
      <c r="G87" s="34"/>
      <c r="H87" s="34" t="str" cm="1">
        <f t="array" ref="H87">IF($C87="","",SUMPRODUCT((TEXT($AE$5:$OE$5, "mmm")=LOWER(G$3))*$AE87:$OE87))</f>
        <v/>
      </c>
      <c r="I87" s="34"/>
      <c r="J87" s="34" t="str" cm="1">
        <f t="array" ref="J87">IF($C87="","",SUMPRODUCT((TEXT($AE$5:$OE$5, "mmm")=LOWER(I$3))*$AE87:$OE87))</f>
        <v/>
      </c>
      <c r="K87" s="34"/>
      <c r="L87" s="34" t="str" cm="1">
        <f t="array" ref="L87">IF($C87="","",SUMPRODUCT((TEXT($AE$5:$OE$5, "mmm")=LOWER(K$3))*$AE87:$OE87))</f>
        <v/>
      </c>
      <c r="M87" s="34"/>
      <c r="N87" s="34" t="str" cm="1">
        <f t="array" ref="N87">IF($C87="","",SUMPRODUCT((TEXT($AE$5:$OE$5, "mmm")=LOWER(M$3))*$AE87:$OE87))</f>
        <v/>
      </c>
      <c r="O87" s="34"/>
      <c r="P87" s="34" t="str" cm="1">
        <f t="array" ref="P87">IF($C87="","",SUMPRODUCT((TEXT($AE$5:$OE$5, "mmm")=LOWER(O$3))*$AE87:$OE87))</f>
        <v/>
      </c>
      <c r="Q87" s="34"/>
      <c r="R87" s="34" t="str" cm="1">
        <f t="array" ref="R87">IF($C87="","",SUMPRODUCT((TEXT($AE$5:$OE$5, "mmm")=LOWER(Q$3))*$AE87:$OE87))</f>
        <v/>
      </c>
      <c r="S87" s="34"/>
      <c r="T87" s="34" t="str" cm="1">
        <f t="array" ref="T87">IF($C87="","",SUMPRODUCT((TEXT($AE$5:$OE$5, "mmm")=LOWER(S$3))*$AE87:$OE87))</f>
        <v/>
      </c>
      <c r="U87" s="34"/>
      <c r="V87" s="34" t="str" cm="1">
        <f t="array" ref="V87">IF($C87="","",SUMPRODUCT((TEXT($AE$5:$OE$5, "mmm")=LOWER(U$3))*$AE87:$OE87))</f>
        <v/>
      </c>
      <c r="W87" s="34"/>
      <c r="X87" s="34" t="str" cm="1">
        <f t="array" ref="X87">IF($C87="","",SUMPRODUCT((TEXT($AE$5:$OE$5, "mmm")=LOWER(W$3))*$AE87:$OE87))</f>
        <v/>
      </c>
      <c r="Y87" s="34"/>
      <c r="Z87" s="34" t="str" cm="1">
        <f t="array" ref="Z87">IF($C87="","",SUMPRODUCT((TEXT($AE$5:$OE$5, "mmm")=LOWER(Y$3))*$AE87:$OE87))</f>
        <v/>
      </c>
      <c r="AA87" s="34"/>
      <c r="AB87" s="34" t="str" cm="1">
        <f t="array" ref="AB87">IF($C87="","",SUMPRODUCT((TEXT($AE$5:$OE$5, "mmm")=LOWER(AA$3))*$AE87:$OE87))</f>
        <v/>
      </c>
      <c r="AC87" s="34"/>
      <c r="AD87" s="34" t="str" cm="1">
        <f t="array" ref="AD87">IF($C87="","",SUMPRODUCT((TEXT($AE$5:$OE$5, "mmm")=LOWER(AC$3))*$AE87:$OE87))</f>
        <v/>
      </c>
      <c r="OE87" s="49"/>
    </row>
    <row r="88" spans="1:395">
      <c r="A88" s="35"/>
      <c r="C88" s="2" t="str">
        <f>IF(ISBLANK($B88),"",_xlfn.XLOOKUP($B88,Task_No,Project!$C$3:$C$144,"INVALID TASK"))</f>
        <v/>
      </c>
      <c r="E88" s="7" t="str">
        <f t="shared" si="20"/>
        <v/>
      </c>
      <c r="F88" s="7" t="str">
        <f t="shared" si="19"/>
        <v/>
      </c>
      <c r="G88" s="34"/>
      <c r="H88" s="34" t="str" cm="1">
        <f t="array" ref="H88">IF($C88="","",SUMPRODUCT((TEXT($AE$5:$OE$5, "mmm")=LOWER(G$3))*$AE88:$OE88))</f>
        <v/>
      </c>
      <c r="I88" s="34"/>
      <c r="J88" s="34" t="str" cm="1">
        <f t="array" ref="J88">IF($C88="","",SUMPRODUCT((TEXT($AE$5:$OE$5, "mmm")=LOWER(I$3))*$AE88:$OE88))</f>
        <v/>
      </c>
      <c r="K88" s="34"/>
      <c r="L88" s="34" t="str" cm="1">
        <f t="array" ref="L88">IF($C88="","",SUMPRODUCT((TEXT($AE$5:$OE$5, "mmm")=LOWER(K$3))*$AE88:$OE88))</f>
        <v/>
      </c>
      <c r="M88" s="34"/>
      <c r="N88" s="34" t="str" cm="1">
        <f t="array" ref="N88">IF($C88="","",SUMPRODUCT((TEXT($AE$5:$OE$5, "mmm")=LOWER(M$3))*$AE88:$OE88))</f>
        <v/>
      </c>
      <c r="O88" s="34"/>
      <c r="P88" s="34" t="str" cm="1">
        <f t="array" ref="P88">IF($C88="","",SUMPRODUCT((TEXT($AE$5:$OE$5, "mmm")=LOWER(O$3))*$AE88:$OE88))</f>
        <v/>
      </c>
      <c r="Q88" s="34"/>
      <c r="R88" s="34" t="str" cm="1">
        <f t="array" ref="R88">IF($C88="","",SUMPRODUCT((TEXT($AE$5:$OE$5, "mmm")=LOWER(Q$3))*$AE88:$OE88))</f>
        <v/>
      </c>
      <c r="S88" s="34"/>
      <c r="T88" s="34" t="str" cm="1">
        <f t="array" ref="T88">IF($C88="","",SUMPRODUCT((TEXT($AE$5:$OE$5, "mmm")=LOWER(S$3))*$AE88:$OE88))</f>
        <v/>
      </c>
      <c r="U88" s="34"/>
      <c r="V88" s="34" t="str" cm="1">
        <f t="array" ref="V88">IF($C88="","",SUMPRODUCT((TEXT($AE$5:$OE$5, "mmm")=LOWER(U$3))*$AE88:$OE88))</f>
        <v/>
      </c>
      <c r="W88" s="34"/>
      <c r="X88" s="34" t="str" cm="1">
        <f t="array" ref="X88">IF($C88="","",SUMPRODUCT((TEXT($AE$5:$OE$5, "mmm")=LOWER(W$3))*$AE88:$OE88))</f>
        <v/>
      </c>
      <c r="Y88" s="34"/>
      <c r="Z88" s="34" t="str" cm="1">
        <f t="array" ref="Z88">IF($C88="","",SUMPRODUCT((TEXT($AE$5:$OE$5, "mmm")=LOWER(Y$3))*$AE88:$OE88))</f>
        <v/>
      </c>
      <c r="AA88" s="34"/>
      <c r="AB88" s="34" t="str" cm="1">
        <f t="array" ref="AB88">IF($C88="","",SUMPRODUCT((TEXT($AE$5:$OE$5, "mmm")=LOWER(AA$3))*$AE88:$OE88))</f>
        <v/>
      </c>
      <c r="AC88" s="34"/>
      <c r="AD88" s="34" t="str" cm="1">
        <f t="array" ref="AD88">IF($C88="","",SUMPRODUCT((TEXT($AE$5:$OE$5, "mmm")=LOWER(AC$3))*$AE88:$OE88))</f>
        <v/>
      </c>
      <c r="OE88" s="49"/>
    </row>
    <row r="89" spans="1:395">
      <c r="A89" s="35"/>
      <c r="C89" s="2" t="str">
        <f>IF(ISBLANK($B89),"",_xlfn.XLOOKUP($B89,Task_No,Project!$C$3:$C$144,"INVALID TASK"))</f>
        <v/>
      </c>
      <c r="E89" s="7" t="str">
        <f t="shared" si="20"/>
        <v/>
      </c>
      <c r="F89" s="7" t="str">
        <f t="shared" si="19"/>
        <v/>
      </c>
      <c r="G89" s="34"/>
      <c r="H89" s="34" t="str" cm="1">
        <f t="array" ref="H89">IF($C89="","",SUMPRODUCT((TEXT($AE$5:$OE$5, "mmm")=LOWER(G$3))*$AE89:$OE89))</f>
        <v/>
      </c>
      <c r="I89" s="34"/>
      <c r="J89" s="34" t="str" cm="1">
        <f t="array" ref="J89">IF($C89="","",SUMPRODUCT((TEXT($AE$5:$OE$5, "mmm")=LOWER(I$3))*$AE89:$OE89))</f>
        <v/>
      </c>
      <c r="K89" s="34"/>
      <c r="L89" s="34" t="str" cm="1">
        <f t="array" ref="L89">IF($C89="","",SUMPRODUCT((TEXT($AE$5:$OE$5, "mmm")=LOWER(K$3))*$AE89:$OE89))</f>
        <v/>
      </c>
      <c r="M89" s="34"/>
      <c r="N89" s="34" t="str" cm="1">
        <f t="array" ref="N89">IF($C89="","",SUMPRODUCT((TEXT($AE$5:$OE$5, "mmm")=LOWER(M$3))*$AE89:$OE89))</f>
        <v/>
      </c>
      <c r="O89" s="34"/>
      <c r="P89" s="34" t="str" cm="1">
        <f t="array" ref="P89">IF($C89="","",SUMPRODUCT((TEXT($AE$5:$OE$5, "mmm")=LOWER(O$3))*$AE89:$OE89))</f>
        <v/>
      </c>
      <c r="Q89" s="34"/>
      <c r="R89" s="34" t="str" cm="1">
        <f t="array" ref="R89">IF($C89="","",SUMPRODUCT((TEXT($AE$5:$OE$5, "mmm")=LOWER(Q$3))*$AE89:$OE89))</f>
        <v/>
      </c>
      <c r="S89" s="34"/>
      <c r="T89" s="34" t="str" cm="1">
        <f t="array" ref="T89">IF($C89="","",SUMPRODUCT((TEXT($AE$5:$OE$5, "mmm")=LOWER(S$3))*$AE89:$OE89))</f>
        <v/>
      </c>
      <c r="U89" s="34"/>
      <c r="V89" s="34" t="str" cm="1">
        <f t="array" ref="V89">IF($C89="","",SUMPRODUCT((TEXT($AE$5:$OE$5, "mmm")=LOWER(U$3))*$AE89:$OE89))</f>
        <v/>
      </c>
      <c r="W89" s="34"/>
      <c r="X89" s="34" t="str" cm="1">
        <f t="array" ref="X89">IF($C89="","",SUMPRODUCT((TEXT($AE$5:$OE$5, "mmm")=LOWER(W$3))*$AE89:$OE89))</f>
        <v/>
      </c>
      <c r="Y89" s="34"/>
      <c r="Z89" s="34" t="str" cm="1">
        <f t="array" ref="Z89">IF($C89="","",SUMPRODUCT((TEXT($AE$5:$OE$5, "mmm")=LOWER(Y$3))*$AE89:$OE89))</f>
        <v/>
      </c>
      <c r="AA89" s="34"/>
      <c r="AB89" s="34" t="str" cm="1">
        <f t="array" ref="AB89">IF($C89="","",SUMPRODUCT((TEXT($AE$5:$OE$5, "mmm")=LOWER(AA$3))*$AE89:$OE89))</f>
        <v/>
      </c>
      <c r="AC89" s="34"/>
      <c r="AD89" s="34" t="str" cm="1">
        <f t="array" ref="AD89">IF($C89="","",SUMPRODUCT((TEXT($AE$5:$OE$5, "mmm")=LOWER(AC$3))*$AE89:$OE89))</f>
        <v/>
      </c>
      <c r="OE89" s="49"/>
    </row>
    <row r="90" spans="1:395">
      <c r="A90" s="35"/>
      <c r="C90" s="2" t="str">
        <f>IF(ISBLANK($B90),"",_xlfn.XLOOKUP($B90,Task_No,Project!$C$3:$C$144,"INVALID TASK"))</f>
        <v/>
      </c>
      <c r="E90" s="7" t="str">
        <f t="shared" si="20"/>
        <v/>
      </c>
      <c r="F90" s="7" t="str">
        <f t="shared" si="19"/>
        <v/>
      </c>
      <c r="G90" s="34"/>
      <c r="H90" s="34" t="str" cm="1">
        <f t="array" ref="H90">IF($C90="","",SUMPRODUCT((TEXT($AE$5:$OE$5, "mmm")=LOWER(G$3))*$AE90:$OE90))</f>
        <v/>
      </c>
      <c r="I90" s="34"/>
      <c r="J90" s="34" t="str" cm="1">
        <f t="array" ref="J90">IF($C90="","",SUMPRODUCT((TEXT($AE$5:$OE$5, "mmm")=LOWER(I$3))*$AE90:$OE90))</f>
        <v/>
      </c>
      <c r="K90" s="34"/>
      <c r="L90" s="34" t="str" cm="1">
        <f t="array" ref="L90">IF($C90="","",SUMPRODUCT((TEXT($AE$5:$OE$5, "mmm")=LOWER(K$3))*$AE90:$OE90))</f>
        <v/>
      </c>
      <c r="M90" s="34"/>
      <c r="N90" s="34" t="str" cm="1">
        <f t="array" ref="N90">IF($C90="","",SUMPRODUCT((TEXT($AE$5:$OE$5, "mmm")=LOWER(M$3))*$AE90:$OE90))</f>
        <v/>
      </c>
      <c r="O90" s="34"/>
      <c r="P90" s="34" t="str" cm="1">
        <f t="array" ref="P90">IF($C90="","",SUMPRODUCT((TEXT($AE$5:$OE$5, "mmm")=LOWER(O$3))*$AE90:$OE90))</f>
        <v/>
      </c>
      <c r="Q90" s="34"/>
      <c r="R90" s="34" t="str" cm="1">
        <f t="array" ref="R90">IF($C90="","",SUMPRODUCT((TEXT($AE$5:$OE$5, "mmm")=LOWER(Q$3))*$AE90:$OE90))</f>
        <v/>
      </c>
      <c r="S90" s="34"/>
      <c r="T90" s="34" t="str" cm="1">
        <f t="array" ref="T90">IF($C90="","",SUMPRODUCT((TEXT($AE$5:$OE$5, "mmm")=LOWER(S$3))*$AE90:$OE90))</f>
        <v/>
      </c>
      <c r="U90" s="34"/>
      <c r="V90" s="34" t="str" cm="1">
        <f t="array" ref="V90">IF($C90="","",SUMPRODUCT((TEXT($AE$5:$OE$5, "mmm")=LOWER(U$3))*$AE90:$OE90))</f>
        <v/>
      </c>
      <c r="W90" s="34"/>
      <c r="X90" s="34" t="str" cm="1">
        <f t="array" ref="X90">IF($C90="","",SUMPRODUCT((TEXT($AE$5:$OE$5, "mmm")=LOWER(W$3))*$AE90:$OE90))</f>
        <v/>
      </c>
      <c r="Y90" s="34"/>
      <c r="Z90" s="34" t="str" cm="1">
        <f t="array" ref="Z90">IF($C90="","",SUMPRODUCT((TEXT($AE$5:$OE$5, "mmm")=LOWER(Y$3))*$AE90:$OE90))</f>
        <v/>
      </c>
      <c r="AA90" s="34"/>
      <c r="AB90" s="34" t="str" cm="1">
        <f t="array" ref="AB90">IF($C90="","",SUMPRODUCT((TEXT($AE$5:$OE$5, "mmm")=LOWER(AA$3))*$AE90:$OE90))</f>
        <v/>
      </c>
      <c r="AC90" s="34"/>
      <c r="AD90" s="34" t="str" cm="1">
        <f t="array" ref="AD90">IF($C90="","",SUMPRODUCT((TEXT($AE$5:$OE$5, "mmm")=LOWER(AC$3))*$AE90:$OE90))</f>
        <v/>
      </c>
      <c r="OE90" s="49"/>
    </row>
    <row r="91" spans="1:395">
      <c r="A91" s="35"/>
      <c r="C91" s="2" t="str">
        <f>IF(ISBLANK($B91),"",_xlfn.XLOOKUP($B91,Task_No,Project!$C$3:$C$144,"INVALID TASK"))</f>
        <v/>
      </c>
      <c r="E91" s="7" t="str">
        <f t="shared" si="20"/>
        <v/>
      </c>
      <c r="F91" s="7" t="str">
        <f t="shared" si="19"/>
        <v/>
      </c>
      <c r="G91" s="34"/>
      <c r="H91" s="34" t="str" cm="1">
        <f t="array" ref="H91">IF($C91="","",SUMPRODUCT((TEXT($AE$5:$OE$5, "mmm")=LOWER(G$3))*$AE91:$OE91))</f>
        <v/>
      </c>
      <c r="I91" s="34"/>
      <c r="J91" s="34" t="str" cm="1">
        <f t="array" ref="J91">IF($C91="","",SUMPRODUCT((TEXT($AE$5:$OE$5, "mmm")=LOWER(I$3))*$AE91:$OE91))</f>
        <v/>
      </c>
      <c r="K91" s="34"/>
      <c r="L91" s="34" t="str" cm="1">
        <f t="array" ref="L91">IF($C91="","",SUMPRODUCT((TEXT($AE$5:$OE$5, "mmm")=LOWER(K$3))*$AE91:$OE91))</f>
        <v/>
      </c>
      <c r="M91" s="34"/>
      <c r="N91" s="34" t="str" cm="1">
        <f t="array" ref="N91">IF($C91="","",SUMPRODUCT((TEXT($AE$5:$OE$5, "mmm")=LOWER(M$3))*$AE91:$OE91))</f>
        <v/>
      </c>
      <c r="O91" s="34"/>
      <c r="P91" s="34" t="str" cm="1">
        <f t="array" ref="P91">IF($C91="","",SUMPRODUCT((TEXT($AE$5:$OE$5, "mmm")=LOWER(O$3))*$AE91:$OE91))</f>
        <v/>
      </c>
      <c r="Q91" s="34"/>
      <c r="R91" s="34" t="str" cm="1">
        <f t="array" ref="R91">IF($C91="","",SUMPRODUCT((TEXT($AE$5:$OE$5, "mmm")=LOWER(Q$3))*$AE91:$OE91))</f>
        <v/>
      </c>
      <c r="S91" s="34"/>
      <c r="T91" s="34" t="str" cm="1">
        <f t="array" ref="T91">IF($C91="","",SUMPRODUCT((TEXT($AE$5:$OE$5, "mmm")=LOWER(S$3))*$AE91:$OE91))</f>
        <v/>
      </c>
      <c r="U91" s="34"/>
      <c r="V91" s="34" t="str" cm="1">
        <f t="array" ref="V91">IF($C91="","",SUMPRODUCT((TEXT($AE$5:$OE$5, "mmm")=LOWER(U$3))*$AE91:$OE91))</f>
        <v/>
      </c>
      <c r="W91" s="34"/>
      <c r="X91" s="34" t="str" cm="1">
        <f t="array" ref="X91">IF($C91="","",SUMPRODUCT((TEXT($AE$5:$OE$5, "mmm")=LOWER(W$3))*$AE91:$OE91))</f>
        <v/>
      </c>
      <c r="Y91" s="34"/>
      <c r="Z91" s="34" t="str" cm="1">
        <f t="array" ref="Z91">IF($C91="","",SUMPRODUCT((TEXT($AE$5:$OE$5, "mmm")=LOWER(Y$3))*$AE91:$OE91))</f>
        <v/>
      </c>
      <c r="AA91" s="34"/>
      <c r="AB91" s="34" t="str" cm="1">
        <f t="array" ref="AB91">IF($C91="","",SUMPRODUCT((TEXT($AE$5:$OE$5, "mmm")=LOWER(AA$3))*$AE91:$OE91))</f>
        <v/>
      </c>
      <c r="AC91" s="34"/>
      <c r="AD91" s="34" t="str" cm="1">
        <f t="array" ref="AD91">IF($C91="","",SUMPRODUCT((TEXT($AE$5:$OE$5, "mmm")=LOWER(AC$3))*$AE91:$OE91))</f>
        <v/>
      </c>
      <c r="OE91" s="49"/>
    </row>
    <row r="92" spans="1:395">
      <c r="A92" s="35"/>
      <c r="C92" s="2" t="str">
        <f>IF(ISBLANK($B92),"",_xlfn.XLOOKUP($B92,Task_No,Project!$C$3:$C$144,"INVALID TASK"))</f>
        <v/>
      </c>
      <c r="E92" s="7" t="str">
        <f t="shared" si="20"/>
        <v/>
      </c>
      <c r="F92" s="7" t="str">
        <f t="shared" si="19"/>
        <v/>
      </c>
      <c r="G92" s="34"/>
      <c r="H92" s="34" t="str" cm="1">
        <f t="array" ref="H92">IF($C92="","",SUMPRODUCT((TEXT($AE$5:$OE$5, "mmm")=LOWER(G$3))*$AE92:$OE92))</f>
        <v/>
      </c>
      <c r="I92" s="34"/>
      <c r="J92" s="34" t="str" cm="1">
        <f t="array" ref="J92">IF($C92="","",SUMPRODUCT((TEXT($AE$5:$OE$5, "mmm")=LOWER(I$3))*$AE92:$OE92))</f>
        <v/>
      </c>
      <c r="K92" s="34"/>
      <c r="L92" s="34" t="str" cm="1">
        <f t="array" ref="L92">IF($C92="","",SUMPRODUCT((TEXT($AE$5:$OE$5, "mmm")=LOWER(K$3))*$AE92:$OE92))</f>
        <v/>
      </c>
      <c r="M92" s="34"/>
      <c r="N92" s="34" t="str" cm="1">
        <f t="array" ref="N92">IF($C92="","",SUMPRODUCT((TEXT($AE$5:$OE$5, "mmm")=LOWER(M$3))*$AE92:$OE92))</f>
        <v/>
      </c>
      <c r="O92" s="34"/>
      <c r="P92" s="34" t="str" cm="1">
        <f t="array" ref="P92">IF($C92="","",SUMPRODUCT((TEXT($AE$5:$OE$5, "mmm")=LOWER(O$3))*$AE92:$OE92))</f>
        <v/>
      </c>
      <c r="Q92" s="34"/>
      <c r="R92" s="34" t="str" cm="1">
        <f t="array" ref="R92">IF($C92="","",SUMPRODUCT((TEXT($AE$5:$OE$5, "mmm")=LOWER(Q$3))*$AE92:$OE92))</f>
        <v/>
      </c>
      <c r="S92" s="34"/>
      <c r="T92" s="34" t="str" cm="1">
        <f t="array" ref="T92">IF($C92="","",SUMPRODUCT((TEXT($AE$5:$OE$5, "mmm")=LOWER(S$3))*$AE92:$OE92))</f>
        <v/>
      </c>
      <c r="U92" s="34"/>
      <c r="V92" s="34" t="str" cm="1">
        <f t="array" ref="V92">IF($C92="","",SUMPRODUCT((TEXT($AE$5:$OE$5, "mmm")=LOWER(U$3))*$AE92:$OE92))</f>
        <v/>
      </c>
      <c r="W92" s="34"/>
      <c r="X92" s="34" t="str" cm="1">
        <f t="array" ref="X92">IF($C92="","",SUMPRODUCT((TEXT($AE$5:$OE$5, "mmm")=LOWER(W$3))*$AE92:$OE92))</f>
        <v/>
      </c>
      <c r="Y92" s="34"/>
      <c r="Z92" s="34" t="str" cm="1">
        <f t="array" ref="Z92">IF($C92="","",SUMPRODUCT((TEXT($AE$5:$OE$5, "mmm")=LOWER(Y$3))*$AE92:$OE92))</f>
        <v/>
      </c>
      <c r="AA92" s="34"/>
      <c r="AB92" s="34" t="str" cm="1">
        <f t="array" ref="AB92">IF($C92="","",SUMPRODUCT((TEXT($AE$5:$OE$5, "mmm")=LOWER(AA$3))*$AE92:$OE92))</f>
        <v/>
      </c>
      <c r="AC92" s="34"/>
      <c r="AD92" s="34" t="str" cm="1">
        <f t="array" ref="AD92">IF($C92="","",SUMPRODUCT((TEXT($AE$5:$OE$5, "mmm")=LOWER(AC$3))*$AE92:$OE92))</f>
        <v/>
      </c>
      <c r="OE92" s="49"/>
    </row>
    <row r="93" spans="1:395">
      <c r="A93" s="35"/>
      <c r="C93" s="2" t="str">
        <f>IF(ISBLANK($B93),"",_xlfn.XLOOKUP($B93,Task_No,Project!$C$3:$C$144,"INVALID TASK"))</f>
        <v/>
      </c>
      <c r="E93" s="7" t="str">
        <f t="shared" si="20"/>
        <v/>
      </c>
      <c r="F93" s="7" t="str">
        <f t="shared" si="19"/>
        <v/>
      </c>
      <c r="G93" s="34"/>
      <c r="H93" s="34" t="str" cm="1">
        <f t="array" ref="H93">IF($C93="","",SUMPRODUCT((TEXT($AE$5:$OE$5, "mmm")=LOWER(G$3))*$AE93:$OE93))</f>
        <v/>
      </c>
      <c r="I93" s="34"/>
      <c r="J93" s="34" t="str" cm="1">
        <f t="array" ref="J93">IF($C93="","",SUMPRODUCT((TEXT($AE$5:$OE$5, "mmm")=LOWER(I$3))*$AE93:$OE93))</f>
        <v/>
      </c>
      <c r="K93" s="34"/>
      <c r="L93" s="34" t="str" cm="1">
        <f t="array" ref="L93">IF($C93="","",SUMPRODUCT((TEXT($AE$5:$OE$5, "mmm")=LOWER(K$3))*$AE93:$OE93))</f>
        <v/>
      </c>
      <c r="M93" s="34"/>
      <c r="N93" s="34" t="str" cm="1">
        <f t="array" ref="N93">IF($C93="","",SUMPRODUCT((TEXT($AE$5:$OE$5, "mmm")=LOWER(M$3))*$AE93:$OE93))</f>
        <v/>
      </c>
      <c r="O93" s="34"/>
      <c r="P93" s="34" t="str" cm="1">
        <f t="array" ref="P93">IF($C93="","",SUMPRODUCT((TEXT($AE$5:$OE$5, "mmm")=LOWER(O$3))*$AE93:$OE93))</f>
        <v/>
      </c>
      <c r="Q93" s="34"/>
      <c r="R93" s="34" t="str" cm="1">
        <f t="array" ref="R93">IF($C93="","",SUMPRODUCT((TEXT($AE$5:$OE$5, "mmm")=LOWER(Q$3))*$AE93:$OE93))</f>
        <v/>
      </c>
      <c r="S93" s="34"/>
      <c r="T93" s="34" t="str" cm="1">
        <f t="array" ref="T93">IF($C93="","",SUMPRODUCT((TEXT($AE$5:$OE$5, "mmm")=LOWER(S$3))*$AE93:$OE93))</f>
        <v/>
      </c>
      <c r="U93" s="34"/>
      <c r="V93" s="34" t="str" cm="1">
        <f t="array" ref="V93">IF($C93="","",SUMPRODUCT((TEXT($AE$5:$OE$5, "mmm")=LOWER(U$3))*$AE93:$OE93))</f>
        <v/>
      </c>
      <c r="W93" s="34"/>
      <c r="X93" s="34" t="str" cm="1">
        <f t="array" ref="X93">IF($C93="","",SUMPRODUCT((TEXT($AE$5:$OE$5, "mmm")=LOWER(W$3))*$AE93:$OE93))</f>
        <v/>
      </c>
      <c r="Y93" s="34"/>
      <c r="Z93" s="34" t="str" cm="1">
        <f t="array" ref="Z93">IF($C93="","",SUMPRODUCT((TEXT($AE$5:$OE$5, "mmm")=LOWER(Y$3))*$AE93:$OE93))</f>
        <v/>
      </c>
      <c r="AA93" s="34"/>
      <c r="AB93" s="34" t="str" cm="1">
        <f t="array" ref="AB93">IF($C93="","",SUMPRODUCT((TEXT($AE$5:$OE$5, "mmm")=LOWER(AA$3))*$AE93:$OE93))</f>
        <v/>
      </c>
      <c r="AC93" s="34"/>
      <c r="AD93" s="34" t="str" cm="1">
        <f t="array" ref="AD93">IF($C93="","",SUMPRODUCT((TEXT($AE$5:$OE$5, "mmm")=LOWER(AC$3))*$AE93:$OE93))</f>
        <v/>
      </c>
      <c r="OE93" s="49"/>
    </row>
    <row r="94" spans="1:395">
      <c r="A94" s="35"/>
      <c r="C94" s="2" t="str">
        <f>IF(ISBLANK($B94),"",_xlfn.XLOOKUP($B94,Task_No,Project!$C$3:$C$144,"INVALID TASK"))</f>
        <v/>
      </c>
      <c r="E94" s="7" t="str">
        <f t="shared" si="20"/>
        <v/>
      </c>
      <c r="F94" s="7" t="str">
        <f t="shared" si="19"/>
        <v/>
      </c>
      <c r="G94" s="34"/>
      <c r="H94" s="34" t="str" cm="1">
        <f t="array" ref="H94">IF($C94="","",SUMPRODUCT((TEXT($AE$5:$OE$5, "mmm")=LOWER(G$3))*$AE94:$OE94))</f>
        <v/>
      </c>
      <c r="I94" s="34"/>
      <c r="J94" s="34" t="str" cm="1">
        <f t="array" ref="J94">IF($C94="","",SUMPRODUCT((TEXT($AE$5:$OE$5, "mmm")=LOWER(I$3))*$AE94:$OE94))</f>
        <v/>
      </c>
      <c r="K94" s="34"/>
      <c r="L94" s="34" t="str" cm="1">
        <f t="array" ref="L94">IF($C94="","",SUMPRODUCT((TEXT($AE$5:$OE$5, "mmm")=LOWER(K$3))*$AE94:$OE94))</f>
        <v/>
      </c>
      <c r="M94" s="34"/>
      <c r="N94" s="34" t="str" cm="1">
        <f t="array" ref="N94">IF($C94="","",SUMPRODUCT((TEXT($AE$5:$OE$5, "mmm")=LOWER(M$3))*$AE94:$OE94))</f>
        <v/>
      </c>
      <c r="O94" s="34"/>
      <c r="P94" s="34" t="str" cm="1">
        <f t="array" ref="P94">IF($C94="","",SUMPRODUCT((TEXT($AE$5:$OE$5, "mmm")=LOWER(O$3))*$AE94:$OE94))</f>
        <v/>
      </c>
      <c r="Q94" s="34"/>
      <c r="R94" s="34" t="str" cm="1">
        <f t="array" ref="R94">IF($C94="","",SUMPRODUCT((TEXT($AE$5:$OE$5, "mmm")=LOWER(Q$3))*$AE94:$OE94))</f>
        <v/>
      </c>
      <c r="S94" s="34"/>
      <c r="T94" s="34" t="str" cm="1">
        <f t="array" ref="T94">IF($C94="","",SUMPRODUCT((TEXT($AE$5:$OE$5, "mmm")=LOWER(S$3))*$AE94:$OE94))</f>
        <v/>
      </c>
      <c r="U94" s="34"/>
      <c r="V94" s="34" t="str" cm="1">
        <f t="array" ref="V94">IF($C94="","",SUMPRODUCT((TEXT($AE$5:$OE$5, "mmm")=LOWER(U$3))*$AE94:$OE94))</f>
        <v/>
      </c>
      <c r="W94" s="34"/>
      <c r="X94" s="34" t="str" cm="1">
        <f t="array" ref="X94">IF($C94="","",SUMPRODUCT((TEXT($AE$5:$OE$5, "mmm")=LOWER(W$3))*$AE94:$OE94))</f>
        <v/>
      </c>
      <c r="Y94" s="34"/>
      <c r="Z94" s="34" t="str" cm="1">
        <f t="array" ref="Z94">IF($C94="","",SUMPRODUCT((TEXT($AE$5:$OE$5, "mmm")=LOWER(Y$3))*$AE94:$OE94))</f>
        <v/>
      </c>
      <c r="AA94" s="34"/>
      <c r="AB94" s="34" t="str" cm="1">
        <f t="array" ref="AB94">IF($C94="","",SUMPRODUCT((TEXT($AE$5:$OE$5, "mmm")=LOWER(AA$3))*$AE94:$OE94))</f>
        <v/>
      </c>
      <c r="AC94" s="34"/>
      <c r="AD94" s="34" t="str" cm="1">
        <f t="array" ref="AD94">IF($C94="","",SUMPRODUCT((TEXT($AE$5:$OE$5, "mmm")=LOWER(AC$3))*$AE94:$OE94))</f>
        <v/>
      </c>
      <c r="OE94" s="49"/>
    </row>
    <row r="95" spans="1:395">
      <c r="A95" s="35"/>
      <c r="C95" s="2" t="str">
        <f>IF(ISBLANK($B95),"",_xlfn.XLOOKUP($B95,Task_No,Project!$C$3:$C$144,"INVALID TASK"))</f>
        <v/>
      </c>
      <c r="E95" s="7" t="str">
        <f t="shared" si="20"/>
        <v/>
      </c>
      <c r="F95" s="7" t="str">
        <f t="shared" si="19"/>
        <v/>
      </c>
      <c r="G95" s="34"/>
      <c r="H95" s="34" t="str" cm="1">
        <f t="array" ref="H95">IF($C95="","",SUMPRODUCT((TEXT($AE$5:$OE$5, "mmm")=LOWER(G$3))*$AE95:$OE95))</f>
        <v/>
      </c>
      <c r="I95" s="34"/>
      <c r="J95" s="34" t="str" cm="1">
        <f t="array" ref="J95">IF($C95="","",SUMPRODUCT((TEXT($AE$5:$OE$5, "mmm")=LOWER(I$3))*$AE95:$OE95))</f>
        <v/>
      </c>
      <c r="K95" s="34"/>
      <c r="L95" s="34" t="str" cm="1">
        <f t="array" ref="L95">IF($C95="","",SUMPRODUCT((TEXT($AE$5:$OE$5, "mmm")=LOWER(K$3))*$AE95:$OE95))</f>
        <v/>
      </c>
      <c r="M95" s="34"/>
      <c r="N95" s="34" t="str" cm="1">
        <f t="array" ref="N95">IF($C95="","",SUMPRODUCT((TEXT($AE$5:$OE$5, "mmm")=LOWER(M$3))*$AE95:$OE95))</f>
        <v/>
      </c>
      <c r="O95" s="34"/>
      <c r="P95" s="34" t="str" cm="1">
        <f t="array" ref="P95">IF($C95="","",SUMPRODUCT((TEXT($AE$5:$OE$5, "mmm")=LOWER(O$3))*$AE95:$OE95))</f>
        <v/>
      </c>
      <c r="Q95" s="34"/>
      <c r="R95" s="34" t="str" cm="1">
        <f t="array" ref="R95">IF($C95="","",SUMPRODUCT((TEXT($AE$5:$OE$5, "mmm")=LOWER(Q$3))*$AE95:$OE95))</f>
        <v/>
      </c>
      <c r="S95" s="34"/>
      <c r="T95" s="34" t="str" cm="1">
        <f t="array" ref="T95">IF($C95="","",SUMPRODUCT((TEXT($AE$5:$OE$5, "mmm")=LOWER(S$3))*$AE95:$OE95))</f>
        <v/>
      </c>
      <c r="U95" s="34"/>
      <c r="V95" s="34" t="str" cm="1">
        <f t="array" ref="V95">IF($C95="","",SUMPRODUCT((TEXT($AE$5:$OE$5, "mmm")=LOWER(U$3))*$AE95:$OE95))</f>
        <v/>
      </c>
      <c r="W95" s="34"/>
      <c r="X95" s="34" t="str" cm="1">
        <f t="array" ref="X95">IF($C95="","",SUMPRODUCT((TEXT($AE$5:$OE$5, "mmm")=LOWER(W$3))*$AE95:$OE95))</f>
        <v/>
      </c>
      <c r="Y95" s="34"/>
      <c r="Z95" s="34" t="str" cm="1">
        <f t="array" ref="Z95">IF($C95="","",SUMPRODUCT((TEXT($AE$5:$OE$5, "mmm")=LOWER(Y$3))*$AE95:$OE95))</f>
        <v/>
      </c>
      <c r="AA95" s="34"/>
      <c r="AB95" s="34" t="str" cm="1">
        <f t="array" ref="AB95">IF($C95="","",SUMPRODUCT((TEXT($AE$5:$OE$5, "mmm")=LOWER(AA$3))*$AE95:$OE95))</f>
        <v/>
      </c>
      <c r="AC95" s="34"/>
      <c r="AD95" s="34" t="str" cm="1">
        <f t="array" ref="AD95">IF($C95="","",SUMPRODUCT((TEXT($AE$5:$OE$5, "mmm")=LOWER(AC$3))*$AE95:$OE95))</f>
        <v/>
      </c>
      <c r="OE95" s="49"/>
    </row>
    <row r="96" spans="1:395">
      <c r="A96" s="35"/>
      <c r="C96" s="2" t="str">
        <f>IF(ISBLANK($B96),"",_xlfn.XLOOKUP($B96,Task_No,Project!$C$3:$C$144,"INVALID TASK"))</f>
        <v/>
      </c>
      <c r="E96" s="7" t="str">
        <f t="shared" si="20"/>
        <v/>
      </c>
      <c r="F96" s="7" t="str">
        <f t="shared" si="19"/>
        <v/>
      </c>
      <c r="G96" s="34"/>
      <c r="H96" s="34" t="str" cm="1">
        <f t="array" ref="H96">IF($C96="","",SUMPRODUCT((TEXT($AE$5:$OE$5, "mmm")=LOWER(G$3))*$AE96:$OE96))</f>
        <v/>
      </c>
      <c r="I96" s="34"/>
      <c r="J96" s="34" t="str" cm="1">
        <f t="array" ref="J96">IF($C96="","",SUMPRODUCT((TEXT($AE$5:$OE$5, "mmm")=LOWER(I$3))*$AE96:$OE96))</f>
        <v/>
      </c>
      <c r="K96" s="34"/>
      <c r="L96" s="34" t="str" cm="1">
        <f t="array" ref="L96">IF($C96="","",SUMPRODUCT((TEXT($AE$5:$OE$5, "mmm")=LOWER(K$3))*$AE96:$OE96))</f>
        <v/>
      </c>
      <c r="M96" s="34"/>
      <c r="N96" s="34" t="str" cm="1">
        <f t="array" ref="N96">IF($C96="","",SUMPRODUCT((TEXT($AE$5:$OE$5, "mmm")=LOWER(M$3))*$AE96:$OE96))</f>
        <v/>
      </c>
      <c r="O96" s="34"/>
      <c r="P96" s="34" t="str" cm="1">
        <f t="array" ref="P96">IF($C96="","",SUMPRODUCT((TEXT($AE$5:$OE$5, "mmm")=LOWER(O$3))*$AE96:$OE96))</f>
        <v/>
      </c>
      <c r="Q96" s="34"/>
      <c r="R96" s="34" t="str" cm="1">
        <f t="array" ref="R96">IF($C96="","",SUMPRODUCT((TEXT($AE$5:$OE$5, "mmm")=LOWER(Q$3))*$AE96:$OE96))</f>
        <v/>
      </c>
      <c r="S96" s="34"/>
      <c r="T96" s="34" t="str" cm="1">
        <f t="array" ref="T96">IF($C96="","",SUMPRODUCT((TEXT($AE$5:$OE$5, "mmm")=LOWER(S$3))*$AE96:$OE96))</f>
        <v/>
      </c>
      <c r="U96" s="34"/>
      <c r="V96" s="34" t="str" cm="1">
        <f t="array" ref="V96">IF($C96="","",SUMPRODUCT((TEXT($AE$5:$OE$5, "mmm")=LOWER(U$3))*$AE96:$OE96))</f>
        <v/>
      </c>
      <c r="W96" s="34"/>
      <c r="X96" s="34" t="str" cm="1">
        <f t="array" ref="X96">IF($C96="","",SUMPRODUCT((TEXT($AE$5:$OE$5, "mmm")=LOWER(W$3))*$AE96:$OE96))</f>
        <v/>
      </c>
      <c r="Y96" s="34"/>
      <c r="Z96" s="34" t="str" cm="1">
        <f t="array" ref="Z96">IF($C96="","",SUMPRODUCT((TEXT($AE$5:$OE$5, "mmm")=LOWER(Y$3))*$AE96:$OE96))</f>
        <v/>
      </c>
      <c r="AA96" s="34"/>
      <c r="AB96" s="34" t="str" cm="1">
        <f t="array" ref="AB96">IF($C96="","",SUMPRODUCT((TEXT($AE$5:$OE$5, "mmm")=LOWER(AA$3))*$AE96:$OE96))</f>
        <v/>
      </c>
      <c r="AC96" s="34"/>
      <c r="AD96" s="34" t="str" cm="1">
        <f t="array" ref="AD96">IF($C96="","",SUMPRODUCT((TEXT($AE$5:$OE$5, "mmm")=LOWER(AC$3))*$AE96:$OE96))</f>
        <v/>
      </c>
      <c r="OE96" s="49"/>
    </row>
    <row r="97" spans="1:395">
      <c r="A97" s="35"/>
      <c r="C97" s="2" t="str">
        <f>IF(ISBLANK($B97),"",_xlfn.XLOOKUP($B97,Task_No,Project!$C$3:$C$144,"INVALID TASK"))</f>
        <v/>
      </c>
      <c r="E97" s="7" t="str">
        <f t="shared" si="20"/>
        <v/>
      </c>
      <c r="F97" s="7" t="str">
        <f t="shared" si="19"/>
        <v/>
      </c>
      <c r="G97" s="34"/>
      <c r="H97" s="34" t="str" cm="1">
        <f t="array" ref="H97">IF($C97="","",SUMPRODUCT((TEXT($AE$5:$OE$5, "mmm")=LOWER(G$3))*$AE97:$OE97))</f>
        <v/>
      </c>
      <c r="I97" s="34"/>
      <c r="J97" s="34" t="str" cm="1">
        <f t="array" ref="J97">IF($C97="","",SUMPRODUCT((TEXT($AE$5:$OE$5, "mmm")=LOWER(I$3))*$AE97:$OE97))</f>
        <v/>
      </c>
      <c r="K97" s="34"/>
      <c r="L97" s="34" t="str" cm="1">
        <f t="array" ref="L97">IF($C97="","",SUMPRODUCT((TEXT($AE$5:$OE$5, "mmm")=LOWER(K$3))*$AE97:$OE97))</f>
        <v/>
      </c>
      <c r="M97" s="34"/>
      <c r="N97" s="34" t="str" cm="1">
        <f t="array" ref="N97">IF($C97="","",SUMPRODUCT((TEXT($AE$5:$OE$5, "mmm")=LOWER(M$3))*$AE97:$OE97))</f>
        <v/>
      </c>
      <c r="O97" s="34"/>
      <c r="P97" s="34" t="str" cm="1">
        <f t="array" ref="P97">IF($C97="","",SUMPRODUCT((TEXT($AE$5:$OE$5, "mmm")=LOWER(O$3))*$AE97:$OE97))</f>
        <v/>
      </c>
      <c r="Q97" s="34"/>
      <c r="R97" s="34" t="str" cm="1">
        <f t="array" ref="R97">IF($C97="","",SUMPRODUCT((TEXT($AE$5:$OE$5, "mmm")=LOWER(Q$3))*$AE97:$OE97))</f>
        <v/>
      </c>
      <c r="S97" s="34"/>
      <c r="T97" s="34" t="str" cm="1">
        <f t="array" ref="T97">IF($C97="","",SUMPRODUCT((TEXT($AE$5:$OE$5, "mmm")=LOWER(S$3))*$AE97:$OE97))</f>
        <v/>
      </c>
      <c r="U97" s="34"/>
      <c r="V97" s="34" t="str" cm="1">
        <f t="array" ref="V97">IF($C97="","",SUMPRODUCT((TEXT($AE$5:$OE$5, "mmm")=LOWER(U$3))*$AE97:$OE97))</f>
        <v/>
      </c>
      <c r="W97" s="34"/>
      <c r="X97" s="34" t="str" cm="1">
        <f t="array" ref="X97">IF($C97="","",SUMPRODUCT((TEXT($AE$5:$OE$5, "mmm")=LOWER(W$3))*$AE97:$OE97))</f>
        <v/>
      </c>
      <c r="Y97" s="34"/>
      <c r="Z97" s="34" t="str" cm="1">
        <f t="array" ref="Z97">IF($C97="","",SUMPRODUCT((TEXT($AE$5:$OE$5, "mmm")=LOWER(Y$3))*$AE97:$OE97))</f>
        <v/>
      </c>
      <c r="AA97" s="34"/>
      <c r="AB97" s="34" t="str" cm="1">
        <f t="array" ref="AB97">IF($C97="","",SUMPRODUCT((TEXT($AE$5:$OE$5, "mmm")=LOWER(AA$3))*$AE97:$OE97))</f>
        <v/>
      </c>
      <c r="AC97" s="34"/>
      <c r="AD97" s="34" t="str" cm="1">
        <f t="array" ref="AD97">IF($C97="","",SUMPRODUCT((TEXT($AE$5:$OE$5, "mmm")=LOWER(AC$3))*$AE97:$OE97))</f>
        <v/>
      </c>
      <c r="OE97" s="49"/>
    </row>
    <row r="98" spans="1:395">
      <c r="A98" s="35"/>
      <c r="C98" s="2" t="str">
        <f>IF(ISBLANK($B98),"",_xlfn.XLOOKUP($B98,Task_No,Project!$C$3:$C$144,"INVALID TASK"))</f>
        <v/>
      </c>
      <c r="E98" s="7" t="str">
        <f t="shared" si="20"/>
        <v/>
      </c>
      <c r="F98" s="7" t="str">
        <f t="shared" si="19"/>
        <v/>
      </c>
      <c r="G98" s="34"/>
      <c r="H98" s="34" t="str" cm="1">
        <f t="array" ref="H98">IF($C98="","",SUMPRODUCT((TEXT($AE$5:$OE$5, "mmm")=LOWER(G$3))*$AE98:$OE98))</f>
        <v/>
      </c>
      <c r="I98" s="34"/>
      <c r="J98" s="34" t="str" cm="1">
        <f t="array" ref="J98">IF($C98="","",SUMPRODUCT((TEXT($AE$5:$OE$5, "mmm")=LOWER(I$3))*$AE98:$OE98))</f>
        <v/>
      </c>
      <c r="K98" s="34"/>
      <c r="L98" s="34" t="str" cm="1">
        <f t="array" ref="L98">IF($C98="","",SUMPRODUCT((TEXT($AE$5:$OE$5, "mmm")=LOWER(K$3))*$AE98:$OE98))</f>
        <v/>
      </c>
      <c r="M98" s="34"/>
      <c r="N98" s="34" t="str" cm="1">
        <f t="array" ref="N98">IF($C98="","",SUMPRODUCT((TEXT($AE$5:$OE$5, "mmm")=LOWER(M$3))*$AE98:$OE98))</f>
        <v/>
      </c>
      <c r="O98" s="34"/>
      <c r="P98" s="34" t="str" cm="1">
        <f t="array" ref="P98">IF($C98="","",SUMPRODUCT((TEXT($AE$5:$OE$5, "mmm")=LOWER(O$3))*$AE98:$OE98))</f>
        <v/>
      </c>
      <c r="Q98" s="34"/>
      <c r="R98" s="34" t="str" cm="1">
        <f t="array" ref="R98">IF($C98="","",SUMPRODUCT((TEXT($AE$5:$OE$5, "mmm")=LOWER(Q$3))*$AE98:$OE98))</f>
        <v/>
      </c>
      <c r="S98" s="34"/>
      <c r="T98" s="34" t="str" cm="1">
        <f t="array" ref="T98">IF($C98="","",SUMPRODUCT((TEXT($AE$5:$OE$5, "mmm")=LOWER(S$3))*$AE98:$OE98))</f>
        <v/>
      </c>
      <c r="U98" s="34"/>
      <c r="V98" s="34" t="str" cm="1">
        <f t="array" ref="V98">IF($C98="","",SUMPRODUCT((TEXT($AE$5:$OE$5, "mmm")=LOWER(U$3))*$AE98:$OE98))</f>
        <v/>
      </c>
      <c r="W98" s="34"/>
      <c r="X98" s="34" t="str" cm="1">
        <f t="array" ref="X98">IF($C98="","",SUMPRODUCT((TEXT($AE$5:$OE$5, "mmm")=LOWER(W$3))*$AE98:$OE98))</f>
        <v/>
      </c>
      <c r="Y98" s="34"/>
      <c r="Z98" s="34" t="str" cm="1">
        <f t="array" ref="Z98">IF($C98="","",SUMPRODUCT((TEXT($AE$5:$OE$5, "mmm")=LOWER(Y$3))*$AE98:$OE98))</f>
        <v/>
      </c>
      <c r="AA98" s="34"/>
      <c r="AB98" s="34" t="str" cm="1">
        <f t="array" ref="AB98">IF($C98="","",SUMPRODUCT((TEXT($AE$5:$OE$5, "mmm")=LOWER(AA$3))*$AE98:$OE98))</f>
        <v/>
      </c>
      <c r="AC98" s="34"/>
      <c r="AD98" s="34" t="str" cm="1">
        <f t="array" ref="AD98">IF($C98="","",SUMPRODUCT((TEXT($AE$5:$OE$5, "mmm")=LOWER(AC$3))*$AE98:$OE98))</f>
        <v/>
      </c>
      <c r="OE98" s="49"/>
    </row>
    <row r="99" spans="1:395">
      <c r="A99" s="35"/>
      <c r="C99" s="2" t="str">
        <f>IF(ISBLANK($B99),"",_xlfn.XLOOKUP($B99,Task_No,Project!$C$3:$C$144,"INVALID TASK"))</f>
        <v/>
      </c>
      <c r="E99" s="7" t="str">
        <f t="shared" si="20"/>
        <v/>
      </c>
      <c r="F99" s="7" t="str">
        <f t="shared" si="19"/>
        <v/>
      </c>
      <c r="G99" s="34"/>
      <c r="H99" s="34" t="str" cm="1">
        <f t="array" ref="H99">IF($C99="","",SUMPRODUCT((TEXT($AE$5:$OE$5, "mmm")=LOWER(G$3))*$AE99:$OE99))</f>
        <v/>
      </c>
      <c r="I99" s="34"/>
      <c r="J99" s="34" t="str" cm="1">
        <f t="array" ref="J99">IF($C99="","",SUMPRODUCT((TEXT($AE$5:$OE$5, "mmm")=LOWER(I$3))*$AE99:$OE99))</f>
        <v/>
      </c>
      <c r="K99" s="34"/>
      <c r="L99" s="34" t="str" cm="1">
        <f t="array" ref="L99">IF($C99="","",SUMPRODUCT((TEXT($AE$5:$OE$5, "mmm")=LOWER(K$3))*$AE99:$OE99))</f>
        <v/>
      </c>
      <c r="M99" s="34"/>
      <c r="N99" s="34" t="str" cm="1">
        <f t="array" ref="N99">IF($C99="","",SUMPRODUCT((TEXT($AE$5:$OE$5, "mmm")=LOWER(M$3))*$AE99:$OE99))</f>
        <v/>
      </c>
      <c r="O99" s="34"/>
      <c r="P99" s="34" t="str" cm="1">
        <f t="array" ref="P99">IF($C99="","",SUMPRODUCT((TEXT($AE$5:$OE$5, "mmm")=LOWER(O$3))*$AE99:$OE99))</f>
        <v/>
      </c>
      <c r="Q99" s="34"/>
      <c r="R99" s="34" t="str" cm="1">
        <f t="array" ref="R99">IF($C99="","",SUMPRODUCT((TEXT($AE$5:$OE$5, "mmm")=LOWER(Q$3))*$AE99:$OE99))</f>
        <v/>
      </c>
      <c r="S99" s="34"/>
      <c r="T99" s="34" t="str" cm="1">
        <f t="array" ref="T99">IF($C99="","",SUMPRODUCT((TEXT($AE$5:$OE$5, "mmm")=LOWER(S$3))*$AE99:$OE99))</f>
        <v/>
      </c>
      <c r="U99" s="34"/>
      <c r="V99" s="34" t="str" cm="1">
        <f t="array" ref="V99">IF($C99="","",SUMPRODUCT((TEXT($AE$5:$OE$5, "mmm")=LOWER(U$3))*$AE99:$OE99))</f>
        <v/>
      </c>
      <c r="W99" s="34"/>
      <c r="X99" s="34" t="str" cm="1">
        <f t="array" ref="X99">IF($C99="","",SUMPRODUCT((TEXT($AE$5:$OE$5, "mmm")=LOWER(W$3))*$AE99:$OE99))</f>
        <v/>
      </c>
      <c r="Y99" s="34"/>
      <c r="Z99" s="34" t="str" cm="1">
        <f t="array" ref="Z99">IF($C99="","",SUMPRODUCT((TEXT($AE$5:$OE$5, "mmm")=LOWER(Y$3))*$AE99:$OE99))</f>
        <v/>
      </c>
      <c r="AA99" s="34"/>
      <c r="AB99" s="34" t="str" cm="1">
        <f t="array" ref="AB99">IF($C99="","",SUMPRODUCT((TEXT($AE$5:$OE$5, "mmm")=LOWER(AA$3))*$AE99:$OE99))</f>
        <v/>
      </c>
      <c r="AC99" s="34"/>
      <c r="AD99" s="34" t="str" cm="1">
        <f t="array" ref="AD99">IF($C99="","",SUMPRODUCT((TEXT($AE$5:$OE$5, "mmm")=LOWER(AC$3))*$AE99:$OE99))</f>
        <v/>
      </c>
      <c r="OE99" s="49"/>
    </row>
    <row r="100" spans="1:395">
      <c r="A100" s="35"/>
      <c r="C100" s="2" t="str">
        <f>IF(ISBLANK($B100),"",_xlfn.XLOOKUP($B100,Task_No,Project!$C$3:$C$144,"INVALID TASK"))</f>
        <v/>
      </c>
      <c r="E100" s="7" t="str">
        <f t="shared" si="20"/>
        <v/>
      </c>
      <c r="F100" s="7" t="str">
        <f t="shared" si="19"/>
        <v/>
      </c>
      <c r="G100" s="34"/>
      <c r="H100" s="34" t="str" cm="1">
        <f t="array" ref="H100">IF($C100="","",SUMPRODUCT((TEXT($AE$5:$OE$5, "mmm")=LOWER(G$3))*$AE100:$OE100))</f>
        <v/>
      </c>
      <c r="I100" s="34"/>
      <c r="J100" s="34" t="str" cm="1">
        <f t="array" ref="J100">IF($C100="","",SUMPRODUCT((TEXT($AE$5:$OE$5, "mmm")=LOWER(I$3))*$AE100:$OE100))</f>
        <v/>
      </c>
      <c r="K100" s="34"/>
      <c r="L100" s="34" t="str" cm="1">
        <f t="array" ref="L100">IF($C100="","",SUMPRODUCT((TEXT($AE$5:$OE$5, "mmm")=LOWER(K$3))*$AE100:$OE100))</f>
        <v/>
      </c>
      <c r="M100" s="34"/>
      <c r="N100" s="34" t="str" cm="1">
        <f t="array" ref="N100">IF($C100="","",SUMPRODUCT((TEXT($AE$5:$OE$5, "mmm")=LOWER(M$3))*$AE100:$OE100))</f>
        <v/>
      </c>
      <c r="O100" s="34"/>
      <c r="P100" s="34" t="str" cm="1">
        <f t="array" ref="P100">IF($C100="","",SUMPRODUCT((TEXT($AE$5:$OE$5, "mmm")=LOWER(O$3))*$AE100:$OE100))</f>
        <v/>
      </c>
      <c r="Q100" s="34"/>
      <c r="R100" s="34" t="str" cm="1">
        <f t="array" ref="R100">IF($C100="","",SUMPRODUCT((TEXT($AE$5:$OE$5, "mmm")=LOWER(Q$3))*$AE100:$OE100))</f>
        <v/>
      </c>
      <c r="S100" s="34"/>
      <c r="T100" s="34" t="str" cm="1">
        <f t="array" ref="T100">IF($C100="","",SUMPRODUCT((TEXT($AE$5:$OE$5, "mmm")=LOWER(S$3))*$AE100:$OE100))</f>
        <v/>
      </c>
      <c r="U100" s="34"/>
      <c r="V100" s="34" t="str" cm="1">
        <f t="array" ref="V100">IF($C100="","",SUMPRODUCT((TEXT($AE$5:$OE$5, "mmm")=LOWER(U$3))*$AE100:$OE100))</f>
        <v/>
      </c>
      <c r="W100" s="34"/>
      <c r="X100" s="34" t="str" cm="1">
        <f t="array" ref="X100">IF($C100="","",SUMPRODUCT((TEXT($AE$5:$OE$5, "mmm")=LOWER(W$3))*$AE100:$OE100))</f>
        <v/>
      </c>
      <c r="Y100" s="34"/>
      <c r="Z100" s="34" t="str" cm="1">
        <f t="array" ref="Z100">IF($C100="","",SUMPRODUCT((TEXT($AE$5:$OE$5, "mmm")=LOWER(Y$3))*$AE100:$OE100))</f>
        <v/>
      </c>
      <c r="AA100" s="34"/>
      <c r="AB100" s="34" t="str" cm="1">
        <f t="array" ref="AB100">IF($C100="","",SUMPRODUCT((TEXT($AE$5:$OE$5, "mmm")=LOWER(AA$3))*$AE100:$OE100))</f>
        <v/>
      </c>
      <c r="AC100" s="34"/>
      <c r="AD100" s="34" t="str" cm="1">
        <f t="array" ref="AD100">IF($C100="","",SUMPRODUCT((TEXT($AE$5:$OE$5, "mmm")=LOWER(AC$3))*$AE100:$OE100))</f>
        <v/>
      </c>
      <c r="OE100" s="49"/>
    </row>
    <row r="101" spans="1:395">
      <c r="A101" s="35"/>
      <c r="C101" s="2" t="str">
        <f>IF(ISBLANK($B101),"",_xlfn.XLOOKUP($B101,Task_No,Project!$C$3:$C$144,"INVALID TASK"))</f>
        <v/>
      </c>
      <c r="E101" s="7" t="str">
        <f t="shared" si="20"/>
        <v/>
      </c>
      <c r="F101" s="7" t="str">
        <f t="shared" si="19"/>
        <v/>
      </c>
      <c r="G101" s="34"/>
      <c r="H101" s="34" t="str" cm="1">
        <f t="array" ref="H101">IF($C101="","",SUMPRODUCT((TEXT($AE$5:$OE$5, "mmm")=LOWER(G$3))*$AE101:$OE101))</f>
        <v/>
      </c>
      <c r="I101" s="34"/>
      <c r="J101" s="34" t="str" cm="1">
        <f t="array" ref="J101">IF($C101="","",SUMPRODUCT((TEXT($AE$5:$OE$5, "mmm")=LOWER(I$3))*$AE101:$OE101))</f>
        <v/>
      </c>
      <c r="K101" s="34"/>
      <c r="L101" s="34" t="str" cm="1">
        <f t="array" ref="L101">IF($C101="","",SUMPRODUCT((TEXT($AE$5:$OE$5, "mmm")=LOWER(K$3))*$AE101:$OE101))</f>
        <v/>
      </c>
      <c r="M101" s="34"/>
      <c r="N101" s="34" t="str" cm="1">
        <f t="array" ref="N101">IF($C101="","",SUMPRODUCT((TEXT($AE$5:$OE$5, "mmm")=LOWER(M$3))*$AE101:$OE101))</f>
        <v/>
      </c>
      <c r="O101" s="34"/>
      <c r="P101" s="34" t="str" cm="1">
        <f t="array" ref="P101">IF($C101="","",SUMPRODUCT((TEXT($AE$5:$OE$5, "mmm")=LOWER(O$3))*$AE101:$OE101))</f>
        <v/>
      </c>
      <c r="Q101" s="34"/>
      <c r="R101" s="34" t="str" cm="1">
        <f t="array" ref="R101">IF($C101="","",SUMPRODUCT((TEXT($AE$5:$OE$5, "mmm")=LOWER(Q$3))*$AE101:$OE101))</f>
        <v/>
      </c>
      <c r="S101" s="34"/>
      <c r="T101" s="34" t="str" cm="1">
        <f t="array" ref="T101">IF($C101="","",SUMPRODUCT((TEXT($AE$5:$OE$5, "mmm")=LOWER(S$3))*$AE101:$OE101))</f>
        <v/>
      </c>
      <c r="U101" s="34"/>
      <c r="V101" s="34" t="str" cm="1">
        <f t="array" ref="V101">IF($C101="","",SUMPRODUCT((TEXT($AE$5:$OE$5, "mmm")=LOWER(U$3))*$AE101:$OE101))</f>
        <v/>
      </c>
      <c r="W101" s="34"/>
      <c r="X101" s="34" t="str" cm="1">
        <f t="array" ref="X101">IF($C101="","",SUMPRODUCT((TEXT($AE$5:$OE$5, "mmm")=LOWER(W$3))*$AE101:$OE101))</f>
        <v/>
      </c>
      <c r="Y101" s="34"/>
      <c r="Z101" s="34" t="str" cm="1">
        <f t="array" ref="Z101">IF($C101="","",SUMPRODUCT((TEXT($AE$5:$OE$5, "mmm")=LOWER(Y$3))*$AE101:$OE101))</f>
        <v/>
      </c>
      <c r="AA101" s="34"/>
      <c r="AB101" s="34" t="str" cm="1">
        <f t="array" ref="AB101">IF($C101="","",SUMPRODUCT((TEXT($AE$5:$OE$5, "mmm")=LOWER(AA$3))*$AE101:$OE101))</f>
        <v/>
      </c>
      <c r="AC101" s="34"/>
      <c r="AD101" s="34" t="str" cm="1">
        <f t="array" ref="AD101">IF($C101="","",SUMPRODUCT((TEXT($AE$5:$OE$5, "mmm")=LOWER(AC$3))*$AE101:$OE101))</f>
        <v/>
      </c>
      <c r="OE101" s="49"/>
    </row>
    <row r="102" spans="1:395">
      <c r="A102" s="35"/>
      <c r="C102" s="2" t="str">
        <f>IF(ISBLANK($B102),"",_xlfn.XLOOKUP($B102,Task_No,Project!$C$3:$C$144,"INVALID TASK"))</f>
        <v/>
      </c>
      <c r="E102" s="7" t="str">
        <f t="shared" si="20"/>
        <v/>
      </c>
      <c r="F102" s="7" t="str">
        <f t="shared" si="19"/>
        <v/>
      </c>
      <c r="G102" s="34"/>
      <c r="H102" s="34" t="str" cm="1">
        <f t="array" ref="H102">IF($C102="","",SUMPRODUCT((TEXT($AE$5:$OE$5, "mmm")=LOWER(G$3))*$AE102:$OE102))</f>
        <v/>
      </c>
      <c r="I102" s="34"/>
      <c r="J102" s="34" t="str" cm="1">
        <f t="array" ref="J102">IF($C102="","",SUMPRODUCT((TEXT($AE$5:$OE$5, "mmm")=LOWER(I$3))*$AE102:$OE102))</f>
        <v/>
      </c>
      <c r="K102" s="34"/>
      <c r="L102" s="34" t="str" cm="1">
        <f t="array" ref="L102">IF($C102="","",SUMPRODUCT((TEXT($AE$5:$OE$5, "mmm")=LOWER(K$3))*$AE102:$OE102))</f>
        <v/>
      </c>
      <c r="M102" s="34"/>
      <c r="N102" s="34" t="str" cm="1">
        <f t="array" ref="N102">IF($C102="","",SUMPRODUCT((TEXT($AE$5:$OE$5, "mmm")=LOWER(M$3))*$AE102:$OE102))</f>
        <v/>
      </c>
      <c r="O102" s="34"/>
      <c r="P102" s="34" t="str" cm="1">
        <f t="array" ref="P102">IF($C102="","",SUMPRODUCT((TEXT($AE$5:$OE$5, "mmm")=LOWER(O$3))*$AE102:$OE102))</f>
        <v/>
      </c>
      <c r="Q102" s="34"/>
      <c r="R102" s="34" t="str" cm="1">
        <f t="array" ref="R102">IF($C102="","",SUMPRODUCT((TEXT($AE$5:$OE$5, "mmm")=LOWER(Q$3))*$AE102:$OE102))</f>
        <v/>
      </c>
      <c r="S102" s="34"/>
      <c r="T102" s="34" t="str" cm="1">
        <f t="array" ref="T102">IF($C102="","",SUMPRODUCT((TEXT($AE$5:$OE$5, "mmm")=LOWER(S$3))*$AE102:$OE102))</f>
        <v/>
      </c>
      <c r="U102" s="34"/>
      <c r="V102" s="34" t="str" cm="1">
        <f t="array" ref="V102">IF($C102="","",SUMPRODUCT((TEXT($AE$5:$OE$5, "mmm")=LOWER(U$3))*$AE102:$OE102))</f>
        <v/>
      </c>
      <c r="W102" s="34"/>
      <c r="X102" s="34" t="str" cm="1">
        <f t="array" ref="X102">IF($C102="","",SUMPRODUCT((TEXT($AE$5:$OE$5, "mmm")=LOWER(W$3))*$AE102:$OE102))</f>
        <v/>
      </c>
      <c r="Y102" s="34"/>
      <c r="Z102" s="34" t="str" cm="1">
        <f t="array" ref="Z102">IF($C102="","",SUMPRODUCT((TEXT($AE$5:$OE$5, "mmm")=LOWER(Y$3))*$AE102:$OE102))</f>
        <v/>
      </c>
      <c r="AA102" s="34"/>
      <c r="AB102" s="34" t="str" cm="1">
        <f t="array" ref="AB102">IF($C102="","",SUMPRODUCT((TEXT($AE$5:$OE$5, "mmm")=LOWER(AA$3))*$AE102:$OE102))</f>
        <v/>
      </c>
      <c r="AC102" s="34"/>
      <c r="AD102" s="34" t="str" cm="1">
        <f t="array" ref="AD102">IF($C102="","",SUMPRODUCT((TEXT($AE$5:$OE$5, "mmm")=LOWER(AC$3))*$AE102:$OE102))</f>
        <v/>
      </c>
      <c r="OE102" s="49"/>
    </row>
    <row r="103" spans="1:395">
      <c r="A103" s="35"/>
      <c r="C103" s="2" t="str">
        <f>IF(ISBLANK($B103),"",_xlfn.XLOOKUP($B103,Task_No,Project!$C$3:$C$144,"INVALID TASK"))</f>
        <v/>
      </c>
      <c r="E103" s="7" t="str">
        <f t="shared" si="20"/>
        <v/>
      </c>
      <c r="F103" s="7" t="str">
        <f t="shared" si="19"/>
        <v/>
      </c>
      <c r="G103" s="34"/>
      <c r="H103" s="34" t="str" cm="1">
        <f t="array" ref="H103">IF($C103="","",SUMPRODUCT((TEXT($AE$5:$OE$5, "mmm")=LOWER(G$3))*$AE103:$OE103))</f>
        <v/>
      </c>
      <c r="I103" s="34"/>
      <c r="J103" s="34" t="str" cm="1">
        <f t="array" ref="J103">IF($C103="","",SUMPRODUCT((TEXT($AE$5:$OE$5, "mmm")=LOWER(I$3))*$AE103:$OE103))</f>
        <v/>
      </c>
      <c r="K103" s="34"/>
      <c r="L103" s="34" t="str" cm="1">
        <f t="array" ref="L103">IF($C103="","",SUMPRODUCT((TEXT($AE$5:$OE$5, "mmm")=LOWER(K$3))*$AE103:$OE103))</f>
        <v/>
      </c>
      <c r="M103" s="34"/>
      <c r="N103" s="34" t="str" cm="1">
        <f t="array" ref="N103">IF($C103="","",SUMPRODUCT((TEXT($AE$5:$OE$5, "mmm")=LOWER(M$3))*$AE103:$OE103))</f>
        <v/>
      </c>
      <c r="O103" s="34"/>
      <c r="P103" s="34" t="str" cm="1">
        <f t="array" ref="P103">IF($C103="","",SUMPRODUCT((TEXT($AE$5:$OE$5, "mmm")=LOWER(O$3))*$AE103:$OE103))</f>
        <v/>
      </c>
      <c r="Q103" s="34"/>
      <c r="R103" s="34" t="str" cm="1">
        <f t="array" ref="R103">IF($C103="","",SUMPRODUCT((TEXT($AE$5:$OE$5, "mmm")=LOWER(Q$3))*$AE103:$OE103))</f>
        <v/>
      </c>
      <c r="S103" s="34"/>
      <c r="T103" s="34" t="str" cm="1">
        <f t="array" ref="T103">IF($C103="","",SUMPRODUCT((TEXT($AE$5:$OE$5, "mmm")=LOWER(S$3))*$AE103:$OE103))</f>
        <v/>
      </c>
      <c r="U103" s="34"/>
      <c r="V103" s="34" t="str" cm="1">
        <f t="array" ref="V103">IF($C103="","",SUMPRODUCT((TEXT($AE$5:$OE$5, "mmm")=LOWER(U$3))*$AE103:$OE103))</f>
        <v/>
      </c>
      <c r="W103" s="34"/>
      <c r="X103" s="34" t="str" cm="1">
        <f t="array" ref="X103">IF($C103="","",SUMPRODUCT((TEXT($AE$5:$OE$5, "mmm")=LOWER(W$3))*$AE103:$OE103))</f>
        <v/>
      </c>
      <c r="Y103" s="34"/>
      <c r="Z103" s="34" t="str" cm="1">
        <f t="array" ref="Z103">IF($C103="","",SUMPRODUCT((TEXT($AE$5:$OE$5, "mmm")=LOWER(Y$3))*$AE103:$OE103))</f>
        <v/>
      </c>
      <c r="AA103" s="34"/>
      <c r="AB103" s="34" t="str" cm="1">
        <f t="array" ref="AB103">IF($C103="","",SUMPRODUCT((TEXT($AE$5:$OE$5, "mmm")=LOWER(AA$3))*$AE103:$OE103))</f>
        <v/>
      </c>
      <c r="AC103" s="34"/>
      <c r="AD103" s="34" t="str" cm="1">
        <f t="array" ref="AD103">IF($C103="","",SUMPRODUCT((TEXT($AE$5:$OE$5, "mmm")=LOWER(AC$3))*$AE103:$OE103))</f>
        <v/>
      </c>
      <c r="OE103" s="49"/>
    </row>
    <row r="104" spans="1:395">
      <c r="A104" s="35"/>
      <c r="C104" s="2" t="str">
        <f>IF(ISBLANK($B104),"",_xlfn.XLOOKUP($B104,Task_No,Project!$C$3:$C$144,"INVALID TASK"))</f>
        <v/>
      </c>
      <c r="E104" s="7" t="str">
        <f t="shared" si="20"/>
        <v/>
      </c>
      <c r="F104" s="7" t="str">
        <f t="shared" si="19"/>
        <v/>
      </c>
      <c r="G104" s="34"/>
      <c r="H104" s="34" t="str" cm="1">
        <f t="array" ref="H104">IF($C104="","",SUMPRODUCT((TEXT($AE$5:$OE$5, "mmm")=LOWER(G$3))*$AE104:$OE104))</f>
        <v/>
      </c>
      <c r="I104" s="34"/>
      <c r="J104" s="34" t="str" cm="1">
        <f t="array" ref="J104">IF($C104="","",SUMPRODUCT((TEXT($AE$5:$OE$5, "mmm")=LOWER(I$3))*$AE104:$OE104))</f>
        <v/>
      </c>
      <c r="K104" s="34"/>
      <c r="L104" s="34" t="str" cm="1">
        <f t="array" ref="L104">IF($C104="","",SUMPRODUCT((TEXT($AE$5:$OE$5, "mmm")=LOWER(K$3))*$AE104:$OE104))</f>
        <v/>
      </c>
      <c r="M104" s="34"/>
      <c r="N104" s="34" t="str" cm="1">
        <f t="array" ref="N104">IF($C104="","",SUMPRODUCT((TEXT($AE$5:$OE$5, "mmm")=LOWER(M$3))*$AE104:$OE104))</f>
        <v/>
      </c>
      <c r="O104" s="34"/>
      <c r="P104" s="34" t="str" cm="1">
        <f t="array" ref="P104">IF($C104="","",SUMPRODUCT((TEXT($AE$5:$OE$5, "mmm")=LOWER(O$3))*$AE104:$OE104))</f>
        <v/>
      </c>
      <c r="Q104" s="34"/>
      <c r="R104" s="34" t="str" cm="1">
        <f t="array" ref="R104">IF($C104="","",SUMPRODUCT((TEXT($AE$5:$OE$5, "mmm")=LOWER(Q$3))*$AE104:$OE104))</f>
        <v/>
      </c>
      <c r="S104" s="34"/>
      <c r="T104" s="34" t="str" cm="1">
        <f t="array" ref="T104">IF($C104="","",SUMPRODUCT((TEXT($AE$5:$OE$5, "mmm")=LOWER(S$3))*$AE104:$OE104))</f>
        <v/>
      </c>
      <c r="U104" s="34"/>
      <c r="V104" s="34" t="str" cm="1">
        <f t="array" ref="V104">IF($C104="","",SUMPRODUCT((TEXT($AE$5:$OE$5, "mmm")=LOWER(U$3))*$AE104:$OE104))</f>
        <v/>
      </c>
      <c r="W104" s="34"/>
      <c r="X104" s="34" t="str" cm="1">
        <f t="array" ref="X104">IF($C104="","",SUMPRODUCT((TEXT($AE$5:$OE$5, "mmm")=LOWER(W$3))*$AE104:$OE104))</f>
        <v/>
      </c>
      <c r="Y104" s="34"/>
      <c r="Z104" s="34" t="str" cm="1">
        <f t="array" ref="Z104">IF($C104="","",SUMPRODUCT((TEXT($AE$5:$OE$5, "mmm")=LOWER(Y$3))*$AE104:$OE104))</f>
        <v/>
      </c>
      <c r="AA104" s="34"/>
      <c r="AB104" s="34" t="str" cm="1">
        <f t="array" ref="AB104">IF($C104="","",SUMPRODUCT((TEXT($AE$5:$OE$5, "mmm")=LOWER(AA$3))*$AE104:$OE104))</f>
        <v/>
      </c>
      <c r="AC104" s="34"/>
      <c r="AD104" s="34" t="str" cm="1">
        <f t="array" ref="AD104">IF($C104="","",SUMPRODUCT((TEXT($AE$5:$OE$5, "mmm")=LOWER(AC$3))*$AE104:$OE104))</f>
        <v/>
      </c>
      <c r="OE104" s="49"/>
    </row>
    <row r="105" spans="1:395">
      <c r="A105" s="35"/>
      <c r="C105" s="2" t="str">
        <f>IF(ISBLANK($B105),"",_xlfn.XLOOKUP($B105,Task_No,Project!$C$3:$C$144,"INVALID TASK"))</f>
        <v/>
      </c>
      <c r="E105" s="7" t="str">
        <f t="shared" si="20"/>
        <v/>
      </c>
      <c r="F105" s="7" t="str">
        <f t="shared" si="19"/>
        <v/>
      </c>
      <c r="G105" s="34"/>
      <c r="H105" s="34" t="str" cm="1">
        <f t="array" ref="H105">IF($C105="","",SUMPRODUCT((TEXT($AE$5:$OE$5, "mmm")=LOWER(G$3))*$AE105:$OE105))</f>
        <v/>
      </c>
      <c r="I105" s="34"/>
      <c r="J105" s="34" t="str" cm="1">
        <f t="array" ref="J105">IF($C105="","",SUMPRODUCT((TEXT($AE$5:$OE$5, "mmm")=LOWER(I$3))*$AE105:$OE105))</f>
        <v/>
      </c>
      <c r="K105" s="34"/>
      <c r="L105" s="34" t="str" cm="1">
        <f t="array" ref="L105">IF($C105="","",SUMPRODUCT((TEXT($AE$5:$OE$5, "mmm")=LOWER(K$3))*$AE105:$OE105))</f>
        <v/>
      </c>
      <c r="M105" s="34"/>
      <c r="N105" s="34" t="str" cm="1">
        <f t="array" ref="N105">IF($C105="","",SUMPRODUCT((TEXT($AE$5:$OE$5, "mmm")=LOWER(M$3))*$AE105:$OE105))</f>
        <v/>
      </c>
      <c r="O105" s="34"/>
      <c r="P105" s="34" t="str" cm="1">
        <f t="array" ref="P105">IF($C105="","",SUMPRODUCT((TEXT($AE$5:$OE$5, "mmm")=LOWER(O$3))*$AE105:$OE105))</f>
        <v/>
      </c>
      <c r="Q105" s="34"/>
      <c r="R105" s="34" t="str" cm="1">
        <f t="array" ref="R105">IF($C105="","",SUMPRODUCT((TEXT($AE$5:$OE$5, "mmm")=LOWER(Q$3))*$AE105:$OE105))</f>
        <v/>
      </c>
      <c r="S105" s="34"/>
      <c r="T105" s="34" t="str" cm="1">
        <f t="array" ref="T105">IF($C105="","",SUMPRODUCT((TEXT($AE$5:$OE$5, "mmm")=LOWER(S$3))*$AE105:$OE105))</f>
        <v/>
      </c>
      <c r="U105" s="34"/>
      <c r="V105" s="34" t="str" cm="1">
        <f t="array" ref="V105">IF($C105="","",SUMPRODUCT((TEXT($AE$5:$OE$5, "mmm")=LOWER(U$3))*$AE105:$OE105))</f>
        <v/>
      </c>
      <c r="W105" s="34"/>
      <c r="X105" s="34" t="str" cm="1">
        <f t="array" ref="X105">IF($C105="","",SUMPRODUCT((TEXT($AE$5:$OE$5, "mmm")=LOWER(W$3))*$AE105:$OE105))</f>
        <v/>
      </c>
      <c r="Y105" s="34"/>
      <c r="Z105" s="34" t="str" cm="1">
        <f t="array" ref="Z105">IF($C105="","",SUMPRODUCT((TEXT($AE$5:$OE$5, "mmm")=LOWER(Y$3))*$AE105:$OE105))</f>
        <v/>
      </c>
      <c r="AA105" s="34"/>
      <c r="AB105" s="34" t="str" cm="1">
        <f t="array" ref="AB105">IF($C105="","",SUMPRODUCT((TEXT($AE$5:$OE$5, "mmm")=LOWER(AA$3))*$AE105:$OE105))</f>
        <v/>
      </c>
      <c r="AC105" s="34"/>
      <c r="AD105" s="34" t="str" cm="1">
        <f t="array" ref="AD105">IF($C105="","",SUMPRODUCT((TEXT($AE$5:$OE$5, "mmm")=LOWER(AC$3))*$AE105:$OE105))</f>
        <v/>
      </c>
      <c r="OE105" s="49"/>
    </row>
    <row r="106" spans="1:395">
      <c r="A106" s="35"/>
      <c r="C106" s="2" t="str">
        <f>IF(ISBLANK($B106),"",_xlfn.XLOOKUP($B106,Task_No,Project!$C$3:$C$144,"INVALID TASK"))</f>
        <v/>
      </c>
      <c r="E106" s="7" t="str">
        <f t="shared" si="20"/>
        <v/>
      </c>
      <c r="F106" s="7" t="str">
        <f t="shared" si="19"/>
        <v/>
      </c>
      <c r="G106" s="34"/>
      <c r="H106" s="34" t="str" cm="1">
        <f t="array" ref="H106">IF($C106="","",SUMPRODUCT((TEXT($AE$5:$OE$5, "mmm")=LOWER(G$3))*$AE106:$OE106))</f>
        <v/>
      </c>
      <c r="I106" s="34"/>
      <c r="J106" s="34" t="str" cm="1">
        <f t="array" ref="J106">IF($C106="","",SUMPRODUCT((TEXT($AE$5:$OE$5, "mmm")=LOWER(I$3))*$AE106:$OE106))</f>
        <v/>
      </c>
      <c r="K106" s="34"/>
      <c r="L106" s="34" t="str" cm="1">
        <f t="array" ref="L106">IF($C106="","",SUMPRODUCT((TEXT($AE$5:$OE$5, "mmm")=LOWER(K$3))*$AE106:$OE106))</f>
        <v/>
      </c>
      <c r="M106" s="34"/>
      <c r="N106" s="34" t="str" cm="1">
        <f t="array" ref="N106">IF($C106="","",SUMPRODUCT((TEXT($AE$5:$OE$5, "mmm")=LOWER(M$3))*$AE106:$OE106))</f>
        <v/>
      </c>
      <c r="O106" s="34"/>
      <c r="P106" s="34" t="str" cm="1">
        <f t="array" ref="P106">IF($C106="","",SUMPRODUCT((TEXT($AE$5:$OE$5, "mmm")=LOWER(O$3))*$AE106:$OE106))</f>
        <v/>
      </c>
      <c r="Q106" s="34"/>
      <c r="R106" s="34" t="str" cm="1">
        <f t="array" ref="R106">IF($C106="","",SUMPRODUCT((TEXT($AE$5:$OE$5, "mmm")=LOWER(Q$3))*$AE106:$OE106))</f>
        <v/>
      </c>
      <c r="S106" s="34"/>
      <c r="T106" s="34" t="str" cm="1">
        <f t="array" ref="T106">IF($C106="","",SUMPRODUCT((TEXT($AE$5:$OE$5, "mmm")=LOWER(S$3))*$AE106:$OE106))</f>
        <v/>
      </c>
      <c r="U106" s="34"/>
      <c r="V106" s="34" t="str" cm="1">
        <f t="array" ref="V106">IF($C106="","",SUMPRODUCT((TEXT($AE$5:$OE$5, "mmm")=LOWER(U$3))*$AE106:$OE106))</f>
        <v/>
      </c>
      <c r="W106" s="34"/>
      <c r="X106" s="34" t="str" cm="1">
        <f t="array" ref="X106">IF($C106="","",SUMPRODUCT((TEXT($AE$5:$OE$5, "mmm")=LOWER(W$3))*$AE106:$OE106))</f>
        <v/>
      </c>
      <c r="Y106" s="34"/>
      <c r="Z106" s="34" t="str" cm="1">
        <f t="array" ref="Z106">IF($C106="","",SUMPRODUCT((TEXT($AE$5:$OE$5, "mmm")=LOWER(Y$3))*$AE106:$OE106))</f>
        <v/>
      </c>
      <c r="AA106" s="34"/>
      <c r="AB106" s="34" t="str" cm="1">
        <f t="array" ref="AB106">IF($C106="","",SUMPRODUCT((TEXT($AE$5:$OE$5, "mmm")=LOWER(AA$3))*$AE106:$OE106))</f>
        <v/>
      </c>
      <c r="AC106" s="34"/>
      <c r="AD106" s="34" t="str" cm="1">
        <f t="array" ref="AD106">IF($C106="","",SUMPRODUCT((TEXT($AE$5:$OE$5, "mmm")=LOWER(AC$3))*$AE106:$OE106))</f>
        <v/>
      </c>
      <c r="OE106" s="49"/>
    </row>
    <row r="107" spans="1:395">
      <c r="A107" s="35"/>
      <c r="C107" s="2" t="str">
        <f>IF(ISBLANK($B107),"",_xlfn.XLOOKUP($B107,Task_No,Project!$C$3:$C$144,"INVALID TASK"))</f>
        <v/>
      </c>
      <c r="E107" s="7" t="str">
        <f t="shared" si="20"/>
        <v/>
      </c>
      <c r="F107" s="7" t="str">
        <f t="shared" si="19"/>
        <v/>
      </c>
      <c r="G107" s="34"/>
      <c r="H107" s="34" t="str" cm="1">
        <f t="array" ref="H107">IF($C107="","",SUMPRODUCT((TEXT($AE$5:$OE$5, "mmm")=LOWER(G$3))*$AE107:$OE107))</f>
        <v/>
      </c>
      <c r="I107" s="34"/>
      <c r="J107" s="34" t="str" cm="1">
        <f t="array" ref="J107">IF($C107="","",SUMPRODUCT((TEXT($AE$5:$OE$5, "mmm")=LOWER(I$3))*$AE107:$OE107))</f>
        <v/>
      </c>
      <c r="K107" s="34"/>
      <c r="L107" s="34" t="str" cm="1">
        <f t="array" ref="L107">IF($C107="","",SUMPRODUCT((TEXT($AE$5:$OE$5, "mmm")=LOWER(K$3))*$AE107:$OE107))</f>
        <v/>
      </c>
      <c r="M107" s="34"/>
      <c r="N107" s="34" t="str" cm="1">
        <f t="array" ref="N107">IF($C107="","",SUMPRODUCT((TEXT($AE$5:$OE$5, "mmm")=LOWER(M$3))*$AE107:$OE107))</f>
        <v/>
      </c>
      <c r="O107" s="34"/>
      <c r="P107" s="34" t="str" cm="1">
        <f t="array" ref="P107">IF($C107="","",SUMPRODUCT((TEXT($AE$5:$OE$5, "mmm")=LOWER(O$3))*$AE107:$OE107))</f>
        <v/>
      </c>
      <c r="Q107" s="34"/>
      <c r="R107" s="34" t="str" cm="1">
        <f t="array" ref="R107">IF($C107="","",SUMPRODUCT((TEXT($AE$5:$OE$5, "mmm")=LOWER(Q$3))*$AE107:$OE107))</f>
        <v/>
      </c>
      <c r="S107" s="34"/>
      <c r="T107" s="34" t="str" cm="1">
        <f t="array" ref="T107">IF($C107="","",SUMPRODUCT((TEXT($AE$5:$OE$5, "mmm")=LOWER(S$3))*$AE107:$OE107))</f>
        <v/>
      </c>
      <c r="U107" s="34"/>
      <c r="V107" s="34" t="str" cm="1">
        <f t="array" ref="V107">IF($C107="","",SUMPRODUCT((TEXT($AE$5:$OE$5, "mmm")=LOWER(U$3))*$AE107:$OE107))</f>
        <v/>
      </c>
      <c r="W107" s="34"/>
      <c r="X107" s="34" t="str" cm="1">
        <f t="array" ref="X107">IF($C107="","",SUMPRODUCT((TEXT($AE$5:$OE$5, "mmm")=LOWER(W$3))*$AE107:$OE107))</f>
        <v/>
      </c>
      <c r="Y107" s="34"/>
      <c r="Z107" s="34" t="str" cm="1">
        <f t="array" ref="Z107">IF($C107="","",SUMPRODUCT((TEXT($AE$5:$OE$5, "mmm")=LOWER(Y$3))*$AE107:$OE107))</f>
        <v/>
      </c>
      <c r="AA107" s="34"/>
      <c r="AB107" s="34" t="str" cm="1">
        <f t="array" ref="AB107">IF($C107="","",SUMPRODUCT((TEXT($AE$5:$OE$5, "mmm")=LOWER(AA$3))*$AE107:$OE107))</f>
        <v/>
      </c>
      <c r="AC107" s="34"/>
      <c r="AD107" s="34" t="str" cm="1">
        <f t="array" ref="AD107">IF($C107="","",SUMPRODUCT((TEXT($AE$5:$OE$5, "mmm")=LOWER(AC$3))*$AE107:$OE107))</f>
        <v/>
      </c>
      <c r="OE107" s="49"/>
    </row>
    <row r="108" spans="1:395">
      <c r="A108" s="35"/>
      <c r="C108" s="2" t="str">
        <f>IF(ISBLANK($B108),"",_xlfn.XLOOKUP($B108,Task_No,Project!$C$3:$C$144,"INVALID TASK"))</f>
        <v/>
      </c>
      <c r="E108" s="7" t="str">
        <f t="shared" si="20"/>
        <v/>
      </c>
      <c r="F108" s="7" t="str">
        <f t="shared" si="19"/>
        <v/>
      </c>
      <c r="G108" s="34"/>
      <c r="H108" s="34" t="str" cm="1">
        <f t="array" ref="H108">IF($C108="","",SUMPRODUCT((TEXT($AE$5:$OE$5, "mmm")=LOWER(G$3))*$AE108:$OE108))</f>
        <v/>
      </c>
      <c r="I108" s="34"/>
      <c r="J108" s="34" t="str" cm="1">
        <f t="array" ref="J108">IF($C108="","",SUMPRODUCT((TEXT($AE$5:$OE$5, "mmm")=LOWER(I$3))*$AE108:$OE108))</f>
        <v/>
      </c>
      <c r="K108" s="34"/>
      <c r="L108" s="34" t="str" cm="1">
        <f t="array" ref="L108">IF($C108="","",SUMPRODUCT((TEXT($AE$5:$OE$5, "mmm")=LOWER(K$3))*$AE108:$OE108))</f>
        <v/>
      </c>
      <c r="M108" s="34"/>
      <c r="N108" s="34" t="str" cm="1">
        <f t="array" ref="N108">IF($C108="","",SUMPRODUCT((TEXT($AE$5:$OE$5, "mmm")=LOWER(M$3))*$AE108:$OE108))</f>
        <v/>
      </c>
      <c r="O108" s="34"/>
      <c r="P108" s="34" t="str" cm="1">
        <f t="array" ref="P108">IF($C108="","",SUMPRODUCT((TEXT($AE$5:$OE$5, "mmm")=LOWER(O$3))*$AE108:$OE108))</f>
        <v/>
      </c>
      <c r="Q108" s="34"/>
      <c r="R108" s="34" t="str" cm="1">
        <f t="array" ref="R108">IF($C108="","",SUMPRODUCT((TEXT($AE$5:$OE$5, "mmm")=LOWER(Q$3))*$AE108:$OE108))</f>
        <v/>
      </c>
      <c r="S108" s="34"/>
      <c r="T108" s="34" t="str" cm="1">
        <f t="array" ref="T108">IF($C108="","",SUMPRODUCT((TEXT($AE$5:$OE$5, "mmm")=LOWER(S$3))*$AE108:$OE108))</f>
        <v/>
      </c>
      <c r="U108" s="34"/>
      <c r="V108" s="34" t="str" cm="1">
        <f t="array" ref="V108">IF($C108="","",SUMPRODUCT((TEXT($AE$5:$OE$5, "mmm")=LOWER(U$3))*$AE108:$OE108))</f>
        <v/>
      </c>
      <c r="W108" s="34"/>
      <c r="X108" s="34" t="str" cm="1">
        <f t="array" ref="X108">IF($C108="","",SUMPRODUCT((TEXT($AE$5:$OE$5, "mmm")=LOWER(W$3))*$AE108:$OE108))</f>
        <v/>
      </c>
      <c r="Y108" s="34"/>
      <c r="Z108" s="34" t="str" cm="1">
        <f t="array" ref="Z108">IF($C108="","",SUMPRODUCT((TEXT($AE$5:$OE$5, "mmm")=LOWER(Y$3))*$AE108:$OE108))</f>
        <v/>
      </c>
      <c r="AA108" s="34"/>
      <c r="AB108" s="34" t="str" cm="1">
        <f t="array" ref="AB108">IF($C108="","",SUMPRODUCT((TEXT($AE$5:$OE$5, "mmm")=LOWER(AA$3))*$AE108:$OE108))</f>
        <v/>
      </c>
      <c r="AC108" s="34"/>
      <c r="AD108" s="34" t="str" cm="1">
        <f t="array" ref="AD108">IF($C108="","",SUMPRODUCT((TEXT($AE$5:$OE$5, "mmm")=LOWER(AC$3))*$AE108:$OE108))</f>
        <v/>
      </c>
      <c r="OE108" s="49"/>
    </row>
    <row r="109" spans="1:395">
      <c r="A109" s="35"/>
      <c r="C109" s="2" t="str">
        <f>IF(ISBLANK($B109),"",_xlfn.XLOOKUP($B109,Task_No,Project!$C$3:$C$144,"INVALID TASK"))</f>
        <v/>
      </c>
      <c r="E109" s="7" t="str">
        <f t="shared" si="20"/>
        <v/>
      </c>
      <c r="F109" s="7" t="str">
        <f t="shared" si="19"/>
        <v/>
      </c>
      <c r="G109" s="34"/>
      <c r="H109" s="34" t="str" cm="1">
        <f t="array" ref="H109">IF($C109="","",SUMPRODUCT((TEXT($AE$5:$OE$5, "mmm")=LOWER(G$3))*$AE109:$OE109))</f>
        <v/>
      </c>
      <c r="I109" s="34"/>
      <c r="J109" s="34" t="str" cm="1">
        <f t="array" ref="J109">IF($C109="","",SUMPRODUCT((TEXT($AE$5:$OE$5, "mmm")=LOWER(I$3))*$AE109:$OE109))</f>
        <v/>
      </c>
      <c r="K109" s="34"/>
      <c r="L109" s="34" t="str" cm="1">
        <f t="array" ref="L109">IF($C109="","",SUMPRODUCT((TEXT($AE$5:$OE$5, "mmm")=LOWER(K$3))*$AE109:$OE109))</f>
        <v/>
      </c>
      <c r="M109" s="34"/>
      <c r="N109" s="34" t="str" cm="1">
        <f t="array" ref="N109">IF($C109="","",SUMPRODUCT((TEXT($AE$5:$OE$5, "mmm")=LOWER(M$3))*$AE109:$OE109))</f>
        <v/>
      </c>
      <c r="O109" s="34"/>
      <c r="P109" s="34" t="str" cm="1">
        <f t="array" ref="P109">IF($C109="","",SUMPRODUCT((TEXT($AE$5:$OE$5, "mmm")=LOWER(O$3))*$AE109:$OE109))</f>
        <v/>
      </c>
      <c r="Q109" s="34"/>
      <c r="R109" s="34" t="str" cm="1">
        <f t="array" ref="R109">IF($C109="","",SUMPRODUCT((TEXT($AE$5:$OE$5, "mmm")=LOWER(Q$3))*$AE109:$OE109))</f>
        <v/>
      </c>
      <c r="S109" s="34"/>
      <c r="T109" s="34" t="str" cm="1">
        <f t="array" ref="T109">IF($C109="","",SUMPRODUCT((TEXT($AE$5:$OE$5, "mmm")=LOWER(S$3))*$AE109:$OE109))</f>
        <v/>
      </c>
      <c r="U109" s="34"/>
      <c r="V109" s="34" t="str" cm="1">
        <f t="array" ref="V109">IF($C109="","",SUMPRODUCT((TEXT($AE$5:$OE$5, "mmm")=LOWER(U$3))*$AE109:$OE109))</f>
        <v/>
      </c>
      <c r="W109" s="34"/>
      <c r="X109" s="34" t="str" cm="1">
        <f t="array" ref="X109">IF($C109="","",SUMPRODUCT((TEXT($AE$5:$OE$5, "mmm")=LOWER(W$3))*$AE109:$OE109))</f>
        <v/>
      </c>
      <c r="Y109" s="34"/>
      <c r="Z109" s="34" t="str" cm="1">
        <f t="array" ref="Z109">IF($C109="","",SUMPRODUCT((TEXT($AE$5:$OE$5, "mmm")=LOWER(Y$3))*$AE109:$OE109))</f>
        <v/>
      </c>
      <c r="AA109" s="34"/>
      <c r="AB109" s="34" t="str" cm="1">
        <f t="array" ref="AB109">IF($C109="","",SUMPRODUCT((TEXT($AE$5:$OE$5, "mmm")=LOWER(AA$3))*$AE109:$OE109))</f>
        <v/>
      </c>
      <c r="AC109" s="34"/>
      <c r="AD109" s="34" t="str" cm="1">
        <f t="array" ref="AD109">IF($C109="","",SUMPRODUCT((TEXT($AE$5:$OE$5, "mmm")=LOWER(AC$3))*$AE109:$OE109))</f>
        <v/>
      </c>
      <c r="OE109" s="49"/>
    </row>
    <row r="110" spans="1:395">
      <c r="A110" s="35"/>
      <c r="C110" s="2" t="str">
        <f>IF(ISBLANK($B110),"",_xlfn.XLOOKUP($B110,Task_No,Project!$C$3:$C$144,"INVALID TASK"))</f>
        <v/>
      </c>
      <c r="E110" s="7" t="str">
        <f t="shared" si="20"/>
        <v/>
      </c>
      <c r="F110" s="7" t="str">
        <f t="shared" si="19"/>
        <v/>
      </c>
      <c r="G110" s="34"/>
      <c r="H110" s="34" t="str" cm="1">
        <f t="array" ref="H110">IF($C110="","",SUMPRODUCT((TEXT($AE$5:$OE$5, "mmm")=LOWER(G$3))*$AE110:$OE110))</f>
        <v/>
      </c>
      <c r="I110" s="34"/>
      <c r="J110" s="34" t="str" cm="1">
        <f t="array" ref="J110">IF($C110="","",SUMPRODUCT((TEXT($AE$5:$OE$5, "mmm")=LOWER(I$3))*$AE110:$OE110))</f>
        <v/>
      </c>
      <c r="K110" s="34"/>
      <c r="L110" s="34" t="str" cm="1">
        <f t="array" ref="L110">IF($C110="","",SUMPRODUCT((TEXT($AE$5:$OE$5, "mmm")=LOWER(K$3))*$AE110:$OE110))</f>
        <v/>
      </c>
      <c r="M110" s="34"/>
      <c r="N110" s="34" t="str" cm="1">
        <f t="array" ref="N110">IF($C110="","",SUMPRODUCT((TEXT($AE$5:$OE$5, "mmm")=LOWER(M$3))*$AE110:$OE110))</f>
        <v/>
      </c>
      <c r="O110" s="34"/>
      <c r="P110" s="34" t="str" cm="1">
        <f t="array" ref="P110">IF($C110="","",SUMPRODUCT((TEXT($AE$5:$OE$5, "mmm")=LOWER(O$3))*$AE110:$OE110))</f>
        <v/>
      </c>
      <c r="Q110" s="34"/>
      <c r="R110" s="34" t="str" cm="1">
        <f t="array" ref="R110">IF($C110="","",SUMPRODUCT((TEXT($AE$5:$OE$5, "mmm")=LOWER(Q$3))*$AE110:$OE110))</f>
        <v/>
      </c>
      <c r="S110" s="34"/>
      <c r="T110" s="34" t="str" cm="1">
        <f t="array" ref="T110">IF($C110="","",SUMPRODUCT((TEXT($AE$5:$OE$5, "mmm")=LOWER(S$3))*$AE110:$OE110))</f>
        <v/>
      </c>
      <c r="U110" s="34"/>
      <c r="V110" s="34" t="str" cm="1">
        <f t="array" ref="V110">IF($C110="","",SUMPRODUCT((TEXT($AE$5:$OE$5, "mmm")=LOWER(U$3))*$AE110:$OE110))</f>
        <v/>
      </c>
      <c r="W110" s="34"/>
      <c r="X110" s="34" t="str" cm="1">
        <f t="array" ref="X110">IF($C110="","",SUMPRODUCT((TEXT($AE$5:$OE$5, "mmm")=LOWER(W$3))*$AE110:$OE110))</f>
        <v/>
      </c>
      <c r="Y110" s="34"/>
      <c r="Z110" s="34" t="str" cm="1">
        <f t="array" ref="Z110">IF($C110="","",SUMPRODUCT((TEXT($AE$5:$OE$5, "mmm")=LOWER(Y$3))*$AE110:$OE110))</f>
        <v/>
      </c>
      <c r="AA110" s="34"/>
      <c r="AB110" s="34" t="str" cm="1">
        <f t="array" ref="AB110">IF($C110="","",SUMPRODUCT((TEXT($AE$5:$OE$5, "mmm")=LOWER(AA$3))*$AE110:$OE110))</f>
        <v/>
      </c>
      <c r="AC110" s="34"/>
      <c r="AD110" s="34" t="str" cm="1">
        <f t="array" ref="AD110">IF($C110="","",SUMPRODUCT((TEXT($AE$5:$OE$5, "mmm")=LOWER(AC$3))*$AE110:$OE110))</f>
        <v/>
      </c>
      <c r="OE110" s="49"/>
    </row>
    <row r="111" spans="1:395">
      <c r="A111" s="35"/>
      <c r="C111" s="2" t="str">
        <f>IF(ISBLANK($B111),"",_xlfn.XLOOKUP($B111,Task_No,Project!$C$3:$C$144,"INVALID TASK"))</f>
        <v/>
      </c>
      <c r="E111" s="7" t="str">
        <f t="shared" si="20"/>
        <v/>
      </c>
      <c r="F111" s="7" t="str">
        <f t="shared" si="19"/>
        <v/>
      </c>
      <c r="G111" s="34"/>
      <c r="H111" s="34" t="str" cm="1">
        <f t="array" ref="H111">IF($C111="","",SUMPRODUCT((TEXT($AE$5:$OE$5, "mmm")=LOWER(G$3))*$AE111:$OE111))</f>
        <v/>
      </c>
      <c r="I111" s="34"/>
      <c r="J111" s="34" t="str" cm="1">
        <f t="array" ref="J111">IF($C111="","",SUMPRODUCT((TEXT($AE$5:$OE$5, "mmm")=LOWER(I$3))*$AE111:$OE111))</f>
        <v/>
      </c>
      <c r="K111" s="34"/>
      <c r="L111" s="34" t="str" cm="1">
        <f t="array" ref="L111">IF($C111="","",SUMPRODUCT((TEXT($AE$5:$OE$5, "mmm")=LOWER(K$3))*$AE111:$OE111))</f>
        <v/>
      </c>
      <c r="M111" s="34"/>
      <c r="N111" s="34" t="str" cm="1">
        <f t="array" ref="N111">IF($C111="","",SUMPRODUCT((TEXT($AE$5:$OE$5, "mmm")=LOWER(M$3))*$AE111:$OE111))</f>
        <v/>
      </c>
      <c r="O111" s="34"/>
      <c r="P111" s="34" t="str" cm="1">
        <f t="array" ref="P111">IF($C111="","",SUMPRODUCT((TEXT($AE$5:$OE$5, "mmm")=LOWER(O$3))*$AE111:$OE111))</f>
        <v/>
      </c>
      <c r="Q111" s="34"/>
      <c r="R111" s="34" t="str" cm="1">
        <f t="array" ref="R111">IF($C111="","",SUMPRODUCT((TEXT($AE$5:$OE$5, "mmm")=LOWER(Q$3))*$AE111:$OE111))</f>
        <v/>
      </c>
      <c r="S111" s="34"/>
      <c r="T111" s="34" t="str" cm="1">
        <f t="array" ref="T111">IF($C111="","",SUMPRODUCT((TEXT($AE$5:$OE$5, "mmm")=LOWER(S$3))*$AE111:$OE111))</f>
        <v/>
      </c>
      <c r="U111" s="34"/>
      <c r="V111" s="34" t="str" cm="1">
        <f t="array" ref="V111">IF($C111="","",SUMPRODUCT((TEXT($AE$5:$OE$5, "mmm")=LOWER(U$3))*$AE111:$OE111))</f>
        <v/>
      </c>
      <c r="W111" s="34"/>
      <c r="X111" s="34" t="str" cm="1">
        <f t="array" ref="X111">IF($C111="","",SUMPRODUCT((TEXT($AE$5:$OE$5, "mmm")=LOWER(W$3))*$AE111:$OE111))</f>
        <v/>
      </c>
      <c r="Y111" s="34"/>
      <c r="Z111" s="34" t="str" cm="1">
        <f t="array" ref="Z111">IF($C111="","",SUMPRODUCT((TEXT($AE$5:$OE$5, "mmm")=LOWER(Y$3))*$AE111:$OE111))</f>
        <v/>
      </c>
      <c r="AA111" s="34"/>
      <c r="AB111" s="34" t="str" cm="1">
        <f t="array" ref="AB111">IF($C111="","",SUMPRODUCT((TEXT($AE$5:$OE$5, "mmm")=LOWER(AA$3))*$AE111:$OE111))</f>
        <v/>
      </c>
      <c r="AC111" s="34"/>
      <c r="AD111" s="34" t="str" cm="1">
        <f t="array" ref="AD111">IF($C111="","",SUMPRODUCT((TEXT($AE$5:$OE$5, "mmm")=LOWER(AC$3))*$AE111:$OE111))</f>
        <v/>
      </c>
      <c r="OE111" s="49"/>
    </row>
    <row r="112" spans="1:395">
      <c r="A112" s="35"/>
      <c r="C112" s="2" t="str">
        <f>IF(ISBLANK($B112),"",_xlfn.XLOOKUP($B112,Task_No,Project!$C$3:$C$144,"INVALID TASK"))</f>
        <v/>
      </c>
      <c r="E112" s="7" t="str">
        <f t="shared" si="20"/>
        <v/>
      </c>
      <c r="F112" s="7" t="str">
        <f t="shared" si="19"/>
        <v/>
      </c>
      <c r="G112" s="34"/>
      <c r="H112" s="34" t="str" cm="1">
        <f t="array" ref="H112">IF($C112="","",SUMPRODUCT((TEXT($AE$5:$OE$5, "mmm")=LOWER(G$3))*$AE112:$OE112))</f>
        <v/>
      </c>
      <c r="I112" s="34"/>
      <c r="J112" s="34" t="str" cm="1">
        <f t="array" ref="J112">IF($C112="","",SUMPRODUCT((TEXT($AE$5:$OE$5, "mmm")=LOWER(I$3))*$AE112:$OE112))</f>
        <v/>
      </c>
      <c r="K112" s="34"/>
      <c r="L112" s="34" t="str" cm="1">
        <f t="array" ref="L112">IF($C112="","",SUMPRODUCT((TEXT($AE$5:$OE$5, "mmm")=LOWER(K$3))*$AE112:$OE112))</f>
        <v/>
      </c>
      <c r="M112" s="34"/>
      <c r="N112" s="34" t="str" cm="1">
        <f t="array" ref="N112">IF($C112="","",SUMPRODUCT((TEXT($AE$5:$OE$5, "mmm")=LOWER(M$3))*$AE112:$OE112))</f>
        <v/>
      </c>
      <c r="O112" s="34"/>
      <c r="P112" s="34" t="str" cm="1">
        <f t="array" ref="P112">IF($C112="","",SUMPRODUCT((TEXT($AE$5:$OE$5, "mmm")=LOWER(O$3))*$AE112:$OE112))</f>
        <v/>
      </c>
      <c r="Q112" s="34"/>
      <c r="R112" s="34" t="str" cm="1">
        <f t="array" ref="R112">IF($C112="","",SUMPRODUCT((TEXT($AE$5:$OE$5, "mmm")=LOWER(Q$3))*$AE112:$OE112))</f>
        <v/>
      </c>
      <c r="S112" s="34"/>
      <c r="T112" s="34" t="str" cm="1">
        <f t="array" ref="T112">IF($C112="","",SUMPRODUCT((TEXT($AE$5:$OE$5, "mmm")=LOWER(S$3))*$AE112:$OE112))</f>
        <v/>
      </c>
      <c r="U112" s="34"/>
      <c r="V112" s="34" t="str" cm="1">
        <f t="array" ref="V112">IF($C112="","",SUMPRODUCT((TEXT($AE$5:$OE$5, "mmm")=LOWER(U$3))*$AE112:$OE112))</f>
        <v/>
      </c>
      <c r="W112" s="34"/>
      <c r="X112" s="34" t="str" cm="1">
        <f t="array" ref="X112">IF($C112="","",SUMPRODUCT((TEXT($AE$5:$OE$5, "mmm")=LOWER(W$3))*$AE112:$OE112))</f>
        <v/>
      </c>
      <c r="Y112" s="34"/>
      <c r="Z112" s="34" t="str" cm="1">
        <f t="array" ref="Z112">IF($C112="","",SUMPRODUCT((TEXT($AE$5:$OE$5, "mmm")=LOWER(Y$3))*$AE112:$OE112))</f>
        <v/>
      </c>
      <c r="AA112" s="34"/>
      <c r="AB112" s="34" t="str" cm="1">
        <f t="array" ref="AB112">IF($C112="","",SUMPRODUCT((TEXT($AE$5:$OE$5, "mmm")=LOWER(AA$3))*$AE112:$OE112))</f>
        <v/>
      </c>
      <c r="AC112" s="34"/>
      <c r="AD112" s="34" t="str" cm="1">
        <f t="array" ref="AD112">IF($C112="","",SUMPRODUCT((TEXT($AE$5:$OE$5, "mmm")=LOWER(AC$3))*$AE112:$OE112))</f>
        <v/>
      </c>
      <c r="OE112" s="49"/>
    </row>
    <row r="113" spans="1:395">
      <c r="A113" s="35"/>
      <c r="C113" s="2" t="str">
        <f>IF(ISBLANK($B113),"",_xlfn.XLOOKUP($B113,Task_No,Project!$C$3:$C$144,"INVALID TASK"))</f>
        <v/>
      </c>
      <c r="E113" s="7" t="str">
        <f t="shared" si="20"/>
        <v/>
      </c>
      <c r="F113" s="7" t="str">
        <f t="shared" si="19"/>
        <v/>
      </c>
      <c r="G113" s="34"/>
      <c r="H113" s="34" t="str" cm="1">
        <f t="array" ref="H113">IF($C113="","",SUMPRODUCT((TEXT($AE$5:$OE$5, "mmm")=LOWER(G$3))*$AE113:$OE113))</f>
        <v/>
      </c>
      <c r="I113" s="34"/>
      <c r="J113" s="34" t="str" cm="1">
        <f t="array" ref="J113">IF($C113="","",SUMPRODUCT((TEXT($AE$5:$OE$5, "mmm")=LOWER(I$3))*$AE113:$OE113))</f>
        <v/>
      </c>
      <c r="K113" s="34"/>
      <c r="L113" s="34" t="str" cm="1">
        <f t="array" ref="L113">IF($C113="","",SUMPRODUCT((TEXT($AE$5:$OE$5, "mmm")=LOWER(K$3))*$AE113:$OE113))</f>
        <v/>
      </c>
      <c r="M113" s="34"/>
      <c r="N113" s="34" t="str" cm="1">
        <f t="array" ref="N113">IF($C113="","",SUMPRODUCT((TEXT($AE$5:$OE$5, "mmm")=LOWER(M$3))*$AE113:$OE113))</f>
        <v/>
      </c>
      <c r="O113" s="34"/>
      <c r="P113" s="34" t="str" cm="1">
        <f t="array" ref="P113">IF($C113="","",SUMPRODUCT((TEXT($AE$5:$OE$5, "mmm")=LOWER(O$3))*$AE113:$OE113))</f>
        <v/>
      </c>
      <c r="Q113" s="34"/>
      <c r="R113" s="34" t="str" cm="1">
        <f t="array" ref="R113">IF($C113="","",SUMPRODUCT((TEXT($AE$5:$OE$5, "mmm")=LOWER(Q$3))*$AE113:$OE113))</f>
        <v/>
      </c>
      <c r="S113" s="34"/>
      <c r="T113" s="34" t="str" cm="1">
        <f t="array" ref="T113">IF($C113="","",SUMPRODUCT((TEXT($AE$5:$OE$5, "mmm")=LOWER(S$3))*$AE113:$OE113))</f>
        <v/>
      </c>
      <c r="U113" s="34"/>
      <c r="V113" s="34" t="str" cm="1">
        <f t="array" ref="V113">IF($C113="","",SUMPRODUCT((TEXT($AE$5:$OE$5, "mmm")=LOWER(U$3))*$AE113:$OE113))</f>
        <v/>
      </c>
      <c r="W113" s="34"/>
      <c r="X113" s="34" t="str" cm="1">
        <f t="array" ref="X113">IF($C113="","",SUMPRODUCT((TEXT($AE$5:$OE$5, "mmm")=LOWER(W$3))*$AE113:$OE113))</f>
        <v/>
      </c>
      <c r="Y113" s="34"/>
      <c r="Z113" s="34" t="str" cm="1">
        <f t="array" ref="Z113">IF($C113="","",SUMPRODUCT((TEXT($AE$5:$OE$5, "mmm")=LOWER(Y$3))*$AE113:$OE113))</f>
        <v/>
      </c>
      <c r="AA113" s="34"/>
      <c r="AB113" s="34" t="str" cm="1">
        <f t="array" ref="AB113">IF($C113="","",SUMPRODUCT((TEXT($AE$5:$OE$5, "mmm")=LOWER(AA$3))*$AE113:$OE113))</f>
        <v/>
      </c>
      <c r="AC113" s="34"/>
      <c r="AD113" s="34" t="str" cm="1">
        <f t="array" ref="AD113">IF($C113="","",SUMPRODUCT((TEXT($AE$5:$OE$5, "mmm")=LOWER(AC$3))*$AE113:$OE113))</f>
        <v/>
      </c>
      <c r="OE113" s="49"/>
    </row>
    <row r="114" spans="1:395">
      <c r="A114" s="35"/>
      <c r="C114" s="2" t="str">
        <f>IF(ISBLANK($B114),"",_xlfn.XLOOKUP($B114,Task_No,Project!$C$3:$C$144,"INVALID TASK"))</f>
        <v/>
      </c>
      <c r="E114" s="7" t="str">
        <f t="shared" si="20"/>
        <v/>
      </c>
      <c r="F114" s="7" t="str">
        <f t="shared" si="19"/>
        <v/>
      </c>
      <c r="G114" s="34"/>
      <c r="H114" s="34" t="str" cm="1">
        <f t="array" ref="H114">IF($C114="","",SUMPRODUCT((TEXT($AE$5:$OE$5, "mmm")=LOWER(G$3))*$AE114:$OE114))</f>
        <v/>
      </c>
      <c r="I114" s="34"/>
      <c r="J114" s="34" t="str" cm="1">
        <f t="array" ref="J114">IF($C114="","",SUMPRODUCT((TEXT($AE$5:$OE$5, "mmm")=LOWER(I$3))*$AE114:$OE114))</f>
        <v/>
      </c>
      <c r="K114" s="34"/>
      <c r="L114" s="34" t="str" cm="1">
        <f t="array" ref="L114">IF($C114="","",SUMPRODUCT((TEXT($AE$5:$OE$5, "mmm")=LOWER(K$3))*$AE114:$OE114))</f>
        <v/>
      </c>
      <c r="M114" s="34"/>
      <c r="N114" s="34" t="str" cm="1">
        <f t="array" ref="N114">IF($C114="","",SUMPRODUCT((TEXT($AE$5:$OE$5, "mmm")=LOWER(M$3))*$AE114:$OE114))</f>
        <v/>
      </c>
      <c r="O114" s="34"/>
      <c r="P114" s="34" t="str" cm="1">
        <f t="array" ref="P114">IF($C114="","",SUMPRODUCT((TEXT($AE$5:$OE$5, "mmm")=LOWER(O$3))*$AE114:$OE114))</f>
        <v/>
      </c>
      <c r="Q114" s="34"/>
      <c r="R114" s="34" t="str" cm="1">
        <f t="array" ref="R114">IF($C114="","",SUMPRODUCT((TEXT($AE$5:$OE$5, "mmm")=LOWER(Q$3))*$AE114:$OE114))</f>
        <v/>
      </c>
      <c r="S114" s="34"/>
      <c r="T114" s="34" t="str" cm="1">
        <f t="array" ref="T114">IF($C114="","",SUMPRODUCT((TEXT($AE$5:$OE$5, "mmm")=LOWER(S$3))*$AE114:$OE114))</f>
        <v/>
      </c>
      <c r="U114" s="34"/>
      <c r="V114" s="34" t="str" cm="1">
        <f t="array" ref="V114">IF($C114="","",SUMPRODUCT((TEXT($AE$5:$OE$5, "mmm")=LOWER(U$3))*$AE114:$OE114))</f>
        <v/>
      </c>
      <c r="W114" s="34"/>
      <c r="X114" s="34" t="str" cm="1">
        <f t="array" ref="X114">IF($C114="","",SUMPRODUCT((TEXT($AE$5:$OE$5, "mmm")=LOWER(W$3))*$AE114:$OE114))</f>
        <v/>
      </c>
      <c r="Y114" s="34"/>
      <c r="Z114" s="34" t="str" cm="1">
        <f t="array" ref="Z114">IF($C114="","",SUMPRODUCT((TEXT($AE$5:$OE$5, "mmm")=LOWER(Y$3))*$AE114:$OE114))</f>
        <v/>
      </c>
      <c r="AA114" s="34"/>
      <c r="AB114" s="34" t="str" cm="1">
        <f t="array" ref="AB114">IF($C114="","",SUMPRODUCT((TEXT($AE$5:$OE$5, "mmm")=LOWER(AA$3))*$AE114:$OE114))</f>
        <v/>
      </c>
      <c r="AC114" s="34"/>
      <c r="AD114" s="34" t="str" cm="1">
        <f t="array" ref="AD114">IF($C114="","",SUMPRODUCT((TEXT($AE$5:$OE$5, "mmm")=LOWER(AC$3))*$AE114:$OE114))</f>
        <v/>
      </c>
      <c r="OE114" s="49"/>
    </row>
    <row r="115" spans="1:395">
      <c r="A115" s="35"/>
      <c r="C115" s="2" t="str">
        <f>IF(ISBLANK($B115),"",_xlfn.XLOOKUP($B115,Task_No,Project!$C$3:$C$144,"INVALID TASK"))</f>
        <v/>
      </c>
      <c r="E115" s="7" t="str">
        <f t="shared" si="20"/>
        <v/>
      </c>
      <c r="F115" s="7" t="str">
        <f t="shared" si="19"/>
        <v/>
      </c>
      <c r="G115" s="34"/>
      <c r="H115" s="34" t="str" cm="1">
        <f t="array" ref="H115">IF($C115="","",SUMPRODUCT((TEXT($AE$5:$OE$5, "mmm")=LOWER(G$3))*$AE115:$OE115))</f>
        <v/>
      </c>
      <c r="I115" s="34"/>
      <c r="J115" s="34" t="str" cm="1">
        <f t="array" ref="J115">IF($C115="","",SUMPRODUCT((TEXT($AE$5:$OE$5, "mmm")=LOWER(I$3))*$AE115:$OE115))</f>
        <v/>
      </c>
      <c r="K115" s="34"/>
      <c r="L115" s="34" t="str" cm="1">
        <f t="array" ref="L115">IF($C115="","",SUMPRODUCT((TEXT($AE$5:$OE$5, "mmm")=LOWER(K$3))*$AE115:$OE115))</f>
        <v/>
      </c>
      <c r="M115" s="34"/>
      <c r="N115" s="34" t="str" cm="1">
        <f t="array" ref="N115">IF($C115="","",SUMPRODUCT((TEXT($AE$5:$OE$5, "mmm")=LOWER(M$3))*$AE115:$OE115))</f>
        <v/>
      </c>
      <c r="O115" s="34"/>
      <c r="P115" s="34" t="str" cm="1">
        <f t="array" ref="P115">IF($C115="","",SUMPRODUCT((TEXT($AE$5:$OE$5, "mmm")=LOWER(O$3))*$AE115:$OE115))</f>
        <v/>
      </c>
      <c r="Q115" s="34"/>
      <c r="R115" s="34" t="str" cm="1">
        <f t="array" ref="R115">IF($C115="","",SUMPRODUCT((TEXT($AE$5:$OE$5, "mmm")=LOWER(Q$3))*$AE115:$OE115))</f>
        <v/>
      </c>
      <c r="S115" s="34"/>
      <c r="T115" s="34" t="str" cm="1">
        <f t="array" ref="T115">IF($C115="","",SUMPRODUCT((TEXT($AE$5:$OE$5, "mmm")=LOWER(S$3))*$AE115:$OE115))</f>
        <v/>
      </c>
      <c r="U115" s="34"/>
      <c r="V115" s="34" t="str" cm="1">
        <f t="array" ref="V115">IF($C115="","",SUMPRODUCT((TEXT($AE$5:$OE$5, "mmm")=LOWER(U$3))*$AE115:$OE115))</f>
        <v/>
      </c>
      <c r="W115" s="34"/>
      <c r="X115" s="34" t="str" cm="1">
        <f t="array" ref="X115">IF($C115="","",SUMPRODUCT((TEXT($AE$5:$OE$5, "mmm")=LOWER(W$3))*$AE115:$OE115))</f>
        <v/>
      </c>
      <c r="Y115" s="34"/>
      <c r="Z115" s="34" t="str" cm="1">
        <f t="array" ref="Z115">IF($C115="","",SUMPRODUCT((TEXT($AE$5:$OE$5, "mmm")=LOWER(Y$3))*$AE115:$OE115))</f>
        <v/>
      </c>
      <c r="AA115" s="34"/>
      <c r="AB115" s="34" t="str" cm="1">
        <f t="array" ref="AB115">IF($C115="","",SUMPRODUCT((TEXT($AE$5:$OE$5, "mmm")=LOWER(AA$3))*$AE115:$OE115))</f>
        <v/>
      </c>
      <c r="AC115" s="34"/>
      <c r="AD115" s="34" t="str" cm="1">
        <f t="array" ref="AD115">IF($C115="","",SUMPRODUCT((TEXT($AE$5:$OE$5, "mmm")=LOWER(AC$3))*$AE115:$OE115))</f>
        <v/>
      </c>
      <c r="OE115" s="49"/>
    </row>
    <row r="116" spans="1:395">
      <c r="A116" s="35"/>
      <c r="C116" s="2" t="str">
        <f>IF(ISBLANK($B116),"",_xlfn.XLOOKUP($B116,Task_No,Project!$C$3:$C$144,"INVALID TASK"))</f>
        <v/>
      </c>
      <c r="E116" s="7" t="str">
        <f t="shared" si="20"/>
        <v/>
      </c>
      <c r="F116" s="7" t="str">
        <f t="shared" si="19"/>
        <v/>
      </c>
      <c r="G116" s="34"/>
      <c r="H116" s="34" t="str" cm="1">
        <f t="array" ref="H116">IF($C116="","",SUMPRODUCT((TEXT($AE$5:$OE$5, "mmm")=LOWER(G$3))*$AE116:$OE116))</f>
        <v/>
      </c>
      <c r="I116" s="34"/>
      <c r="J116" s="34" t="str" cm="1">
        <f t="array" ref="J116">IF($C116="","",SUMPRODUCT((TEXT($AE$5:$OE$5, "mmm")=LOWER(I$3))*$AE116:$OE116))</f>
        <v/>
      </c>
      <c r="K116" s="34"/>
      <c r="L116" s="34" t="str" cm="1">
        <f t="array" ref="L116">IF($C116="","",SUMPRODUCT((TEXT($AE$5:$OE$5, "mmm")=LOWER(K$3))*$AE116:$OE116))</f>
        <v/>
      </c>
      <c r="M116" s="34"/>
      <c r="N116" s="34" t="str" cm="1">
        <f t="array" ref="N116">IF($C116="","",SUMPRODUCT((TEXT($AE$5:$OE$5, "mmm")=LOWER(M$3))*$AE116:$OE116))</f>
        <v/>
      </c>
      <c r="O116" s="34"/>
      <c r="P116" s="34" t="str" cm="1">
        <f t="array" ref="P116">IF($C116="","",SUMPRODUCT((TEXT($AE$5:$OE$5, "mmm")=LOWER(O$3))*$AE116:$OE116))</f>
        <v/>
      </c>
      <c r="Q116" s="34"/>
      <c r="R116" s="34" t="str" cm="1">
        <f t="array" ref="R116">IF($C116="","",SUMPRODUCT((TEXT($AE$5:$OE$5, "mmm")=LOWER(Q$3))*$AE116:$OE116))</f>
        <v/>
      </c>
      <c r="S116" s="34"/>
      <c r="T116" s="34" t="str" cm="1">
        <f t="array" ref="T116">IF($C116="","",SUMPRODUCT((TEXT($AE$5:$OE$5, "mmm")=LOWER(S$3))*$AE116:$OE116))</f>
        <v/>
      </c>
      <c r="U116" s="34"/>
      <c r="V116" s="34" t="str" cm="1">
        <f t="array" ref="V116">IF($C116="","",SUMPRODUCT((TEXT($AE$5:$OE$5, "mmm")=LOWER(U$3))*$AE116:$OE116))</f>
        <v/>
      </c>
      <c r="W116" s="34"/>
      <c r="X116" s="34" t="str" cm="1">
        <f t="array" ref="X116">IF($C116="","",SUMPRODUCT((TEXT($AE$5:$OE$5, "mmm")=LOWER(W$3))*$AE116:$OE116))</f>
        <v/>
      </c>
      <c r="Y116" s="34"/>
      <c r="Z116" s="34" t="str" cm="1">
        <f t="array" ref="Z116">IF($C116="","",SUMPRODUCT((TEXT($AE$5:$OE$5, "mmm")=LOWER(Y$3))*$AE116:$OE116))</f>
        <v/>
      </c>
      <c r="AA116" s="34"/>
      <c r="AB116" s="34" t="str" cm="1">
        <f t="array" ref="AB116">IF($C116="","",SUMPRODUCT((TEXT($AE$5:$OE$5, "mmm")=LOWER(AA$3))*$AE116:$OE116))</f>
        <v/>
      </c>
      <c r="AC116" s="34"/>
      <c r="AD116" s="34" t="str" cm="1">
        <f t="array" ref="AD116">IF($C116="","",SUMPRODUCT((TEXT($AE$5:$OE$5, "mmm")=LOWER(AC$3))*$AE116:$OE116))</f>
        <v/>
      </c>
      <c r="OE116" s="49"/>
    </row>
    <row r="117" spans="1:395">
      <c r="A117" s="35"/>
      <c r="C117" s="2" t="str">
        <f>IF(ISBLANK($B117),"",_xlfn.XLOOKUP($B117,Task_No,Project!$C$3:$C$144,"INVALID TASK"))</f>
        <v/>
      </c>
      <c r="E117" s="7" t="str">
        <f t="shared" si="20"/>
        <v/>
      </c>
      <c r="F117" s="7" t="str">
        <f t="shared" si="19"/>
        <v/>
      </c>
      <c r="G117" s="34"/>
      <c r="H117" s="34" t="str" cm="1">
        <f t="array" ref="H117">IF($C117="","",SUMPRODUCT((TEXT($AE$5:$OE$5, "mmm")=LOWER(G$3))*$AE117:$OE117))</f>
        <v/>
      </c>
      <c r="I117" s="34"/>
      <c r="J117" s="34" t="str" cm="1">
        <f t="array" ref="J117">IF($C117="","",SUMPRODUCT((TEXT($AE$5:$OE$5, "mmm")=LOWER(I$3))*$AE117:$OE117))</f>
        <v/>
      </c>
      <c r="K117" s="34"/>
      <c r="L117" s="34" t="str" cm="1">
        <f t="array" ref="L117">IF($C117="","",SUMPRODUCT((TEXT($AE$5:$OE$5, "mmm")=LOWER(K$3))*$AE117:$OE117))</f>
        <v/>
      </c>
      <c r="M117" s="34"/>
      <c r="N117" s="34" t="str" cm="1">
        <f t="array" ref="N117">IF($C117="","",SUMPRODUCT((TEXT($AE$5:$OE$5, "mmm")=LOWER(M$3))*$AE117:$OE117))</f>
        <v/>
      </c>
      <c r="O117" s="34"/>
      <c r="P117" s="34" t="str" cm="1">
        <f t="array" ref="P117">IF($C117="","",SUMPRODUCT((TEXT($AE$5:$OE$5, "mmm")=LOWER(O$3))*$AE117:$OE117))</f>
        <v/>
      </c>
      <c r="Q117" s="34"/>
      <c r="R117" s="34" t="str" cm="1">
        <f t="array" ref="R117">IF($C117="","",SUMPRODUCT((TEXT($AE$5:$OE$5, "mmm")=LOWER(Q$3))*$AE117:$OE117))</f>
        <v/>
      </c>
      <c r="S117" s="34"/>
      <c r="T117" s="34" t="str" cm="1">
        <f t="array" ref="T117">IF($C117="","",SUMPRODUCT((TEXT($AE$5:$OE$5, "mmm")=LOWER(S$3))*$AE117:$OE117))</f>
        <v/>
      </c>
      <c r="U117" s="34"/>
      <c r="V117" s="34" t="str" cm="1">
        <f t="array" ref="V117">IF($C117="","",SUMPRODUCT((TEXT($AE$5:$OE$5, "mmm")=LOWER(U$3))*$AE117:$OE117))</f>
        <v/>
      </c>
      <c r="W117" s="34"/>
      <c r="X117" s="34" t="str" cm="1">
        <f t="array" ref="X117">IF($C117="","",SUMPRODUCT((TEXT($AE$5:$OE$5, "mmm")=LOWER(W$3))*$AE117:$OE117))</f>
        <v/>
      </c>
      <c r="Y117" s="34"/>
      <c r="Z117" s="34" t="str" cm="1">
        <f t="array" ref="Z117">IF($C117="","",SUMPRODUCT((TEXT($AE$5:$OE$5, "mmm")=LOWER(Y$3))*$AE117:$OE117))</f>
        <v/>
      </c>
      <c r="AA117" s="34"/>
      <c r="AB117" s="34" t="str" cm="1">
        <f t="array" ref="AB117">IF($C117="","",SUMPRODUCT((TEXT($AE$5:$OE$5, "mmm")=LOWER(AA$3))*$AE117:$OE117))</f>
        <v/>
      </c>
      <c r="AC117" s="34"/>
      <c r="AD117" s="34" t="str" cm="1">
        <f t="array" ref="AD117">IF($C117="","",SUMPRODUCT((TEXT($AE$5:$OE$5, "mmm")=LOWER(AC$3))*$AE117:$OE117))</f>
        <v/>
      </c>
      <c r="OE117" s="49"/>
    </row>
    <row r="118" spans="1:395">
      <c r="A118" s="35"/>
      <c r="C118" s="2" t="str">
        <f>IF(ISBLANK($B118),"",_xlfn.XLOOKUP($B118,Task_No,Project!$C$3:$C$144,"INVALID TASK"))</f>
        <v/>
      </c>
      <c r="E118" s="7" t="str">
        <f t="shared" si="20"/>
        <v/>
      </c>
      <c r="F118" s="7" t="str">
        <f t="shared" si="19"/>
        <v/>
      </c>
      <c r="G118" s="34"/>
      <c r="H118" s="34" t="str" cm="1">
        <f t="array" ref="H118">IF($C118="","",SUMPRODUCT((TEXT($AE$5:$OE$5, "mmm")=LOWER(G$3))*$AE118:$OE118))</f>
        <v/>
      </c>
      <c r="I118" s="34"/>
      <c r="J118" s="34" t="str" cm="1">
        <f t="array" ref="J118">IF($C118="","",SUMPRODUCT((TEXT($AE$5:$OE$5, "mmm")=LOWER(I$3))*$AE118:$OE118))</f>
        <v/>
      </c>
      <c r="K118" s="34"/>
      <c r="L118" s="34" t="str" cm="1">
        <f t="array" ref="L118">IF($C118="","",SUMPRODUCT((TEXT($AE$5:$OE$5, "mmm")=LOWER(K$3))*$AE118:$OE118))</f>
        <v/>
      </c>
      <c r="M118" s="34"/>
      <c r="N118" s="34" t="str" cm="1">
        <f t="array" ref="N118">IF($C118="","",SUMPRODUCT((TEXT($AE$5:$OE$5, "mmm")=LOWER(M$3))*$AE118:$OE118))</f>
        <v/>
      </c>
      <c r="O118" s="34"/>
      <c r="P118" s="34" t="str" cm="1">
        <f t="array" ref="P118">IF($C118="","",SUMPRODUCT((TEXT($AE$5:$OE$5, "mmm")=LOWER(O$3))*$AE118:$OE118))</f>
        <v/>
      </c>
      <c r="Q118" s="34"/>
      <c r="R118" s="34" t="str" cm="1">
        <f t="array" ref="R118">IF($C118="","",SUMPRODUCT((TEXT($AE$5:$OE$5, "mmm")=LOWER(Q$3))*$AE118:$OE118))</f>
        <v/>
      </c>
      <c r="S118" s="34"/>
      <c r="T118" s="34" t="str" cm="1">
        <f t="array" ref="T118">IF($C118="","",SUMPRODUCT((TEXT($AE$5:$OE$5, "mmm")=LOWER(S$3))*$AE118:$OE118))</f>
        <v/>
      </c>
      <c r="U118" s="34"/>
      <c r="V118" s="34" t="str" cm="1">
        <f t="array" ref="V118">IF($C118="","",SUMPRODUCT((TEXT($AE$5:$OE$5, "mmm")=LOWER(U$3))*$AE118:$OE118))</f>
        <v/>
      </c>
      <c r="W118" s="34"/>
      <c r="X118" s="34" t="str" cm="1">
        <f t="array" ref="X118">IF($C118="","",SUMPRODUCT((TEXT($AE$5:$OE$5, "mmm")=LOWER(W$3))*$AE118:$OE118))</f>
        <v/>
      </c>
      <c r="Y118" s="34"/>
      <c r="Z118" s="34" t="str" cm="1">
        <f t="array" ref="Z118">IF($C118="","",SUMPRODUCT((TEXT($AE$5:$OE$5, "mmm")=LOWER(Y$3))*$AE118:$OE118))</f>
        <v/>
      </c>
      <c r="AA118" s="34"/>
      <c r="AB118" s="34" t="str" cm="1">
        <f t="array" ref="AB118">IF($C118="","",SUMPRODUCT((TEXT($AE$5:$OE$5, "mmm")=LOWER(AA$3))*$AE118:$OE118))</f>
        <v/>
      </c>
      <c r="AC118" s="34"/>
      <c r="AD118" s="34" t="str" cm="1">
        <f t="array" ref="AD118">IF($C118="","",SUMPRODUCT((TEXT($AE$5:$OE$5, "mmm")=LOWER(AC$3))*$AE118:$OE118))</f>
        <v/>
      </c>
      <c r="OE118" s="49"/>
    </row>
    <row r="119" spans="1:395">
      <c r="A119" s="35"/>
      <c r="C119" s="2" t="str">
        <f>IF(ISBLANK($B119),"",_xlfn.XLOOKUP($B119,Task_No,Project!$C$3:$C$144,"INVALID TASK"))</f>
        <v/>
      </c>
      <c r="E119" s="7" t="str">
        <f t="shared" si="20"/>
        <v/>
      </c>
      <c r="F119" s="7" t="str">
        <f t="shared" si="19"/>
        <v/>
      </c>
      <c r="G119" s="34"/>
      <c r="H119" s="34" t="str" cm="1">
        <f t="array" ref="H119">IF($C119="","",SUMPRODUCT((TEXT($AE$5:$OE$5, "mmm")=LOWER(G$3))*$AE119:$OE119))</f>
        <v/>
      </c>
      <c r="I119" s="34"/>
      <c r="J119" s="34" t="str" cm="1">
        <f t="array" ref="J119">IF($C119="","",SUMPRODUCT((TEXT($AE$5:$OE$5, "mmm")=LOWER(I$3))*$AE119:$OE119))</f>
        <v/>
      </c>
      <c r="K119" s="34"/>
      <c r="L119" s="34" t="str" cm="1">
        <f t="array" ref="L119">IF($C119="","",SUMPRODUCT((TEXT($AE$5:$OE$5, "mmm")=LOWER(K$3))*$AE119:$OE119))</f>
        <v/>
      </c>
      <c r="M119" s="34"/>
      <c r="N119" s="34" t="str" cm="1">
        <f t="array" ref="N119">IF($C119="","",SUMPRODUCT((TEXT($AE$5:$OE$5, "mmm")=LOWER(M$3))*$AE119:$OE119))</f>
        <v/>
      </c>
      <c r="O119" s="34"/>
      <c r="P119" s="34" t="str" cm="1">
        <f t="array" ref="P119">IF($C119="","",SUMPRODUCT((TEXT($AE$5:$OE$5, "mmm")=LOWER(O$3))*$AE119:$OE119))</f>
        <v/>
      </c>
      <c r="Q119" s="34"/>
      <c r="R119" s="34" t="str" cm="1">
        <f t="array" ref="R119">IF($C119="","",SUMPRODUCT((TEXT($AE$5:$OE$5, "mmm")=LOWER(Q$3))*$AE119:$OE119))</f>
        <v/>
      </c>
      <c r="S119" s="34"/>
      <c r="T119" s="34" t="str" cm="1">
        <f t="array" ref="T119">IF($C119="","",SUMPRODUCT((TEXT($AE$5:$OE$5, "mmm")=LOWER(S$3))*$AE119:$OE119))</f>
        <v/>
      </c>
      <c r="U119" s="34"/>
      <c r="V119" s="34" t="str" cm="1">
        <f t="array" ref="V119">IF($C119="","",SUMPRODUCT((TEXT($AE$5:$OE$5, "mmm")=LOWER(U$3))*$AE119:$OE119))</f>
        <v/>
      </c>
      <c r="W119" s="34"/>
      <c r="X119" s="34" t="str" cm="1">
        <f t="array" ref="X119">IF($C119="","",SUMPRODUCT((TEXT($AE$5:$OE$5, "mmm")=LOWER(W$3))*$AE119:$OE119))</f>
        <v/>
      </c>
      <c r="Y119" s="34"/>
      <c r="Z119" s="34" t="str" cm="1">
        <f t="array" ref="Z119">IF($C119="","",SUMPRODUCT((TEXT($AE$5:$OE$5, "mmm")=LOWER(Y$3))*$AE119:$OE119))</f>
        <v/>
      </c>
      <c r="AA119" s="34"/>
      <c r="AB119" s="34" t="str" cm="1">
        <f t="array" ref="AB119">IF($C119="","",SUMPRODUCT((TEXT($AE$5:$OE$5, "mmm")=LOWER(AA$3))*$AE119:$OE119))</f>
        <v/>
      </c>
      <c r="AC119" s="34"/>
      <c r="AD119" s="34" t="str" cm="1">
        <f t="array" ref="AD119">IF($C119="","",SUMPRODUCT((TEXT($AE$5:$OE$5, "mmm")=LOWER(AC$3))*$AE119:$OE119))</f>
        <v/>
      </c>
      <c r="OE119" s="49"/>
    </row>
    <row r="120" spans="1:395">
      <c r="A120" s="35"/>
      <c r="C120" s="2" t="str">
        <f>IF(ISBLANK($B120),"",_xlfn.XLOOKUP($B120,Task_No,Project!$C$3:$C$144,"INVALID TASK"))</f>
        <v/>
      </c>
      <c r="E120" s="7" t="str">
        <f t="shared" si="20"/>
        <v/>
      </c>
      <c r="F120" s="7" t="str">
        <f t="shared" si="19"/>
        <v/>
      </c>
      <c r="G120" s="34"/>
      <c r="H120" s="34" t="str" cm="1">
        <f t="array" ref="H120">IF($C120="","",SUMPRODUCT((TEXT($AE$5:$OE$5, "mmm")=LOWER(G$3))*$AE120:$OE120))</f>
        <v/>
      </c>
      <c r="I120" s="34"/>
      <c r="J120" s="34" t="str" cm="1">
        <f t="array" ref="J120">IF($C120="","",SUMPRODUCT((TEXT($AE$5:$OE$5, "mmm")=LOWER(I$3))*$AE120:$OE120))</f>
        <v/>
      </c>
      <c r="K120" s="34"/>
      <c r="L120" s="34" t="str" cm="1">
        <f t="array" ref="L120">IF($C120="","",SUMPRODUCT((TEXT($AE$5:$OE$5, "mmm")=LOWER(K$3))*$AE120:$OE120))</f>
        <v/>
      </c>
      <c r="M120" s="34"/>
      <c r="N120" s="34" t="str" cm="1">
        <f t="array" ref="N120">IF($C120="","",SUMPRODUCT((TEXT($AE$5:$OE$5, "mmm")=LOWER(M$3))*$AE120:$OE120))</f>
        <v/>
      </c>
      <c r="O120" s="34"/>
      <c r="P120" s="34" t="str" cm="1">
        <f t="array" ref="P120">IF($C120="","",SUMPRODUCT((TEXT($AE$5:$OE$5, "mmm")=LOWER(O$3))*$AE120:$OE120))</f>
        <v/>
      </c>
      <c r="Q120" s="34"/>
      <c r="R120" s="34" t="str" cm="1">
        <f t="array" ref="R120">IF($C120="","",SUMPRODUCT((TEXT($AE$5:$OE$5, "mmm")=LOWER(Q$3))*$AE120:$OE120))</f>
        <v/>
      </c>
      <c r="S120" s="34"/>
      <c r="T120" s="34" t="str" cm="1">
        <f t="array" ref="T120">IF($C120="","",SUMPRODUCT((TEXT($AE$5:$OE$5, "mmm")=LOWER(S$3))*$AE120:$OE120))</f>
        <v/>
      </c>
      <c r="U120" s="34"/>
      <c r="V120" s="34" t="str" cm="1">
        <f t="array" ref="V120">IF($C120="","",SUMPRODUCT((TEXT($AE$5:$OE$5, "mmm")=LOWER(U$3))*$AE120:$OE120))</f>
        <v/>
      </c>
      <c r="W120" s="34"/>
      <c r="X120" s="34" t="str" cm="1">
        <f t="array" ref="X120">IF($C120="","",SUMPRODUCT((TEXT($AE$5:$OE$5, "mmm")=LOWER(W$3))*$AE120:$OE120))</f>
        <v/>
      </c>
      <c r="Y120" s="34"/>
      <c r="Z120" s="34" t="str" cm="1">
        <f t="array" ref="Z120">IF($C120="","",SUMPRODUCT((TEXT($AE$5:$OE$5, "mmm")=LOWER(Y$3))*$AE120:$OE120))</f>
        <v/>
      </c>
      <c r="AA120" s="34"/>
      <c r="AB120" s="34" t="str" cm="1">
        <f t="array" ref="AB120">IF($C120="","",SUMPRODUCT((TEXT($AE$5:$OE$5, "mmm")=LOWER(AA$3))*$AE120:$OE120))</f>
        <v/>
      </c>
      <c r="AC120" s="34"/>
      <c r="AD120" s="34" t="str" cm="1">
        <f t="array" ref="AD120">IF($C120="","",SUMPRODUCT((TEXT($AE$5:$OE$5, "mmm")=LOWER(AC$3))*$AE120:$OE120))</f>
        <v/>
      </c>
      <c r="OE120" s="49"/>
    </row>
    <row r="121" spans="1:395">
      <c r="A121" s="35"/>
      <c r="C121" s="2" t="str">
        <f>IF(ISBLANK($B121),"",_xlfn.XLOOKUP($B121,Task_No,Project!$C$3:$C$144,"INVALID TASK"))</f>
        <v/>
      </c>
      <c r="E121" s="7" t="str">
        <f t="shared" si="20"/>
        <v/>
      </c>
      <c r="F121" s="7" t="str">
        <f t="shared" si="19"/>
        <v/>
      </c>
      <c r="G121" s="34"/>
      <c r="H121" s="34" t="str" cm="1">
        <f t="array" ref="H121">IF($C121="","",SUMPRODUCT((TEXT($AE$5:$OE$5, "mmm")=LOWER(G$3))*$AE121:$OE121))</f>
        <v/>
      </c>
      <c r="I121" s="34"/>
      <c r="J121" s="34" t="str" cm="1">
        <f t="array" ref="J121">IF($C121="","",SUMPRODUCT((TEXT($AE$5:$OE$5, "mmm")=LOWER(I$3))*$AE121:$OE121))</f>
        <v/>
      </c>
      <c r="K121" s="34"/>
      <c r="L121" s="34" t="str" cm="1">
        <f t="array" ref="L121">IF($C121="","",SUMPRODUCT((TEXT($AE$5:$OE$5, "mmm")=LOWER(K$3))*$AE121:$OE121))</f>
        <v/>
      </c>
      <c r="M121" s="34"/>
      <c r="N121" s="34" t="str" cm="1">
        <f t="array" ref="N121">IF($C121="","",SUMPRODUCT((TEXT($AE$5:$OE$5, "mmm")=LOWER(M$3))*$AE121:$OE121))</f>
        <v/>
      </c>
      <c r="O121" s="34"/>
      <c r="P121" s="34" t="str" cm="1">
        <f t="array" ref="P121">IF($C121="","",SUMPRODUCT((TEXT($AE$5:$OE$5, "mmm")=LOWER(O$3))*$AE121:$OE121))</f>
        <v/>
      </c>
      <c r="Q121" s="34"/>
      <c r="R121" s="34" t="str" cm="1">
        <f t="array" ref="R121">IF($C121="","",SUMPRODUCT((TEXT($AE$5:$OE$5, "mmm")=LOWER(Q$3))*$AE121:$OE121))</f>
        <v/>
      </c>
      <c r="S121" s="34"/>
      <c r="T121" s="34" t="str" cm="1">
        <f t="array" ref="T121">IF($C121="","",SUMPRODUCT((TEXT($AE$5:$OE$5, "mmm")=LOWER(S$3))*$AE121:$OE121))</f>
        <v/>
      </c>
      <c r="U121" s="34"/>
      <c r="V121" s="34" t="str" cm="1">
        <f t="array" ref="V121">IF($C121="","",SUMPRODUCT((TEXT($AE$5:$OE$5, "mmm")=LOWER(U$3))*$AE121:$OE121))</f>
        <v/>
      </c>
      <c r="W121" s="34"/>
      <c r="X121" s="34" t="str" cm="1">
        <f t="array" ref="X121">IF($C121="","",SUMPRODUCT((TEXT($AE$5:$OE$5, "mmm")=LOWER(W$3))*$AE121:$OE121))</f>
        <v/>
      </c>
      <c r="Y121" s="34"/>
      <c r="Z121" s="34" t="str" cm="1">
        <f t="array" ref="Z121">IF($C121="","",SUMPRODUCT((TEXT($AE$5:$OE$5, "mmm")=LOWER(Y$3))*$AE121:$OE121))</f>
        <v/>
      </c>
      <c r="AA121" s="34"/>
      <c r="AB121" s="34" t="str" cm="1">
        <f t="array" ref="AB121">IF($C121="","",SUMPRODUCT((TEXT($AE$5:$OE$5, "mmm")=LOWER(AA$3))*$AE121:$OE121))</f>
        <v/>
      </c>
      <c r="AC121" s="34"/>
      <c r="AD121" s="34" t="str" cm="1">
        <f t="array" ref="AD121">IF($C121="","",SUMPRODUCT((TEXT($AE$5:$OE$5, "mmm")=LOWER(AC$3))*$AE121:$OE121))</f>
        <v/>
      </c>
      <c r="OE121" s="49"/>
    </row>
    <row r="122" spans="1:395">
      <c r="A122" s="35"/>
      <c r="C122" s="2" t="str">
        <f>IF(ISBLANK($B122),"",_xlfn.XLOOKUP($B122,Task_No,Project!$C$3:$C$144,"INVALID TASK"))</f>
        <v/>
      </c>
      <c r="E122" s="7" t="str">
        <f t="shared" si="20"/>
        <v/>
      </c>
      <c r="F122" s="7" t="str">
        <f t="shared" si="19"/>
        <v/>
      </c>
      <c r="G122" s="34"/>
      <c r="H122" s="34" t="str" cm="1">
        <f t="array" ref="H122">IF($C122="","",SUMPRODUCT((TEXT($AE$5:$OE$5, "mmm")=LOWER(G$3))*$AE122:$OE122))</f>
        <v/>
      </c>
      <c r="I122" s="34"/>
      <c r="J122" s="34" t="str" cm="1">
        <f t="array" ref="J122">IF($C122="","",SUMPRODUCT((TEXT($AE$5:$OE$5, "mmm")=LOWER(I$3))*$AE122:$OE122))</f>
        <v/>
      </c>
      <c r="K122" s="34"/>
      <c r="L122" s="34" t="str" cm="1">
        <f t="array" ref="L122">IF($C122="","",SUMPRODUCT((TEXT($AE$5:$OE$5, "mmm")=LOWER(K$3))*$AE122:$OE122))</f>
        <v/>
      </c>
      <c r="M122" s="34"/>
      <c r="N122" s="34" t="str" cm="1">
        <f t="array" ref="N122">IF($C122="","",SUMPRODUCT((TEXT($AE$5:$OE$5, "mmm")=LOWER(M$3))*$AE122:$OE122))</f>
        <v/>
      </c>
      <c r="O122" s="34"/>
      <c r="P122" s="34" t="str" cm="1">
        <f t="array" ref="P122">IF($C122="","",SUMPRODUCT((TEXT($AE$5:$OE$5, "mmm")=LOWER(O$3))*$AE122:$OE122))</f>
        <v/>
      </c>
      <c r="Q122" s="34"/>
      <c r="R122" s="34" t="str" cm="1">
        <f t="array" ref="R122">IF($C122="","",SUMPRODUCT((TEXT($AE$5:$OE$5, "mmm")=LOWER(Q$3))*$AE122:$OE122))</f>
        <v/>
      </c>
      <c r="S122" s="34"/>
      <c r="T122" s="34" t="str" cm="1">
        <f t="array" ref="T122">IF($C122="","",SUMPRODUCT((TEXT($AE$5:$OE$5, "mmm")=LOWER(S$3))*$AE122:$OE122))</f>
        <v/>
      </c>
      <c r="U122" s="34"/>
      <c r="V122" s="34" t="str" cm="1">
        <f t="array" ref="V122">IF($C122="","",SUMPRODUCT((TEXT($AE$5:$OE$5, "mmm")=LOWER(U$3))*$AE122:$OE122))</f>
        <v/>
      </c>
      <c r="W122" s="34"/>
      <c r="X122" s="34" t="str" cm="1">
        <f t="array" ref="X122">IF($C122="","",SUMPRODUCT((TEXT($AE$5:$OE$5, "mmm")=LOWER(W$3))*$AE122:$OE122))</f>
        <v/>
      </c>
      <c r="Y122" s="34"/>
      <c r="Z122" s="34" t="str" cm="1">
        <f t="array" ref="Z122">IF($C122="","",SUMPRODUCT((TEXT($AE$5:$OE$5, "mmm")=LOWER(Y$3))*$AE122:$OE122))</f>
        <v/>
      </c>
      <c r="AA122" s="34"/>
      <c r="AB122" s="34" t="str" cm="1">
        <f t="array" ref="AB122">IF($C122="","",SUMPRODUCT((TEXT($AE$5:$OE$5, "mmm")=LOWER(AA$3))*$AE122:$OE122))</f>
        <v/>
      </c>
      <c r="AC122" s="34"/>
      <c r="AD122" s="34" t="str" cm="1">
        <f t="array" ref="AD122">IF($C122="","",SUMPRODUCT((TEXT($AE$5:$OE$5, "mmm")=LOWER(AC$3))*$AE122:$OE122))</f>
        <v/>
      </c>
      <c r="OE122" s="49"/>
    </row>
    <row r="123" spans="1:395">
      <c r="A123" s="35"/>
      <c r="C123" s="2" t="str">
        <f>IF(ISBLANK($B123),"",_xlfn.XLOOKUP($B123,Task_No,Project!$C$3:$C$144,"INVALID TASK"))</f>
        <v/>
      </c>
      <c r="E123" s="7" t="str">
        <f t="shared" si="20"/>
        <v/>
      </c>
      <c r="F123" s="7" t="str">
        <f t="shared" si="19"/>
        <v/>
      </c>
      <c r="G123" s="34"/>
      <c r="H123" s="34" t="str" cm="1">
        <f t="array" ref="H123">IF($C123="","",SUMPRODUCT((TEXT($AE$5:$OE$5, "mmm")=LOWER(G$3))*$AE123:$OE123))</f>
        <v/>
      </c>
      <c r="I123" s="34"/>
      <c r="J123" s="34" t="str" cm="1">
        <f t="array" ref="J123">IF($C123="","",SUMPRODUCT((TEXT($AE$5:$OE$5, "mmm")=LOWER(I$3))*$AE123:$OE123))</f>
        <v/>
      </c>
      <c r="K123" s="34"/>
      <c r="L123" s="34" t="str" cm="1">
        <f t="array" ref="L123">IF($C123="","",SUMPRODUCT((TEXT($AE$5:$OE$5, "mmm")=LOWER(K$3))*$AE123:$OE123))</f>
        <v/>
      </c>
      <c r="M123" s="34"/>
      <c r="N123" s="34" t="str" cm="1">
        <f t="array" ref="N123">IF($C123="","",SUMPRODUCT((TEXT($AE$5:$OE$5, "mmm")=LOWER(M$3))*$AE123:$OE123))</f>
        <v/>
      </c>
      <c r="O123" s="34"/>
      <c r="P123" s="34" t="str" cm="1">
        <f t="array" ref="P123">IF($C123="","",SUMPRODUCT((TEXT($AE$5:$OE$5, "mmm")=LOWER(O$3))*$AE123:$OE123))</f>
        <v/>
      </c>
      <c r="Q123" s="34"/>
      <c r="R123" s="34" t="str" cm="1">
        <f t="array" ref="R123">IF($C123="","",SUMPRODUCT((TEXT($AE$5:$OE$5, "mmm")=LOWER(Q$3))*$AE123:$OE123))</f>
        <v/>
      </c>
      <c r="S123" s="34"/>
      <c r="T123" s="34" t="str" cm="1">
        <f t="array" ref="T123">IF($C123="","",SUMPRODUCT((TEXT($AE$5:$OE$5, "mmm")=LOWER(S$3))*$AE123:$OE123))</f>
        <v/>
      </c>
      <c r="U123" s="34"/>
      <c r="V123" s="34" t="str" cm="1">
        <f t="array" ref="V123">IF($C123="","",SUMPRODUCT((TEXT($AE$5:$OE$5, "mmm")=LOWER(U$3))*$AE123:$OE123))</f>
        <v/>
      </c>
      <c r="W123" s="34"/>
      <c r="X123" s="34" t="str" cm="1">
        <f t="array" ref="X123">IF($C123="","",SUMPRODUCT((TEXT($AE$5:$OE$5, "mmm")=LOWER(W$3))*$AE123:$OE123))</f>
        <v/>
      </c>
      <c r="Y123" s="34"/>
      <c r="Z123" s="34" t="str" cm="1">
        <f t="array" ref="Z123">IF($C123="","",SUMPRODUCT((TEXT($AE$5:$OE$5, "mmm")=LOWER(Y$3))*$AE123:$OE123))</f>
        <v/>
      </c>
      <c r="AA123" s="34"/>
      <c r="AB123" s="34" t="str" cm="1">
        <f t="array" ref="AB123">IF($C123="","",SUMPRODUCT((TEXT($AE$5:$OE$5, "mmm")=LOWER(AA$3))*$AE123:$OE123))</f>
        <v/>
      </c>
      <c r="AC123" s="34"/>
      <c r="AD123" s="34" t="str" cm="1">
        <f t="array" ref="AD123">IF($C123="","",SUMPRODUCT((TEXT($AE$5:$OE$5, "mmm")=LOWER(AC$3))*$AE123:$OE123))</f>
        <v/>
      </c>
      <c r="OE123" s="49"/>
    </row>
    <row r="124" spans="1:395">
      <c r="A124" s="35"/>
      <c r="C124" s="2" t="str">
        <f>IF(ISBLANK($B124),"",_xlfn.XLOOKUP($B124,Task_No,Project!$C$3:$C$144,"INVALID TASK"))</f>
        <v/>
      </c>
      <c r="E124" s="7" t="str">
        <f t="shared" si="20"/>
        <v/>
      </c>
      <c r="F124" s="7" t="str">
        <f t="shared" si="19"/>
        <v/>
      </c>
      <c r="G124" s="34"/>
      <c r="H124" s="34" t="str" cm="1">
        <f t="array" ref="H124">IF($C124="","",SUMPRODUCT((TEXT($AE$5:$OE$5, "mmm")=LOWER(G$3))*$AE124:$OE124))</f>
        <v/>
      </c>
      <c r="I124" s="34"/>
      <c r="J124" s="34" t="str" cm="1">
        <f t="array" ref="J124">IF($C124="","",SUMPRODUCT((TEXT($AE$5:$OE$5, "mmm")=LOWER(I$3))*$AE124:$OE124))</f>
        <v/>
      </c>
      <c r="K124" s="34"/>
      <c r="L124" s="34" t="str" cm="1">
        <f t="array" ref="L124">IF($C124="","",SUMPRODUCT((TEXT($AE$5:$OE$5, "mmm")=LOWER(K$3))*$AE124:$OE124))</f>
        <v/>
      </c>
      <c r="M124" s="34"/>
      <c r="N124" s="34" t="str" cm="1">
        <f t="array" ref="N124">IF($C124="","",SUMPRODUCT((TEXT($AE$5:$OE$5, "mmm")=LOWER(M$3))*$AE124:$OE124))</f>
        <v/>
      </c>
      <c r="O124" s="34"/>
      <c r="P124" s="34" t="str" cm="1">
        <f t="array" ref="P124">IF($C124="","",SUMPRODUCT((TEXT($AE$5:$OE$5, "mmm")=LOWER(O$3))*$AE124:$OE124))</f>
        <v/>
      </c>
      <c r="Q124" s="34"/>
      <c r="R124" s="34" t="str" cm="1">
        <f t="array" ref="R124">IF($C124="","",SUMPRODUCT((TEXT($AE$5:$OE$5, "mmm")=LOWER(Q$3))*$AE124:$OE124))</f>
        <v/>
      </c>
      <c r="S124" s="34"/>
      <c r="T124" s="34" t="str" cm="1">
        <f t="array" ref="T124">IF($C124="","",SUMPRODUCT((TEXT($AE$5:$OE$5, "mmm")=LOWER(S$3))*$AE124:$OE124))</f>
        <v/>
      </c>
      <c r="U124" s="34"/>
      <c r="V124" s="34" t="str" cm="1">
        <f t="array" ref="V124">IF($C124="","",SUMPRODUCT((TEXT($AE$5:$OE$5, "mmm")=LOWER(U$3))*$AE124:$OE124))</f>
        <v/>
      </c>
      <c r="W124" s="34"/>
      <c r="X124" s="34" t="str" cm="1">
        <f t="array" ref="X124">IF($C124="","",SUMPRODUCT((TEXT($AE$5:$OE$5, "mmm")=LOWER(W$3))*$AE124:$OE124))</f>
        <v/>
      </c>
      <c r="Y124" s="34"/>
      <c r="Z124" s="34" t="str" cm="1">
        <f t="array" ref="Z124">IF($C124="","",SUMPRODUCT((TEXT($AE$5:$OE$5, "mmm")=LOWER(Y$3))*$AE124:$OE124))</f>
        <v/>
      </c>
      <c r="AA124" s="34"/>
      <c r="AB124" s="34" t="str" cm="1">
        <f t="array" ref="AB124">IF($C124="","",SUMPRODUCT((TEXT($AE$5:$OE$5, "mmm")=LOWER(AA$3))*$AE124:$OE124))</f>
        <v/>
      </c>
      <c r="AC124" s="34"/>
      <c r="AD124" s="34" t="str" cm="1">
        <f t="array" ref="AD124">IF($C124="","",SUMPRODUCT((TEXT($AE$5:$OE$5, "mmm")=LOWER(AC$3))*$AE124:$OE124))</f>
        <v/>
      </c>
      <c r="OE124" s="49"/>
    </row>
    <row r="125" spans="1:395">
      <c r="A125" s="35"/>
      <c r="C125" s="2" t="str">
        <f>IF(ISBLANK($B125),"",_xlfn.XLOOKUP($B125,Task_No,Project!$C$3:$C$144,"INVALID TASK"))</f>
        <v/>
      </c>
      <c r="E125" s="7" t="str">
        <f t="shared" si="20"/>
        <v/>
      </c>
      <c r="F125" s="7" t="str">
        <f t="shared" si="19"/>
        <v/>
      </c>
      <c r="G125" s="34"/>
      <c r="H125" s="34" t="str" cm="1">
        <f t="array" ref="H125">IF($C125="","",SUMPRODUCT((TEXT($AE$5:$OE$5, "mmm")=LOWER(G$3))*$AE125:$OE125))</f>
        <v/>
      </c>
      <c r="I125" s="34"/>
      <c r="J125" s="34" t="str" cm="1">
        <f t="array" ref="J125">IF($C125="","",SUMPRODUCT((TEXT($AE$5:$OE$5, "mmm")=LOWER(I$3))*$AE125:$OE125))</f>
        <v/>
      </c>
      <c r="K125" s="34"/>
      <c r="L125" s="34" t="str" cm="1">
        <f t="array" ref="L125">IF($C125="","",SUMPRODUCT((TEXT($AE$5:$OE$5, "mmm")=LOWER(K$3))*$AE125:$OE125))</f>
        <v/>
      </c>
      <c r="M125" s="34"/>
      <c r="N125" s="34" t="str" cm="1">
        <f t="array" ref="N125">IF($C125="","",SUMPRODUCT((TEXT($AE$5:$OE$5, "mmm")=LOWER(M$3))*$AE125:$OE125))</f>
        <v/>
      </c>
      <c r="O125" s="34"/>
      <c r="P125" s="34" t="str" cm="1">
        <f t="array" ref="P125">IF($C125="","",SUMPRODUCT((TEXT($AE$5:$OE$5, "mmm")=LOWER(O$3))*$AE125:$OE125))</f>
        <v/>
      </c>
      <c r="Q125" s="34"/>
      <c r="R125" s="34" t="str" cm="1">
        <f t="array" ref="R125">IF($C125="","",SUMPRODUCT((TEXT($AE$5:$OE$5, "mmm")=LOWER(Q$3))*$AE125:$OE125))</f>
        <v/>
      </c>
      <c r="S125" s="34"/>
      <c r="T125" s="34" t="str" cm="1">
        <f t="array" ref="T125">IF($C125="","",SUMPRODUCT((TEXT($AE$5:$OE$5, "mmm")=LOWER(S$3))*$AE125:$OE125))</f>
        <v/>
      </c>
      <c r="U125" s="34"/>
      <c r="V125" s="34" t="str" cm="1">
        <f t="array" ref="V125">IF($C125="","",SUMPRODUCT((TEXT($AE$5:$OE$5, "mmm")=LOWER(U$3))*$AE125:$OE125))</f>
        <v/>
      </c>
      <c r="W125" s="34"/>
      <c r="X125" s="34" t="str" cm="1">
        <f t="array" ref="X125">IF($C125="","",SUMPRODUCT((TEXT($AE$5:$OE$5, "mmm")=LOWER(W$3))*$AE125:$OE125))</f>
        <v/>
      </c>
      <c r="Y125" s="34"/>
      <c r="Z125" s="34" t="str" cm="1">
        <f t="array" ref="Z125">IF($C125="","",SUMPRODUCT((TEXT($AE$5:$OE$5, "mmm")=LOWER(Y$3))*$AE125:$OE125))</f>
        <v/>
      </c>
      <c r="AA125" s="34"/>
      <c r="AB125" s="34" t="str" cm="1">
        <f t="array" ref="AB125">IF($C125="","",SUMPRODUCT((TEXT($AE$5:$OE$5, "mmm")=LOWER(AA$3))*$AE125:$OE125))</f>
        <v/>
      </c>
      <c r="AC125" s="34"/>
      <c r="AD125" s="34" t="str" cm="1">
        <f t="array" ref="AD125">IF($C125="","",SUMPRODUCT((TEXT($AE$5:$OE$5, "mmm")=LOWER(AC$3))*$AE125:$OE125))</f>
        <v/>
      </c>
      <c r="OE125" s="49"/>
    </row>
    <row r="126" spans="1:395">
      <c r="A126" s="35"/>
      <c r="C126" s="2" t="str">
        <f>IF(ISBLANK($B126),"",_xlfn.XLOOKUP($B126,Task_No,Project!$C$3:$C$144,"INVALID TASK"))</f>
        <v/>
      </c>
      <c r="E126" s="7" t="str">
        <f t="shared" si="20"/>
        <v/>
      </c>
      <c r="F126" s="7" t="str">
        <f t="shared" si="19"/>
        <v/>
      </c>
      <c r="G126" s="34"/>
      <c r="H126" s="34" t="str" cm="1">
        <f t="array" ref="H126">IF($C126="","",SUMPRODUCT((TEXT($AE$5:$OE$5, "mmm")=LOWER(G$3))*$AE126:$OE126))</f>
        <v/>
      </c>
      <c r="I126" s="34"/>
      <c r="J126" s="34" t="str" cm="1">
        <f t="array" ref="J126">IF($C126="","",SUMPRODUCT((TEXT($AE$5:$OE$5, "mmm")=LOWER(I$3))*$AE126:$OE126))</f>
        <v/>
      </c>
      <c r="K126" s="34"/>
      <c r="L126" s="34" t="str" cm="1">
        <f t="array" ref="L126">IF($C126="","",SUMPRODUCT((TEXT($AE$5:$OE$5, "mmm")=LOWER(K$3))*$AE126:$OE126))</f>
        <v/>
      </c>
      <c r="M126" s="34"/>
      <c r="N126" s="34" t="str" cm="1">
        <f t="array" ref="N126">IF($C126="","",SUMPRODUCT((TEXT($AE$5:$OE$5, "mmm")=LOWER(M$3))*$AE126:$OE126))</f>
        <v/>
      </c>
      <c r="O126" s="34"/>
      <c r="P126" s="34" t="str" cm="1">
        <f t="array" ref="P126">IF($C126="","",SUMPRODUCT((TEXT($AE$5:$OE$5, "mmm")=LOWER(O$3))*$AE126:$OE126))</f>
        <v/>
      </c>
      <c r="Q126" s="34"/>
      <c r="R126" s="34" t="str" cm="1">
        <f t="array" ref="R126">IF($C126="","",SUMPRODUCT((TEXT($AE$5:$OE$5, "mmm")=LOWER(Q$3))*$AE126:$OE126))</f>
        <v/>
      </c>
      <c r="S126" s="34"/>
      <c r="T126" s="34" t="str" cm="1">
        <f t="array" ref="T126">IF($C126="","",SUMPRODUCT((TEXT($AE$5:$OE$5, "mmm")=LOWER(S$3))*$AE126:$OE126))</f>
        <v/>
      </c>
      <c r="U126" s="34"/>
      <c r="V126" s="34" t="str" cm="1">
        <f t="array" ref="V126">IF($C126="","",SUMPRODUCT((TEXT($AE$5:$OE$5, "mmm")=LOWER(U$3))*$AE126:$OE126))</f>
        <v/>
      </c>
      <c r="W126" s="34"/>
      <c r="X126" s="34" t="str" cm="1">
        <f t="array" ref="X126">IF($C126="","",SUMPRODUCT((TEXT($AE$5:$OE$5, "mmm")=LOWER(W$3))*$AE126:$OE126))</f>
        <v/>
      </c>
      <c r="Y126" s="34"/>
      <c r="Z126" s="34" t="str" cm="1">
        <f t="array" ref="Z126">IF($C126="","",SUMPRODUCT((TEXT($AE$5:$OE$5, "mmm")=LOWER(Y$3))*$AE126:$OE126))</f>
        <v/>
      </c>
      <c r="AA126" s="34"/>
      <c r="AB126" s="34" t="str" cm="1">
        <f t="array" ref="AB126">IF($C126="","",SUMPRODUCT((TEXT($AE$5:$OE$5, "mmm")=LOWER(AA$3))*$AE126:$OE126))</f>
        <v/>
      </c>
      <c r="AC126" s="34"/>
      <c r="AD126" s="34" t="str" cm="1">
        <f t="array" ref="AD126">IF($C126="","",SUMPRODUCT((TEXT($AE$5:$OE$5, "mmm")=LOWER(AC$3))*$AE126:$OE126))</f>
        <v/>
      </c>
      <c r="OE126" s="49"/>
    </row>
    <row r="127" spans="1:395">
      <c r="A127" s="35"/>
      <c r="C127" s="2" t="str">
        <f>IF(ISBLANK($B127),"",_xlfn.XLOOKUP($B127,Task_No,Project!$C$3:$C$144,"INVALID TASK"))</f>
        <v/>
      </c>
      <c r="E127" s="7" t="str">
        <f t="shared" si="20"/>
        <v/>
      </c>
      <c r="F127" s="7" t="str">
        <f t="shared" si="19"/>
        <v/>
      </c>
      <c r="G127" s="34"/>
      <c r="H127" s="34" t="str" cm="1">
        <f t="array" ref="H127">IF($C127="","",SUMPRODUCT((TEXT($AE$5:$OE$5, "mmm")=LOWER(G$3))*$AE127:$OE127))</f>
        <v/>
      </c>
      <c r="I127" s="34"/>
      <c r="J127" s="34" t="str" cm="1">
        <f t="array" ref="J127">IF($C127="","",SUMPRODUCT((TEXT($AE$5:$OE$5, "mmm")=LOWER(I$3))*$AE127:$OE127))</f>
        <v/>
      </c>
      <c r="K127" s="34"/>
      <c r="L127" s="34" t="str" cm="1">
        <f t="array" ref="L127">IF($C127="","",SUMPRODUCT((TEXT($AE$5:$OE$5, "mmm")=LOWER(K$3))*$AE127:$OE127))</f>
        <v/>
      </c>
      <c r="M127" s="34"/>
      <c r="N127" s="34" t="str" cm="1">
        <f t="array" ref="N127">IF($C127="","",SUMPRODUCT((TEXT($AE$5:$OE$5, "mmm")=LOWER(M$3))*$AE127:$OE127))</f>
        <v/>
      </c>
      <c r="O127" s="34"/>
      <c r="P127" s="34" t="str" cm="1">
        <f t="array" ref="P127">IF($C127="","",SUMPRODUCT((TEXT($AE$5:$OE$5, "mmm")=LOWER(O$3))*$AE127:$OE127))</f>
        <v/>
      </c>
      <c r="Q127" s="34"/>
      <c r="R127" s="34" t="str" cm="1">
        <f t="array" ref="R127">IF($C127="","",SUMPRODUCT((TEXT($AE$5:$OE$5, "mmm")=LOWER(Q$3))*$AE127:$OE127))</f>
        <v/>
      </c>
      <c r="S127" s="34"/>
      <c r="T127" s="34" t="str" cm="1">
        <f t="array" ref="T127">IF($C127="","",SUMPRODUCT((TEXT($AE$5:$OE$5, "mmm")=LOWER(S$3))*$AE127:$OE127))</f>
        <v/>
      </c>
      <c r="U127" s="34"/>
      <c r="V127" s="34" t="str" cm="1">
        <f t="array" ref="V127">IF($C127="","",SUMPRODUCT((TEXT($AE$5:$OE$5, "mmm")=LOWER(U$3))*$AE127:$OE127))</f>
        <v/>
      </c>
      <c r="W127" s="34"/>
      <c r="X127" s="34" t="str" cm="1">
        <f t="array" ref="X127">IF($C127="","",SUMPRODUCT((TEXT($AE$5:$OE$5, "mmm")=LOWER(W$3))*$AE127:$OE127))</f>
        <v/>
      </c>
      <c r="Y127" s="34"/>
      <c r="Z127" s="34" t="str" cm="1">
        <f t="array" ref="Z127">IF($C127="","",SUMPRODUCT((TEXT($AE$5:$OE$5, "mmm")=LOWER(Y$3))*$AE127:$OE127))</f>
        <v/>
      </c>
      <c r="AA127" s="34"/>
      <c r="AB127" s="34" t="str" cm="1">
        <f t="array" ref="AB127">IF($C127="","",SUMPRODUCT((TEXT($AE$5:$OE$5, "mmm")=LOWER(AA$3))*$AE127:$OE127))</f>
        <v/>
      </c>
      <c r="AC127" s="34"/>
      <c r="AD127" s="34" t="str" cm="1">
        <f t="array" ref="AD127">IF($C127="","",SUMPRODUCT((TEXT($AE$5:$OE$5, "mmm")=LOWER(AC$3))*$AE127:$OE127))</f>
        <v/>
      </c>
      <c r="OE127" s="49"/>
    </row>
    <row r="128" spans="1:395">
      <c r="A128" s="35"/>
      <c r="C128" s="2" t="str">
        <f>IF(ISBLANK($B128),"",_xlfn.XLOOKUP($B128,Task_No,Project!$C$3:$C$144,"INVALID TASK"))</f>
        <v/>
      </c>
      <c r="E128" s="7" t="str">
        <f t="shared" si="20"/>
        <v/>
      </c>
      <c r="F128" s="7" t="str">
        <f t="shared" si="19"/>
        <v/>
      </c>
      <c r="G128" s="34"/>
      <c r="H128" s="34" t="str" cm="1">
        <f t="array" ref="H128">IF($C128="","",SUMPRODUCT((TEXT($AE$5:$OE$5, "mmm")=LOWER(G$3))*$AE128:$OE128))</f>
        <v/>
      </c>
      <c r="I128" s="34"/>
      <c r="J128" s="34" t="str" cm="1">
        <f t="array" ref="J128">IF($C128="","",SUMPRODUCT((TEXT($AE$5:$OE$5, "mmm")=LOWER(I$3))*$AE128:$OE128))</f>
        <v/>
      </c>
      <c r="K128" s="34"/>
      <c r="L128" s="34" t="str" cm="1">
        <f t="array" ref="L128">IF($C128="","",SUMPRODUCT((TEXT($AE$5:$OE$5, "mmm")=LOWER(K$3))*$AE128:$OE128))</f>
        <v/>
      </c>
      <c r="M128" s="34"/>
      <c r="N128" s="34" t="str" cm="1">
        <f t="array" ref="N128">IF($C128="","",SUMPRODUCT((TEXT($AE$5:$OE$5, "mmm")=LOWER(M$3))*$AE128:$OE128))</f>
        <v/>
      </c>
      <c r="O128" s="34"/>
      <c r="P128" s="34" t="str" cm="1">
        <f t="array" ref="P128">IF($C128="","",SUMPRODUCT((TEXT($AE$5:$OE$5, "mmm")=LOWER(O$3))*$AE128:$OE128))</f>
        <v/>
      </c>
      <c r="Q128" s="34"/>
      <c r="R128" s="34" t="str" cm="1">
        <f t="array" ref="R128">IF($C128="","",SUMPRODUCT((TEXT($AE$5:$OE$5, "mmm")=LOWER(Q$3))*$AE128:$OE128))</f>
        <v/>
      </c>
      <c r="S128" s="34"/>
      <c r="T128" s="34" t="str" cm="1">
        <f t="array" ref="T128">IF($C128="","",SUMPRODUCT((TEXT($AE$5:$OE$5, "mmm")=LOWER(S$3))*$AE128:$OE128))</f>
        <v/>
      </c>
      <c r="U128" s="34"/>
      <c r="V128" s="34" t="str" cm="1">
        <f t="array" ref="V128">IF($C128="","",SUMPRODUCT((TEXT($AE$5:$OE$5, "mmm")=LOWER(U$3))*$AE128:$OE128))</f>
        <v/>
      </c>
      <c r="W128" s="34"/>
      <c r="X128" s="34" t="str" cm="1">
        <f t="array" ref="X128">IF($C128="","",SUMPRODUCT((TEXT($AE$5:$OE$5, "mmm")=LOWER(W$3))*$AE128:$OE128))</f>
        <v/>
      </c>
      <c r="Y128" s="34"/>
      <c r="Z128" s="34" t="str" cm="1">
        <f t="array" ref="Z128">IF($C128="","",SUMPRODUCT((TEXT($AE$5:$OE$5, "mmm")=LOWER(Y$3))*$AE128:$OE128))</f>
        <v/>
      </c>
      <c r="AA128" s="34"/>
      <c r="AB128" s="34" t="str" cm="1">
        <f t="array" ref="AB128">IF($C128="","",SUMPRODUCT((TEXT($AE$5:$OE$5, "mmm")=LOWER(AA$3))*$AE128:$OE128))</f>
        <v/>
      </c>
      <c r="AC128" s="34"/>
      <c r="AD128" s="34" t="str" cm="1">
        <f t="array" ref="AD128">IF($C128="","",SUMPRODUCT((TEXT($AE$5:$OE$5, "mmm")=LOWER(AC$3))*$AE128:$OE128))</f>
        <v/>
      </c>
      <c r="OE128" s="49"/>
    </row>
    <row r="129" spans="1:395">
      <c r="A129" s="35"/>
      <c r="C129" s="2" t="str">
        <f>IF(ISBLANK($B129),"",_xlfn.XLOOKUP($B129,Task_No,Project!$C$3:$C$144,"INVALID TASK"))</f>
        <v/>
      </c>
      <c r="E129" s="7" t="str">
        <f t="shared" si="20"/>
        <v/>
      </c>
      <c r="F129" s="7" t="str">
        <f t="shared" si="19"/>
        <v/>
      </c>
      <c r="G129" s="34"/>
      <c r="H129" s="34" t="str" cm="1">
        <f t="array" ref="H129">IF($C129="","",SUMPRODUCT((TEXT($AE$5:$OE$5, "mmm")=LOWER(G$3))*$AE129:$OE129))</f>
        <v/>
      </c>
      <c r="I129" s="34"/>
      <c r="J129" s="34" t="str" cm="1">
        <f t="array" ref="J129">IF($C129="","",SUMPRODUCT((TEXT($AE$5:$OE$5, "mmm")=LOWER(I$3))*$AE129:$OE129))</f>
        <v/>
      </c>
      <c r="K129" s="34"/>
      <c r="L129" s="34" t="str" cm="1">
        <f t="array" ref="L129">IF($C129="","",SUMPRODUCT((TEXT($AE$5:$OE$5, "mmm")=LOWER(K$3))*$AE129:$OE129))</f>
        <v/>
      </c>
      <c r="M129" s="34"/>
      <c r="N129" s="34" t="str" cm="1">
        <f t="array" ref="N129">IF($C129="","",SUMPRODUCT((TEXT($AE$5:$OE$5, "mmm")=LOWER(M$3))*$AE129:$OE129))</f>
        <v/>
      </c>
      <c r="O129" s="34"/>
      <c r="P129" s="34" t="str" cm="1">
        <f t="array" ref="P129">IF($C129="","",SUMPRODUCT((TEXT($AE$5:$OE$5, "mmm")=LOWER(O$3))*$AE129:$OE129))</f>
        <v/>
      </c>
      <c r="Q129" s="34"/>
      <c r="R129" s="34" t="str" cm="1">
        <f t="array" ref="R129">IF($C129="","",SUMPRODUCT((TEXT($AE$5:$OE$5, "mmm")=LOWER(Q$3))*$AE129:$OE129))</f>
        <v/>
      </c>
      <c r="S129" s="34"/>
      <c r="T129" s="34" t="str" cm="1">
        <f t="array" ref="T129">IF($C129="","",SUMPRODUCT((TEXT($AE$5:$OE$5, "mmm")=LOWER(S$3))*$AE129:$OE129))</f>
        <v/>
      </c>
      <c r="U129" s="34"/>
      <c r="V129" s="34" t="str" cm="1">
        <f t="array" ref="V129">IF($C129="","",SUMPRODUCT((TEXT($AE$5:$OE$5, "mmm")=LOWER(U$3))*$AE129:$OE129))</f>
        <v/>
      </c>
      <c r="W129" s="34"/>
      <c r="X129" s="34" t="str" cm="1">
        <f t="array" ref="X129">IF($C129="","",SUMPRODUCT((TEXT($AE$5:$OE$5, "mmm")=LOWER(W$3))*$AE129:$OE129))</f>
        <v/>
      </c>
      <c r="Y129" s="34"/>
      <c r="Z129" s="34" t="str" cm="1">
        <f t="array" ref="Z129">IF($C129="","",SUMPRODUCT((TEXT($AE$5:$OE$5, "mmm")=LOWER(Y$3))*$AE129:$OE129))</f>
        <v/>
      </c>
      <c r="AA129" s="34"/>
      <c r="AB129" s="34" t="str" cm="1">
        <f t="array" ref="AB129">IF($C129="","",SUMPRODUCT((TEXT($AE$5:$OE$5, "mmm")=LOWER(AA$3))*$AE129:$OE129))</f>
        <v/>
      </c>
      <c r="AC129" s="34"/>
      <c r="AD129" s="34" t="str" cm="1">
        <f t="array" ref="AD129">IF($C129="","",SUMPRODUCT((TEXT($AE$5:$OE$5, "mmm")=LOWER(AC$3))*$AE129:$OE129))</f>
        <v/>
      </c>
      <c r="OE129" s="49"/>
    </row>
    <row r="130" spans="1:395">
      <c r="A130" s="35"/>
      <c r="C130" s="2" t="str">
        <f>IF(ISBLANK($B130),"",_xlfn.XLOOKUP($B130,Task_No,Project!$C$3:$C$144,"INVALID TASK"))</f>
        <v/>
      </c>
      <c r="E130" s="7" t="str">
        <f t="shared" si="20"/>
        <v/>
      </c>
      <c r="F130" s="7" t="str">
        <f t="shared" si="19"/>
        <v/>
      </c>
      <c r="G130" s="34"/>
      <c r="H130" s="34" t="str" cm="1">
        <f t="array" ref="H130">IF($C130="","",SUMPRODUCT((TEXT($AE$5:$OE$5, "mmm")=LOWER(G$3))*$AE130:$OE130))</f>
        <v/>
      </c>
      <c r="I130" s="34"/>
      <c r="J130" s="34" t="str" cm="1">
        <f t="array" ref="J130">IF($C130="","",SUMPRODUCT((TEXT($AE$5:$OE$5, "mmm")=LOWER(I$3))*$AE130:$OE130))</f>
        <v/>
      </c>
      <c r="K130" s="34"/>
      <c r="L130" s="34" t="str" cm="1">
        <f t="array" ref="L130">IF($C130="","",SUMPRODUCT((TEXT($AE$5:$OE$5, "mmm")=LOWER(K$3))*$AE130:$OE130))</f>
        <v/>
      </c>
      <c r="M130" s="34"/>
      <c r="N130" s="34" t="str" cm="1">
        <f t="array" ref="N130">IF($C130="","",SUMPRODUCT((TEXT($AE$5:$OE$5, "mmm")=LOWER(M$3))*$AE130:$OE130))</f>
        <v/>
      </c>
      <c r="O130" s="34"/>
      <c r="P130" s="34" t="str" cm="1">
        <f t="array" ref="P130">IF($C130="","",SUMPRODUCT((TEXT($AE$5:$OE$5, "mmm")=LOWER(O$3))*$AE130:$OE130))</f>
        <v/>
      </c>
      <c r="Q130" s="34"/>
      <c r="R130" s="34" t="str" cm="1">
        <f t="array" ref="R130">IF($C130="","",SUMPRODUCT((TEXT($AE$5:$OE$5, "mmm")=LOWER(Q$3))*$AE130:$OE130))</f>
        <v/>
      </c>
      <c r="S130" s="34"/>
      <c r="T130" s="34" t="str" cm="1">
        <f t="array" ref="T130">IF($C130="","",SUMPRODUCT((TEXT($AE$5:$OE$5, "mmm")=LOWER(S$3))*$AE130:$OE130))</f>
        <v/>
      </c>
      <c r="U130" s="34"/>
      <c r="V130" s="34" t="str" cm="1">
        <f t="array" ref="V130">IF($C130="","",SUMPRODUCT((TEXT($AE$5:$OE$5, "mmm")=LOWER(U$3))*$AE130:$OE130))</f>
        <v/>
      </c>
      <c r="W130" s="34"/>
      <c r="X130" s="34" t="str" cm="1">
        <f t="array" ref="X130">IF($C130="","",SUMPRODUCT((TEXT($AE$5:$OE$5, "mmm")=LOWER(W$3))*$AE130:$OE130))</f>
        <v/>
      </c>
      <c r="Y130" s="34"/>
      <c r="Z130" s="34" t="str" cm="1">
        <f t="array" ref="Z130">IF($C130="","",SUMPRODUCT((TEXT($AE$5:$OE$5, "mmm")=LOWER(Y$3))*$AE130:$OE130))</f>
        <v/>
      </c>
      <c r="AA130" s="34"/>
      <c r="AB130" s="34" t="str" cm="1">
        <f t="array" ref="AB130">IF($C130="","",SUMPRODUCT((TEXT($AE$5:$OE$5, "mmm")=LOWER(AA$3))*$AE130:$OE130))</f>
        <v/>
      </c>
      <c r="AC130" s="34"/>
      <c r="AD130" s="34" t="str" cm="1">
        <f t="array" ref="AD130">IF($C130="","",SUMPRODUCT((TEXT($AE$5:$OE$5, "mmm")=LOWER(AC$3))*$AE130:$OE130))</f>
        <v/>
      </c>
      <c r="OE130" s="49"/>
    </row>
    <row r="131" spans="1:395">
      <c r="A131" s="35"/>
      <c r="C131" s="2" t="str">
        <f>IF(ISBLANK($B131),"",_xlfn.XLOOKUP($B131,Task_No,Project!$C$3:$C$144,"INVALID TASK"))</f>
        <v/>
      </c>
      <c r="E131" s="7" t="str">
        <f t="shared" si="20"/>
        <v/>
      </c>
      <c r="F131" s="7" t="str">
        <f t="shared" si="19"/>
        <v/>
      </c>
      <c r="G131" s="34"/>
      <c r="H131" s="34" t="str" cm="1">
        <f t="array" ref="H131">IF($C131="","",SUMPRODUCT((TEXT($AE$5:$OE$5, "mmm")=LOWER(G$3))*$AE131:$OE131))</f>
        <v/>
      </c>
      <c r="I131" s="34"/>
      <c r="J131" s="34" t="str" cm="1">
        <f t="array" ref="J131">IF($C131="","",SUMPRODUCT((TEXT($AE$5:$OE$5, "mmm")=LOWER(I$3))*$AE131:$OE131))</f>
        <v/>
      </c>
      <c r="K131" s="34"/>
      <c r="L131" s="34" t="str" cm="1">
        <f t="array" ref="L131">IF($C131="","",SUMPRODUCT((TEXT($AE$5:$OE$5, "mmm")=LOWER(K$3))*$AE131:$OE131))</f>
        <v/>
      </c>
      <c r="M131" s="34"/>
      <c r="N131" s="34" t="str" cm="1">
        <f t="array" ref="N131">IF($C131="","",SUMPRODUCT((TEXT($AE$5:$OE$5, "mmm")=LOWER(M$3))*$AE131:$OE131))</f>
        <v/>
      </c>
      <c r="O131" s="34"/>
      <c r="P131" s="34" t="str" cm="1">
        <f t="array" ref="P131">IF($C131="","",SUMPRODUCT((TEXT($AE$5:$OE$5, "mmm")=LOWER(O$3))*$AE131:$OE131))</f>
        <v/>
      </c>
      <c r="Q131" s="34"/>
      <c r="R131" s="34" t="str" cm="1">
        <f t="array" ref="R131">IF($C131="","",SUMPRODUCT((TEXT($AE$5:$OE$5, "mmm")=LOWER(Q$3))*$AE131:$OE131))</f>
        <v/>
      </c>
      <c r="S131" s="34"/>
      <c r="T131" s="34" t="str" cm="1">
        <f t="array" ref="T131">IF($C131="","",SUMPRODUCT((TEXT($AE$5:$OE$5, "mmm")=LOWER(S$3))*$AE131:$OE131))</f>
        <v/>
      </c>
      <c r="U131" s="34"/>
      <c r="V131" s="34" t="str" cm="1">
        <f t="array" ref="V131">IF($C131="","",SUMPRODUCT((TEXT($AE$5:$OE$5, "mmm")=LOWER(U$3))*$AE131:$OE131))</f>
        <v/>
      </c>
      <c r="W131" s="34"/>
      <c r="X131" s="34" t="str" cm="1">
        <f t="array" ref="X131">IF($C131="","",SUMPRODUCT((TEXT($AE$5:$OE$5, "mmm")=LOWER(W$3))*$AE131:$OE131))</f>
        <v/>
      </c>
      <c r="Y131" s="34"/>
      <c r="Z131" s="34" t="str" cm="1">
        <f t="array" ref="Z131">IF($C131="","",SUMPRODUCT((TEXT($AE$5:$OE$5, "mmm")=LOWER(Y$3))*$AE131:$OE131))</f>
        <v/>
      </c>
      <c r="AA131" s="34"/>
      <c r="AB131" s="34" t="str" cm="1">
        <f t="array" ref="AB131">IF($C131="","",SUMPRODUCT((TEXT($AE$5:$OE$5, "mmm")=LOWER(AA$3))*$AE131:$OE131))</f>
        <v/>
      </c>
      <c r="AC131" s="34"/>
      <c r="AD131" s="34" t="str" cm="1">
        <f t="array" ref="AD131">IF($C131="","",SUMPRODUCT((TEXT($AE$5:$OE$5, "mmm")=LOWER(AC$3))*$AE131:$OE131))</f>
        <v/>
      </c>
      <c r="OE131" s="49"/>
    </row>
    <row r="132" spans="1:395">
      <c r="A132" s="35"/>
      <c r="C132" s="2" t="str">
        <f>IF(ISBLANK($B132),"",_xlfn.XLOOKUP($B132,Task_No,Project!$C$3:$C$144,"INVALID TASK"))</f>
        <v/>
      </c>
      <c r="E132" s="7" t="str">
        <f t="shared" si="20"/>
        <v/>
      </c>
      <c r="F132" s="7" t="str">
        <f t="shared" si="19"/>
        <v/>
      </c>
      <c r="G132" s="34"/>
      <c r="H132" s="34" t="str" cm="1">
        <f t="array" ref="H132">IF($C132="","",SUMPRODUCT((TEXT($AE$5:$OE$5, "mmm")=LOWER(G$3))*$AE132:$OE132))</f>
        <v/>
      </c>
      <c r="I132" s="34"/>
      <c r="J132" s="34" t="str" cm="1">
        <f t="array" ref="J132">IF($C132="","",SUMPRODUCT((TEXT($AE$5:$OE$5, "mmm")=LOWER(I$3))*$AE132:$OE132))</f>
        <v/>
      </c>
      <c r="K132" s="34"/>
      <c r="L132" s="34" t="str" cm="1">
        <f t="array" ref="L132">IF($C132="","",SUMPRODUCT((TEXT($AE$5:$OE$5, "mmm")=LOWER(K$3))*$AE132:$OE132))</f>
        <v/>
      </c>
      <c r="M132" s="34"/>
      <c r="N132" s="34" t="str" cm="1">
        <f t="array" ref="N132">IF($C132="","",SUMPRODUCT((TEXT($AE$5:$OE$5, "mmm")=LOWER(M$3))*$AE132:$OE132))</f>
        <v/>
      </c>
      <c r="O132" s="34"/>
      <c r="P132" s="34" t="str" cm="1">
        <f t="array" ref="P132">IF($C132="","",SUMPRODUCT((TEXT($AE$5:$OE$5, "mmm")=LOWER(O$3))*$AE132:$OE132))</f>
        <v/>
      </c>
      <c r="Q132" s="34"/>
      <c r="R132" s="34" t="str" cm="1">
        <f t="array" ref="R132">IF($C132="","",SUMPRODUCT((TEXT($AE$5:$OE$5, "mmm")=LOWER(Q$3))*$AE132:$OE132))</f>
        <v/>
      </c>
      <c r="S132" s="34"/>
      <c r="T132" s="34" t="str" cm="1">
        <f t="array" ref="T132">IF($C132="","",SUMPRODUCT((TEXT($AE$5:$OE$5, "mmm")=LOWER(S$3))*$AE132:$OE132))</f>
        <v/>
      </c>
      <c r="U132" s="34"/>
      <c r="V132" s="34" t="str" cm="1">
        <f t="array" ref="V132">IF($C132="","",SUMPRODUCT((TEXT($AE$5:$OE$5, "mmm")=LOWER(U$3))*$AE132:$OE132))</f>
        <v/>
      </c>
      <c r="W132" s="34"/>
      <c r="X132" s="34" t="str" cm="1">
        <f t="array" ref="X132">IF($C132="","",SUMPRODUCT((TEXT($AE$5:$OE$5, "mmm")=LOWER(W$3))*$AE132:$OE132))</f>
        <v/>
      </c>
      <c r="Y132" s="34"/>
      <c r="Z132" s="34" t="str" cm="1">
        <f t="array" ref="Z132">IF($C132="","",SUMPRODUCT((TEXT($AE$5:$OE$5, "mmm")=LOWER(Y$3))*$AE132:$OE132))</f>
        <v/>
      </c>
      <c r="AA132" s="34"/>
      <c r="AB132" s="34" t="str" cm="1">
        <f t="array" ref="AB132">IF($C132="","",SUMPRODUCT((TEXT($AE$5:$OE$5, "mmm")=LOWER(AA$3))*$AE132:$OE132))</f>
        <v/>
      </c>
      <c r="AC132" s="34"/>
      <c r="AD132" s="34" t="str" cm="1">
        <f t="array" ref="AD132">IF($C132="","",SUMPRODUCT((TEXT($AE$5:$OE$5, "mmm")=LOWER(AC$3))*$AE132:$OE132))</f>
        <v/>
      </c>
      <c r="OE132" s="49"/>
    </row>
    <row r="133" spans="1:395">
      <c r="A133" s="35"/>
      <c r="C133" s="2" t="str">
        <f>IF(ISBLANK($B133),"",_xlfn.XLOOKUP($B133,Task_No,Project!$C$3:$C$144,"INVALID TASK"))</f>
        <v/>
      </c>
      <c r="E133" s="7" t="str">
        <f t="shared" si="20"/>
        <v/>
      </c>
      <c r="F133" s="7" t="str">
        <f t="shared" si="19"/>
        <v/>
      </c>
      <c r="G133" s="34"/>
      <c r="H133" s="34" t="str" cm="1">
        <f t="array" ref="H133">IF($C133="","",SUMPRODUCT((TEXT($AE$5:$OE$5, "mmm")=LOWER(G$3))*$AE133:$OE133))</f>
        <v/>
      </c>
      <c r="I133" s="34"/>
      <c r="J133" s="34" t="str" cm="1">
        <f t="array" ref="J133">IF($C133="","",SUMPRODUCT((TEXT($AE$5:$OE$5, "mmm")=LOWER(I$3))*$AE133:$OE133))</f>
        <v/>
      </c>
      <c r="K133" s="34"/>
      <c r="L133" s="34" t="str" cm="1">
        <f t="array" ref="L133">IF($C133="","",SUMPRODUCT((TEXT($AE$5:$OE$5, "mmm")=LOWER(K$3))*$AE133:$OE133))</f>
        <v/>
      </c>
      <c r="M133" s="34"/>
      <c r="N133" s="34" t="str" cm="1">
        <f t="array" ref="N133">IF($C133="","",SUMPRODUCT((TEXT($AE$5:$OE$5, "mmm")=LOWER(M$3))*$AE133:$OE133))</f>
        <v/>
      </c>
      <c r="O133" s="34"/>
      <c r="P133" s="34" t="str" cm="1">
        <f t="array" ref="P133">IF($C133="","",SUMPRODUCT((TEXT($AE$5:$OE$5, "mmm")=LOWER(O$3))*$AE133:$OE133))</f>
        <v/>
      </c>
      <c r="Q133" s="34"/>
      <c r="R133" s="34" t="str" cm="1">
        <f t="array" ref="R133">IF($C133="","",SUMPRODUCT((TEXT($AE$5:$OE$5, "mmm")=LOWER(Q$3))*$AE133:$OE133))</f>
        <v/>
      </c>
      <c r="S133" s="34"/>
      <c r="T133" s="34" t="str" cm="1">
        <f t="array" ref="T133">IF($C133="","",SUMPRODUCT((TEXT($AE$5:$OE$5, "mmm")=LOWER(S$3))*$AE133:$OE133))</f>
        <v/>
      </c>
      <c r="U133" s="34"/>
      <c r="V133" s="34" t="str" cm="1">
        <f t="array" ref="V133">IF($C133="","",SUMPRODUCT((TEXT($AE$5:$OE$5, "mmm")=LOWER(U$3))*$AE133:$OE133))</f>
        <v/>
      </c>
      <c r="W133" s="34"/>
      <c r="X133" s="34" t="str" cm="1">
        <f t="array" ref="X133">IF($C133="","",SUMPRODUCT((TEXT($AE$5:$OE$5, "mmm")=LOWER(W$3))*$AE133:$OE133))</f>
        <v/>
      </c>
      <c r="Y133" s="34"/>
      <c r="Z133" s="34" t="str" cm="1">
        <f t="array" ref="Z133">IF($C133="","",SUMPRODUCT((TEXT($AE$5:$OE$5, "mmm")=LOWER(Y$3))*$AE133:$OE133))</f>
        <v/>
      </c>
      <c r="AA133" s="34"/>
      <c r="AB133" s="34" t="str" cm="1">
        <f t="array" ref="AB133">IF($C133="","",SUMPRODUCT((TEXT($AE$5:$OE$5, "mmm")=LOWER(AA$3))*$AE133:$OE133))</f>
        <v/>
      </c>
      <c r="AC133" s="34"/>
      <c r="AD133" s="34" t="str" cm="1">
        <f t="array" ref="AD133">IF($C133="","",SUMPRODUCT((TEXT($AE$5:$OE$5, "mmm")=LOWER(AC$3))*$AE133:$OE133))</f>
        <v/>
      </c>
      <c r="OE133" s="49"/>
    </row>
    <row r="134" spans="1:395">
      <c r="A134" s="35"/>
      <c r="C134" s="2" t="str">
        <f>IF(ISBLANK($B134),"",_xlfn.XLOOKUP($B134,Task_No,Project!$C$3:$C$144,"INVALID TASK"))</f>
        <v/>
      </c>
      <c r="E134" s="7" t="str">
        <f t="shared" si="20"/>
        <v/>
      </c>
      <c r="F134" s="7" t="str">
        <f t="shared" si="19"/>
        <v/>
      </c>
      <c r="G134" s="34"/>
      <c r="H134" s="34" t="str" cm="1">
        <f t="array" ref="H134">IF($C134="","",SUMPRODUCT((TEXT($AE$5:$OE$5, "mmm")=LOWER(G$3))*$AE134:$OE134))</f>
        <v/>
      </c>
      <c r="I134" s="34"/>
      <c r="J134" s="34" t="str" cm="1">
        <f t="array" ref="J134">IF($C134="","",SUMPRODUCT((TEXT($AE$5:$OE$5, "mmm")=LOWER(I$3))*$AE134:$OE134))</f>
        <v/>
      </c>
      <c r="K134" s="34"/>
      <c r="L134" s="34" t="str" cm="1">
        <f t="array" ref="L134">IF($C134="","",SUMPRODUCT((TEXT($AE$5:$OE$5, "mmm")=LOWER(K$3))*$AE134:$OE134))</f>
        <v/>
      </c>
      <c r="M134" s="34"/>
      <c r="N134" s="34" t="str" cm="1">
        <f t="array" ref="N134">IF($C134="","",SUMPRODUCT((TEXT($AE$5:$OE$5, "mmm")=LOWER(M$3))*$AE134:$OE134))</f>
        <v/>
      </c>
      <c r="O134" s="34"/>
      <c r="P134" s="34" t="str" cm="1">
        <f t="array" ref="P134">IF($C134="","",SUMPRODUCT((TEXT($AE$5:$OE$5, "mmm")=LOWER(O$3))*$AE134:$OE134))</f>
        <v/>
      </c>
      <c r="Q134" s="34"/>
      <c r="R134" s="34" t="str" cm="1">
        <f t="array" ref="R134">IF($C134="","",SUMPRODUCT((TEXT($AE$5:$OE$5, "mmm")=LOWER(Q$3))*$AE134:$OE134))</f>
        <v/>
      </c>
      <c r="S134" s="34"/>
      <c r="T134" s="34" t="str" cm="1">
        <f t="array" ref="T134">IF($C134="","",SUMPRODUCT((TEXT($AE$5:$OE$5, "mmm")=LOWER(S$3))*$AE134:$OE134))</f>
        <v/>
      </c>
      <c r="U134" s="34"/>
      <c r="V134" s="34" t="str" cm="1">
        <f t="array" ref="V134">IF($C134="","",SUMPRODUCT((TEXT($AE$5:$OE$5, "mmm")=LOWER(U$3))*$AE134:$OE134))</f>
        <v/>
      </c>
      <c r="W134" s="34"/>
      <c r="X134" s="34" t="str" cm="1">
        <f t="array" ref="X134">IF($C134="","",SUMPRODUCT((TEXT($AE$5:$OE$5, "mmm")=LOWER(W$3))*$AE134:$OE134))</f>
        <v/>
      </c>
      <c r="Y134" s="34"/>
      <c r="Z134" s="34" t="str" cm="1">
        <f t="array" ref="Z134">IF($C134="","",SUMPRODUCT((TEXT($AE$5:$OE$5, "mmm")=LOWER(Y$3))*$AE134:$OE134))</f>
        <v/>
      </c>
      <c r="AA134" s="34"/>
      <c r="AB134" s="34" t="str" cm="1">
        <f t="array" ref="AB134">IF($C134="","",SUMPRODUCT((TEXT($AE$5:$OE$5, "mmm")=LOWER(AA$3))*$AE134:$OE134))</f>
        <v/>
      </c>
      <c r="AC134" s="34"/>
      <c r="AD134" s="34" t="str" cm="1">
        <f t="array" ref="AD134">IF($C134="","",SUMPRODUCT((TEXT($AE$5:$OE$5, "mmm")=LOWER(AC$3))*$AE134:$OE134))</f>
        <v/>
      </c>
      <c r="OE134" s="49"/>
    </row>
    <row r="135" spans="1:395">
      <c r="A135" s="35"/>
      <c r="C135" s="2" t="str">
        <f>IF(ISBLANK($B135),"",_xlfn.XLOOKUP($B135,Task_No,Project!$C$3:$C$144,"INVALID TASK"))</f>
        <v/>
      </c>
      <c r="E135" s="7" t="str">
        <f t="shared" si="20"/>
        <v/>
      </c>
      <c r="F135" s="7" t="str">
        <f t="shared" si="19"/>
        <v/>
      </c>
      <c r="G135" s="34"/>
      <c r="H135" s="34" t="str" cm="1">
        <f t="array" ref="H135">IF($C135="","",SUMPRODUCT((TEXT($AE$5:$OE$5, "mmm")=LOWER(G$3))*$AE135:$OE135))</f>
        <v/>
      </c>
      <c r="I135" s="34"/>
      <c r="J135" s="34" t="str" cm="1">
        <f t="array" ref="J135">IF($C135="","",SUMPRODUCT((TEXT($AE$5:$OE$5, "mmm")=LOWER(I$3))*$AE135:$OE135))</f>
        <v/>
      </c>
      <c r="K135" s="34"/>
      <c r="L135" s="34" t="str" cm="1">
        <f t="array" ref="L135">IF($C135="","",SUMPRODUCT((TEXT($AE$5:$OE$5, "mmm")=LOWER(K$3))*$AE135:$OE135))</f>
        <v/>
      </c>
      <c r="M135" s="34"/>
      <c r="N135" s="34" t="str" cm="1">
        <f t="array" ref="N135">IF($C135="","",SUMPRODUCT((TEXT($AE$5:$OE$5, "mmm")=LOWER(M$3))*$AE135:$OE135))</f>
        <v/>
      </c>
      <c r="O135" s="34"/>
      <c r="P135" s="34" t="str" cm="1">
        <f t="array" ref="P135">IF($C135="","",SUMPRODUCT((TEXT($AE$5:$OE$5, "mmm")=LOWER(O$3))*$AE135:$OE135))</f>
        <v/>
      </c>
      <c r="Q135" s="34"/>
      <c r="R135" s="34" t="str" cm="1">
        <f t="array" ref="R135">IF($C135="","",SUMPRODUCT((TEXT($AE$5:$OE$5, "mmm")=LOWER(Q$3))*$AE135:$OE135))</f>
        <v/>
      </c>
      <c r="S135" s="34"/>
      <c r="T135" s="34" t="str" cm="1">
        <f t="array" ref="T135">IF($C135="","",SUMPRODUCT((TEXT($AE$5:$OE$5, "mmm")=LOWER(S$3))*$AE135:$OE135))</f>
        <v/>
      </c>
      <c r="U135" s="34"/>
      <c r="V135" s="34" t="str" cm="1">
        <f t="array" ref="V135">IF($C135="","",SUMPRODUCT((TEXT($AE$5:$OE$5, "mmm")=LOWER(U$3))*$AE135:$OE135))</f>
        <v/>
      </c>
      <c r="W135" s="34"/>
      <c r="X135" s="34" t="str" cm="1">
        <f t="array" ref="X135">IF($C135="","",SUMPRODUCT((TEXT($AE$5:$OE$5, "mmm")=LOWER(W$3))*$AE135:$OE135))</f>
        <v/>
      </c>
      <c r="Y135" s="34"/>
      <c r="Z135" s="34" t="str" cm="1">
        <f t="array" ref="Z135">IF($C135="","",SUMPRODUCT((TEXT($AE$5:$OE$5, "mmm")=LOWER(Y$3))*$AE135:$OE135))</f>
        <v/>
      </c>
      <c r="AA135" s="34"/>
      <c r="AB135" s="34" t="str" cm="1">
        <f t="array" ref="AB135">IF($C135="","",SUMPRODUCT((TEXT($AE$5:$OE$5, "mmm")=LOWER(AA$3))*$AE135:$OE135))</f>
        <v/>
      </c>
      <c r="AC135" s="34"/>
      <c r="AD135" s="34" t="str" cm="1">
        <f t="array" ref="AD135">IF($C135="","",SUMPRODUCT((TEXT($AE$5:$OE$5, "mmm")=LOWER(AC$3))*$AE135:$OE135))</f>
        <v/>
      </c>
      <c r="OE135" s="49"/>
    </row>
    <row r="136" spans="1:395">
      <c r="A136" s="35"/>
      <c r="C136" s="2" t="str">
        <f>IF(ISBLANK($B136),"",_xlfn.XLOOKUP($B136,Task_No,Project!$C$3:$C$144,"INVALID TASK"))</f>
        <v/>
      </c>
      <c r="E136" s="7" t="str">
        <f t="shared" si="20"/>
        <v/>
      </c>
      <c r="F136" s="7" t="str">
        <f t="shared" si="19"/>
        <v/>
      </c>
      <c r="G136" s="34"/>
      <c r="H136" s="34" t="str" cm="1">
        <f t="array" ref="H136">IF($C136="","",SUMPRODUCT((TEXT($AE$5:$OE$5, "mmm")=LOWER(G$3))*$AE136:$OE136))</f>
        <v/>
      </c>
      <c r="I136" s="34"/>
      <c r="J136" s="34" t="str" cm="1">
        <f t="array" ref="J136">IF($C136="","",SUMPRODUCT((TEXT($AE$5:$OE$5, "mmm")=LOWER(I$3))*$AE136:$OE136))</f>
        <v/>
      </c>
      <c r="K136" s="34"/>
      <c r="L136" s="34" t="str" cm="1">
        <f t="array" ref="L136">IF($C136="","",SUMPRODUCT((TEXT($AE$5:$OE$5, "mmm")=LOWER(K$3))*$AE136:$OE136))</f>
        <v/>
      </c>
      <c r="M136" s="34"/>
      <c r="N136" s="34" t="str" cm="1">
        <f t="array" ref="N136">IF($C136="","",SUMPRODUCT((TEXT($AE$5:$OE$5, "mmm")=LOWER(M$3))*$AE136:$OE136))</f>
        <v/>
      </c>
      <c r="O136" s="34"/>
      <c r="P136" s="34" t="str" cm="1">
        <f t="array" ref="P136">IF($C136="","",SUMPRODUCT((TEXT($AE$5:$OE$5, "mmm")=LOWER(O$3))*$AE136:$OE136))</f>
        <v/>
      </c>
      <c r="Q136" s="34"/>
      <c r="R136" s="34" t="str" cm="1">
        <f t="array" ref="R136">IF($C136="","",SUMPRODUCT((TEXT($AE$5:$OE$5, "mmm")=LOWER(Q$3))*$AE136:$OE136))</f>
        <v/>
      </c>
      <c r="S136" s="34"/>
      <c r="T136" s="34" t="str" cm="1">
        <f t="array" ref="T136">IF($C136="","",SUMPRODUCT((TEXT($AE$5:$OE$5, "mmm")=LOWER(S$3))*$AE136:$OE136))</f>
        <v/>
      </c>
      <c r="U136" s="34"/>
      <c r="V136" s="34" t="str" cm="1">
        <f t="array" ref="V136">IF($C136="","",SUMPRODUCT((TEXT($AE$5:$OE$5, "mmm")=LOWER(U$3))*$AE136:$OE136))</f>
        <v/>
      </c>
      <c r="W136" s="34"/>
      <c r="X136" s="34" t="str" cm="1">
        <f t="array" ref="X136">IF($C136="","",SUMPRODUCT((TEXT($AE$5:$OE$5, "mmm")=LOWER(W$3))*$AE136:$OE136))</f>
        <v/>
      </c>
      <c r="Y136" s="34"/>
      <c r="Z136" s="34" t="str" cm="1">
        <f t="array" ref="Z136">IF($C136="","",SUMPRODUCT((TEXT($AE$5:$OE$5, "mmm")=LOWER(Y$3))*$AE136:$OE136))</f>
        <v/>
      </c>
      <c r="AA136" s="34"/>
      <c r="AB136" s="34" t="str" cm="1">
        <f t="array" ref="AB136">IF($C136="","",SUMPRODUCT((TEXT($AE$5:$OE$5, "mmm")=LOWER(AA$3))*$AE136:$OE136))</f>
        <v/>
      </c>
      <c r="AC136" s="34"/>
      <c r="AD136" s="34" t="str" cm="1">
        <f t="array" ref="AD136">IF($C136="","",SUMPRODUCT((TEXT($AE$5:$OE$5, "mmm")=LOWER(AC$3))*$AE136:$OE136))</f>
        <v/>
      </c>
      <c r="OE136" s="49"/>
    </row>
    <row r="137" spans="1:395">
      <c r="A137" s="35"/>
      <c r="C137" s="2" t="str">
        <f>IF(ISBLANK($B137),"",_xlfn.XLOOKUP($B137,Task_No,Project!$C$3:$C$144,"INVALID TASK"))</f>
        <v/>
      </c>
      <c r="E137" s="7" t="str">
        <f t="shared" si="20"/>
        <v/>
      </c>
      <c r="F137" s="7" t="str">
        <f t="shared" si="19"/>
        <v/>
      </c>
      <c r="G137" s="34"/>
      <c r="H137" s="34" t="str" cm="1">
        <f t="array" ref="H137">IF($C137="","",SUMPRODUCT((TEXT($AE$5:$OE$5, "mmm")=LOWER(G$3))*$AE137:$OE137))</f>
        <v/>
      </c>
      <c r="I137" s="34"/>
      <c r="J137" s="34" t="str" cm="1">
        <f t="array" ref="J137">IF($C137="","",SUMPRODUCT((TEXT($AE$5:$OE$5, "mmm")=LOWER(I$3))*$AE137:$OE137))</f>
        <v/>
      </c>
      <c r="K137" s="34"/>
      <c r="L137" s="34" t="str" cm="1">
        <f t="array" ref="L137">IF($C137="","",SUMPRODUCT((TEXT($AE$5:$OE$5, "mmm")=LOWER(K$3))*$AE137:$OE137))</f>
        <v/>
      </c>
      <c r="M137" s="34"/>
      <c r="N137" s="34" t="str" cm="1">
        <f t="array" ref="N137">IF($C137="","",SUMPRODUCT((TEXT($AE$5:$OE$5, "mmm")=LOWER(M$3))*$AE137:$OE137))</f>
        <v/>
      </c>
      <c r="O137" s="34"/>
      <c r="P137" s="34" t="str" cm="1">
        <f t="array" ref="P137">IF($C137="","",SUMPRODUCT((TEXT($AE$5:$OE$5, "mmm")=LOWER(O$3))*$AE137:$OE137))</f>
        <v/>
      </c>
      <c r="Q137" s="34"/>
      <c r="R137" s="34" t="str" cm="1">
        <f t="array" ref="R137">IF($C137="","",SUMPRODUCT((TEXT($AE$5:$OE$5, "mmm")=LOWER(Q$3))*$AE137:$OE137))</f>
        <v/>
      </c>
      <c r="S137" s="34"/>
      <c r="T137" s="34" t="str" cm="1">
        <f t="array" ref="T137">IF($C137="","",SUMPRODUCT((TEXT($AE$5:$OE$5, "mmm")=LOWER(S$3))*$AE137:$OE137))</f>
        <v/>
      </c>
      <c r="U137" s="34"/>
      <c r="V137" s="34" t="str" cm="1">
        <f t="array" ref="V137">IF($C137="","",SUMPRODUCT((TEXT($AE$5:$OE$5, "mmm")=LOWER(U$3))*$AE137:$OE137))</f>
        <v/>
      </c>
      <c r="W137" s="34"/>
      <c r="X137" s="34" t="str" cm="1">
        <f t="array" ref="X137">IF($C137="","",SUMPRODUCT((TEXT($AE$5:$OE$5, "mmm")=LOWER(W$3))*$AE137:$OE137))</f>
        <v/>
      </c>
      <c r="Y137" s="34"/>
      <c r="Z137" s="34" t="str" cm="1">
        <f t="array" ref="Z137">IF($C137="","",SUMPRODUCT((TEXT($AE$5:$OE$5, "mmm")=LOWER(Y$3))*$AE137:$OE137))</f>
        <v/>
      </c>
      <c r="AA137" s="34"/>
      <c r="AB137" s="34" t="str" cm="1">
        <f t="array" ref="AB137">IF($C137="","",SUMPRODUCT((TEXT($AE$5:$OE$5, "mmm")=LOWER(AA$3))*$AE137:$OE137))</f>
        <v/>
      </c>
      <c r="AC137" s="34"/>
      <c r="AD137" s="34" t="str" cm="1">
        <f t="array" ref="AD137">IF($C137="","",SUMPRODUCT((TEXT($AE$5:$OE$5, "mmm")=LOWER(AC$3))*$AE137:$OE137))</f>
        <v/>
      </c>
      <c r="OE137" s="49"/>
    </row>
    <row r="138" spans="1:395">
      <c r="A138" s="35"/>
      <c r="C138" s="2" t="str">
        <f>IF(ISBLANK($B138),"",_xlfn.XLOOKUP($B138,Task_No,Project!$C$3:$C$144,"INVALID TASK"))</f>
        <v/>
      </c>
      <c r="E138" s="7" t="str">
        <f t="shared" si="20"/>
        <v/>
      </c>
      <c r="F138" s="7" t="str">
        <f t="shared" si="19"/>
        <v/>
      </c>
      <c r="G138" s="34"/>
      <c r="H138" s="34" t="str" cm="1">
        <f t="array" ref="H138">IF($C138="","",SUMPRODUCT((TEXT($AE$5:$OE$5, "mmm")=LOWER(G$3))*$AE138:$OE138))</f>
        <v/>
      </c>
      <c r="I138" s="34"/>
      <c r="J138" s="34" t="str" cm="1">
        <f t="array" ref="J138">IF($C138="","",SUMPRODUCT((TEXT($AE$5:$OE$5, "mmm")=LOWER(I$3))*$AE138:$OE138))</f>
        <v/>
      </c>
      <c r="K138" s="34"/>
      <c r="L138" s="34" t="str" cm="1">
        <f t="array" ref="L138">IF($C138="","",SUMPRODUCT((TEXT($AE$5:$OE$5, "mmm")=LOWER(K$3))*$AE138:$OE138))</f>
        <v/>
      </c>
      <c r="M138" s="34"/>
      <c r="N138" s="34" t="str" cm="1">
        <f t="array" ref="N138">IF($C138="","",SUMPRODUCT((TEXT($AE$5:$OE$5, "mmm")=LOWER(M$3))*$AE138:$OE138))</f>
        <v/>
      </c>
      <c r="O138" s="34"/>
      <c r="P138" s="34" t="str" cm="1">
        <f t="array" ref="P138">IF($C138="","",SUMPRODUCT((TEXT($AE$5:$OE$5, "mmm")=LOWER(O$3))*$AE138:$OE138))</f>
        <v/>
      </c>
      <c r="Q138" s="34"/>
      <c r="R138" s="34" t="str" cm="1">
        <f t="array" ref="R138">IF($C138="","",SUMPRODUCT((TEXT($AE$5:$OE$5, "mmm")=LOWER(Q$3))*$AE138:$OE138))</f>
        <v/>
      </c>
      <c r="S138" s="34"/>
      <c r="T138" s="34" t="str" cm="1">
        <f t="array" ref="T138">IF($C138="","",SUMPRODUCT((TEXT($AE$5:$OE$5, "mmm")=LOWER(S$3))*$AE138:$OE138))</f>
        <v/>
      </c>
      <c r="U138" s="34"/>
      <c r="V138" s="34" t="str" cm="1">
        <f t="array" ref="V138">IF($C138="","",SUMPRODUCT((TEXT($AE$5:$OE$5, "mmm")=LOWER(U$3))*$AE138:$OE138))</f>
        <v/>
      </c>
      <c r="W138" s="34"/>
      <c r="X138" s="34" t="str" cm="1">
        <f t="array" ref="X138">IF($C138="","",SUMPRODUCT((TEXT($AE$5:$OE$5, "mmm")=LOWER(W$3))*$AE138:$OE138))</f>
        <v/>
      </c>
      <c r="Y138" s="34"/>
      <c r="Z138" s="34" t="str" cm="1">
        <f t="array" ref="Z138">IF($C138="","",SUMPRODUCT((TEXT($AE$5:$OE$5, "mmm")=LOWER(Y$3))*$AE138:$OE138))</f>
        <v/>
      </c>
      <c r="AA138" s="34"/>
      <c r="AB138" s="34" t="str" cm="1">
        <f t="array" ref="AB138">IF($C138="","",SUMPRODUCT((TEXT($AE$5:$OE$5, "mmm")=LOWER(AA$3))*$AE138:$OE138))</f>
        <v/>
      </c>
      <c r="AC138" s="34"/>
      <c r="AD138" s="34" t="str" cm="1">
        <f t="array" ref="AD138">IF($C138="","",SUMPRODUCT((TEXT($AE$5:$OE$5, "mmm")=LOWER(AC$3))*$AE138:$OE138))</f>
        <v/>
      </c>
      <c r="OE138" s="49"/>
    </row>
    <row r="139" spans="1:395">
      <c r="A139" s="35"/>
      <c r="C139" s="2" t="str">
        <f>IF(ISBLANK($B139),"",_xlfn.XLOOKUP($B139,Task_No,Project!$C$3:$C$144,"INVALID TASK"))</f>
        <v/>
      </c>
      <c r="E139" s="7" t="str">
        <f t="shared" si="20"/>
        <v/>
      </c>
      <c r="F139" s="7" t="str">
        <f t="shared" si="19"/>
        <v/>
      </c>
      <c r="G139" s="34"/>
      <c r="H139" s="34" t="str" cm="1">
        <f t="array" ref="H139">IF($C139="","",SUMPRODUCT((TEXT($AE$5:$OE$5, "mmm")=LOWER(G$3))*$AE139:$OE139))</f>
        <v/>
      </c>
      <c r="I139" s="34"/>
      <c r="J139" s="34" t="str" cm="1">
        <f t="array" ref="J139">IF($C139="","",SUMPRODUCT((TEXT($AE$5:$OE$5, "mmm")=LOWER(I$3))*$AE139:$OE139))</f>
        <v/>
      </c>
      <c r="K139" s="34"/>
      <c r="L139" s="34" t="str" cm="1">
        <f t="array" ref="L139">IF($C139="","",SUMPRODUCT((TEXT($AE$5:$OE$5, "mmm")=LOWER(K$3))*$AE139:$OE139))</f>
        <v/>
      </c>
      <c r="M139" s="34"/>
      <c r="N139" s="34" t="str" cm="1">
        <f t="array" ref="N139">IF($C139="","",SUMPRODUCT((TEXT($AE$5:$OE$5, "mmm")=LOWER(M$3))*$AE139:$OE139))</f>
        <v/>
      </c>
      <c r="O139" s="34"/>
      <c r="P139" s="34" t="str" cm="1">
        <f t="array" ref="P139">IF($C139="","",SUMPRODUCT((TEXT($AE$5:$OE$5, "mmm")=LOWER(O$3))*$AE139:$OE139))</f>
        <v/>
      </c>
      <c r="Q139" s="34"/>
      <c r="R139" s="34" t="str" cm="1">
        <f t="array" ref="R139">IF($C139="","",SUMPRODUCT((TEXT($AE$5:$OE$5, "mmm")=LOWER(Q$3))*$AE139:$OE139))</f>
        <v/>
      </c>
      <c r="S139" s="34"/>
      <c r="T139" s="34" t="str" cm="1">
        <f t="array" ref="T139">IF($C139="","",SUMPRODUCT((TEXT($AE$5:$OE$5, "mmm")=LOWER(S$3))*$AE139:$OE139))</f>
        <v/>
      </c>
      <c r="U139" s="34"/>
      <c r="V139" s="34" t="str" cm="1">
        <f t="array" ref="V139">IF($C139="","",SUMPRODUCT((TEXT($AE$5:$OE$5, "mmm")=LOWER(U$3))*$AE139:$OE139))</f>
        <v/>
      </c>
      <c r="W139" s="34"/>
      <c r="X139" s="34" t="str" cm="1">
        <f t="array" ref="X139">IF($C139="","",SUMPRODUCT((TEXT($AE$5:$OE$5, "mmm")=LOWER(W$3))*$AE139:$OE139))</f>
        <v/>
      </c>
      <c r="Y139" s="34"/>
      <c r="Z139" s="34" t="str" cm="1">
        <f t="array" ref="Z139">IF($C139="","",SUMPRODUCT((TEXT($AE$5:$OE$5, "mmm")=LOWER(Y$3))*$AE139:$OE139))</f>
        <v/>
      </c>
      <c r="AA139" s="34"/>
      <c r="AB139" s="34" t="str" cm="1">
        <f t="array" ref="AB139">IF($C139="","",SUMPRODUCT((TEXT($AE$5:$OE$5, "mmm")=LOWER(AA$3))*$AE139:$OE139))</f>
        <v/>
      </c>
      <c r="AC139" s="34"/>
      <c r="AD139" s="34" t="str" cm="1">
        <f t="array" ref="AD139">IF($C139="","",SUMPRODUCT((TEXT($AE$5:$OE$5, "mmm")=LOWER(AC$3))*$AE139:$OE139))</f>
        <v/>
      </c>
      <c r="OE139" s="49"/>
    </row>
    <row r="140" spans="1:395">
      <c r="A140" s="35"/>
      <c r="C140" s="2" t="str">
        <f>IF(ISBLANK($B140),"",_xlfn.XLOOKUP($B140,Task_No,Project!$C$3:$C$144,"INVALID TASK"))</f>
        <v/>
      </c>
      <c r="E140" s="7" t="str">
        <f t="shared" si="20"/>
        <v/>
      </c>
      <c r="F140" s="7" t="str">
        <f t="shared" si="19"/>
        <v/>
      </c>
      <c r="G140" s="34"/>
      <c r="H140" s="34" t="str" cm="1">
        <f t="array" ref="H140">IF($C140="","",SUMPRODUCT((TEXT($AE$5:$OE$5, "mmm")=LOWER(G$3))*$AE140:$OE140))</f>
        <v/>
      </c>
      <c r="I140" s="34"/>
      <c r="J140" s="34" t="str" cm="1">
        <f t="array" ref="J140">IF($C140="","",SUMPRODUCT((TEXT($AE$5:$OE$5, "mmm")=LOWER(I$3))*$AE140:$OE140))</f>
        <v/>
      </c>
      <c r="K140" s="34"/>
      <c r="L140" s="34" t="str" cm="1">
        <f t="array" ref="L140">IF($C140="","",SUMPRODUCT((TEXT($AE$5:$OE$5, "mmm")=LOWER(K$3))*$AE140:$OE140))</f>
        <v/>
      </c>
      <c r="M140" s="34"/>
      <c r="N140" s="34" t="str" cm="1">
        <f t="array" ref="N140">IF($C140="","",SUMPRODUCT((TEXT($AE$5:$OE$5, "mmm")=LOWER(M$3))*$AE140:$OE140))</f>
        <v/>
      </c>
      <c r="O140" s="34"/>
      <c r="P140" s="34" t="str" cm="1">
        <f t="array" ref="P140">IF($C140="","",SUMPRODUCT((TEXT($AE$5:$OE$5, "mmm")=LOWER(O$3))*$AE140:$OE140))</f>
        <v/>
      </c>
      <c r="Q140" s="34"/>
      <c r="R140" s="34" t="str" cm="1">
        <f t="array" ref="R140">IF($C140="","",SUMPRODUCT((TEXT($AE$5:$OE$5, "mmm")=LOWER(Q$3))*$AE140:$OE140))</f>
        <v/>
      </c>
      <c r="S140" s="34"/>
      <c r="T140" s="34" t="str" cm="1">
        <f t="array" ref="T140">IF($C140="","",SUMPRODUCT((TEXT($AE$5:$OE$5, "mmm")=LOWER(S$3))*$AE140:$OE140))</f>
        <v/>
      </c>
      <c r="U140" s="34"/>
      <c r="V140" s="34" t="str" cm="1">
        <f t="array" ref="V140">IF($C140="","",SUMPRODUCT((TEXT($AE$5:$OE$5, "mmm")=LOWER(U$3))*$AE140:$OE140))</f>
        <v/>
      </c>
      <c r="W140" s="34"/>
      <c r="X140" s="34" t="str" cm="1">
        <f t="array" ref="X140">IF($C140="","",SUMPRODUCT((TEXT($AE$5:$OE$5, "mmm")=LOWER(W$3))*$AE140:$OE140))</f>
        <v/>
      </c>
      <c r="Y140" s="34"/>
      <c r="Z140" s="34" t="str" cm="1">
        <f t="array" ref="Z140">IF($C140="","",SUMPRODUCT((TEXT($AE$5:$OE$5, "mmm")=LOWER(Y$3))*$AE140:$OE140))</f>
        <v/>
      </c>
      <c r="AA140" s="34"/>
      <c r="AB140" s="34" t="str" cm="1">
        <f t="array" ref="AB140">IF($C140="","",SUMPRODUCT((TEXT($AE$5:$OE$5, "mmm")=LOWER(AA$3))*$AE140:$OE140))</f>
        <v/>
      </c>
      <c r="AC140" s="34"/>
      <c r="AD140" s="34" t="str" cm="1">
        <f t="array" ref="AD140">IF($C140="","",SUMPRODUCT((TEXT($AE$5:$OE$5, "mmm")=LOWER(AC$3))*$AE140:$OE140))</f>
        <v/>
      </c>
      <c r="OE140" s="49"/>
    </row>
    <row r="141" spans="1:395">
      <c r="A141" s="35"/>
      <c r="C141" s="2" t="str">
        <f>IF(ISBLANK($B141),"",_xlfn.XLOOKUP($B141,Task_No,Project!$C$3:$C$144,"INVALID TASK"))</f>
        <v/>
      </c>
      <c r="E141" s="7" t="str">
        <f t="shared" si="20"/>
        <v/>
      </c>
      <c r="F141" s="7" t="str">
        <f t="shared" si="19"/>
        <v/>
      </c>
      <c r="G141" s="34"/>
      <c r="H141" s="34" t="str" cm="1">
        <f t="array" ref="H141">IF($C141="","",SUMPRODUCT((TEXT($AE$5:$OE$5, "mmm")=LOWER(G$3))*$AE141:$OE141))</f>
        <v/>
      </c>
      <c r="I141" s="34"/>
      <c r="J141" s="34" t="str" cm="1">
        <f t="array" ref="J141">IF($C141="","",SUMPRODUCT((TEXT($AE$5:$OE$5, "mmm")=LOWER(I$3))*$AE141:$OE141))</f>
        <v/>
      </c>
      <c r="K141" s="34"/>
      <c r="L141" s="34" t="str" cm="1">
        <f t="array" ref="L141">IF($C141="","",SUMPRODUCT((TEXT($AE$5:$OE$5, "mmm")=LOWER(K$3))*$AE141:$OE141))</f>
        <v/>
      </c>
      <c r="M141" s="34"/>
      <c r="N141" s="34" t="str" cm="1">
        <f t="array" ref="N141">IF($C141="","",SUMPRODUCT((TEXT($AE$5:$OE$5, "mmm")=LOWER(M$3))*$AE141:$OE141))</f>
        <v/>
      </c>
      <c r="O141" s="34"/>
      <c r="P141" s="34" t="str" cm="1">
        <f t="array" ref="P141">IF($C141="","",SUMPRODUCT((TEXT($AE$5:$OE$5, "mmm")=LOWER(O$3))*$AE141:$OE141))</f>
        <v/>
      </c>
      <c r="Q141" s="34"/>
      <c r="R141" s="34" t="str" cm="1">
        <f t="array" ref="R141">IF($C141="","",SUMPRODUCT((TEXT($AE$5:$OE$5, "mmm")=LOWER(Q$3))*$AE141:$OE141))</f>
        <v/>
      </c>
      <c r="S141" s="34"/>
      <c r="T141" s="34" t="str" cm="1">
        <f t="array" ref="T141">IF($C141="","",SUMPRODUCT((TEXT($AE$5:$OE$5, "mmm")=LOWER(S$3))*$AE141:$OE141))</f>
        <v/>
      </c>
      <c r="U141" s="34"/>
      <c r="V141" s="34" t="str" cm="1">
        <f t="array" ref="V141">IF($C141="","",SUMPRODUCT((TEXT($AE$5:$OE$5, "mmm")=LOWER(U$3))*$AE141:$OE141))</f>
        <v/>
      </c>
      <c r="W141" s="34"/>
      <c r="X141" s="34" t="str" cm="1">
        <f t="array" ref="X141">IF($C141="","",SUMPRODUCT((TEXT($AE$5:$OE$5, "mmm")=LOWER(W$3))*$AE141:$OE141))</f>
        <v/>
      </c>
      <c r="Y141" s="34"/>
      <c r="Z141" s="34" t="str" cm="1">
        <f t="array" ref="Z141">IF($C141="","",SUMPRODUCT((TEXT($AE$5:$OE$5, "mmm")=LOWER(Y$3))*$AE141:$OE141))</f>
        <v/>
      </c>
      <c r="AA141" s="34"/>
      <c r="AB141" s="34" t="str" cm="1">
        <f t="array" ref="AB141">IF($C141="","",SUMPRODUCT((TEXT($AE$5:$OE$5, "mmm")=LOWER(AA$3))*$AE141:$OE141))</f>
        <v/>
      </c>
      <c r="AC141" s="34"/>
      <c r="AD141" s="34" t="str" cm="1">
        <f t="array" ref="AD141">IF($C141="","",SUMPRODUCT((TEXT($AE$5:$OE$5, "mmm")=LOWER(AC$3))*$AE141:$OE141))</f>
        <v/>
      </c>
      <c r="OE141" s="49"/>
    </row>
    <row r="142" spans="1:395">
      <c r="A142" s="35"/>
      <c r="C142" s="2" t="str">
        <f>IF(ISBLANK($B142),"",_xlfn.XLOOKUP($B142,Task_No,Project!$C$3:$C$144,"INVALID TASK"))</f>
        <v/>
      </c>
      <c r="E142" s="7" t="str">
        <f t="shared" si="20"/>
        <v/>
      </c>
      <c r="F142" s="7" t="str">
        <f t="shared" si="19"/>
        <v/>
      </c>
      <c r="G142" s="34"/>
      <c r="H142" s="34" t="str" cm="1">
        <f t="array" ref="H142">IF($C142="","",SUMPRODUCT((TEXT($AE$5:$OE$5, "mmm")=LOWER(G$3))*$AE142:$OE142))</f>
        <v/>
      </c>
      <c r="I142" s="34"/>
      <c r="J142" s="34" t="str" cm="1">
        <f t="array" ref="J142">IF($C142="","",SUMPRODUCT((TEXT($AE$5:$OE$5, "mmm")=LOWER(I$3))*$AE142:$OE142))</f>
        <v/>
      </c>
      <c r="K142" s="34"/>
      <c r="L142" s="34" t="str" cm="1">
        <f t="array" ref="L142">IF($C142="","",SUMPRODUCT((TEXT($AE$5:$OE$5, "mmm")=LOWER(K$3))*$AE142:$OE142))</f>
        <v/>
      </c>
      <c r="M142" s="34"/>
      <c r="N142" s="34" t="str" cm="1">
        <f t="array" ref="N142">IF($C142="","",SUMPRODUCT((TEXT($AE$5:$OE$5, "mmm")=LOWER(M$3))*$AE142:$OE142))</f>
        <v/>
      </c>
      <c r="O142" s="34"/>
      <c r="P142" s="34" t="str" cm="1">
        <f t="array" ref="P142">IF($C142="","",SUMPRODUCT((TEXT($AE$5:$OE$5, "mmm")=LOWER(O$3))*$AE142:$OE142))</f>
        <v/>
      </c>
      <c r="Q142" s="34"/>
      <c r="R142" s="34" t="str" cm="1">
        <f t="array" ref="R142">IF($C142="","",SUMPRODUCT((TEXT($AE$5:$OE$5, "mmm")=LOWER(Q$3))*$AE142:$OE142))</f>
        <v/>
      </c>
      <c r="S142" s="34"/>
      <c r="T142" s="34" t="str" cm="1">
        <f t="array" ref="T142">IF($C142="","",SUMPRODUCT((TEXT($AE$5:$OE$5, "mmm")=LOWER(S$3))*$AE142:$OE142))</f>
        <v/>
      </c>
      <c r="U142" s="34"/>
      <c r="V142" s="34" t="str" cm="1">
        <f t="array" ref="V142">IF($C142="","",SUMPRODUCT((TEXT($AE$5:$OE$5, "mmm")=LOWER(U$3))*$AE142:$OE142))</f>
        <v/>
      </c>
      <c r="W142" s="34"/>
      <c r="X142" s="34" t="str" cm="1">
        <f t="array" ref="X142">IF($C142="","",SUMPRODUCT((TEXT($AE$5:$OE$5, "mmm")=LOWER(W$3))*$AE142:$OE142))</f>
        <v/>
      </c>
      <c r="Y142" s="34"/>
      <c r="Z142" s="34" t="str" cm="1">
        <f t="array" ref="Z142">IF($C142="","",SUMPRODUCT((TEXT($AE$5:$OE$5, "mmm")=LOWER(Y$3))*$AE142:$OE142))</f>
        <v/>
      </c>
      <c r="AA142" s="34"/>
      <c r="AB142" s="34" t="str" cm="1">
        <f t="array" ref="AB142">IF($C142="","",SUMPRODUCT((TEXT($AE$5:$OE$5, "mmm")=LOWER(AA$3))*$AE142:$OE142))</f>
        <v/>
      </c>
      <c r="AC142" s="34"/>
      <c r="AD142" s="34" t="str" cm="1">
        <f t="array" ref="AD142">IF($C142="","",SUMPRODUCT((TEXT($AE$5:$OE$5, "mmm")=LOWER(AC$3))*$AE142:$OE142))</f>
        <v/>
      </c>
      <c r="OE142" s="49"/>
    </row>
    <row r="143" spans="1:395">
      <c r="A143" s="35"/>
      <c r="C143" s="2" t="str">
        <f>IF(ISBLANK($B143),"",_xlfn.XLOOKUP($B143,Task_No,Project!$C$3:$C$144,"INVALID TASK"))</f>
        <v/>
      </c>
      <c r="E143" s="7" t="str">
        <f t="shared" si="20"/>
        <v/>
      </c>
      <c r="F143" s="7" t="str">
        <f t="shared" si="19"/>
        <v/>
      </c>
      <c r="G143" s="34"/>
      <c r="H143" s="34" t="str" cm="1">
        <f t="array" ref="H143">IF($C143="","",SUMPRODUCT((TEXT($AE$5:$OE$5, "mmm")=LOWER(G$3))*$AE143:$OE143))</f>
        <v/>
      </c>
      <c r="I143" s="34"/>
      <c r="J143" s="34" t="str" cm="1">
        <f t="array" ref="J143">IF($C143="","",SUMPRODUCT((TEXT($AE$5:$OE$5, "mmm")=LOWER(I$3))*$AE143:$OE143))</f>
        <v/>
      </c>
      <c r="K143" s="34"/>
      <c r="L143" s="34" t="str" cm="1">
        <f t="array" ref="L143">IF($C143="","",SUMPRODUCT((TEXT($AE$5:$OE$5, "mmm")=LOWER(K$3))*$AE143:$OE143))</f>
        <v/>
      </c>
      <c r="M143" s="34"/>
      <c r="N143" s="34" t="str" cm="1">
        <f t="array" ref="N143">IF($C143="","",SUMPRODUCT((TEXT($AE$5:$OE$5, "mmm")=LOWER(M$3))*$AE143:$OE143))</f>
        <v/>
      </c>
      <c r="O143" s="34"/>
      <c r="P143" s="34" t="str" cm="1">
        <f t="array" ref="P143">IF($C143="","",SUMPRODUCT((TEXT($AE$5:$OE$5, "mmm")=LOWER(O$3))*$AE143:$OE143))</f>
        <v/>
      </c>
      <c r="Q143" s="34"/>
      <c r="R143" s="34" t="str" cm="1">
        <f t="array" ref="R143">IF($C143="","",SUMPRODUCT((TEXT($AE$5:$OE$5, "mmm")=LOWER(Q$3))*$AE143:$OE143))</f>
        <v/>
      </c>
      <c r="S143" s="34"/>
      <c r="T143" s="34" t="str" cm="1">
        <f t="array" ref="T143">IF($C143="","",SUMPRODUCT((TEXT($AE$5:$OE$5, "mmm")=LOWER(S$3))*$AE143:$OE143))</f>
        <v/>
      </c>
      <c r="U143" s="34"/>
      <c r="V143" s="34" t="str" cm="1">
        <f t="array" ref="V143">IF($C143="","",SUMPRODUCT((TEXT($AE$5:$OE$5, "mmm")=LOWER(U$3))*$AE143:$OE143))</f>
        <v/>
      </c>
      <c r="W143" s="34"/>
      <c r="X143" s="34" t="str" cm="1">
        <f t="array" ref="X143">IF($C143="","",SUMPRODUCT((TEXT($AE$5:$OE$5, "mmm")=LOWER(W$3))*$AE143:$OE143))</f>
        <v/>
      </c>
      <c r="Y143" s="34"/>
      <c r="Z143" s="34" t="str" cm="1">
        <f t="array" ref="Z143">IF($C143="","",SUMPRODUCT((TEXT($AE$5:$OE$5, "mmm")=LOWER(Y$3))*$AE143:$OE143))</f>
        <v/>
      </c>
      <c r="AA143" s="34"/>
      <c r="AB143" s="34" t="str" cm="1">
        <f t="array" ref="AB143">IF($C143="","",SUMPRODUCT((TEXT($AE$5:$OE$5, "mmm")=LOWER(AA$3))*$AE143:$OE143))</f>
        <v/>
      </c>
      <c r="AC143" s="34"/>
      <c r="AD143" s="34" t="str" cm="1">
        <f t="array" ref="AD143">IF($C143="","",SUMPRODUCT((TEXT($AE$5:$OE$5, "mmm")=LOWER(AC$3))*$AE143:$OE143))</f>
        <v/>
      </c>
      <c r="OE143" s="49"/>
    </row>
    <row r="144" spans="1:395">
      <c r="A144" s="35"/>
      <c r="C144" s="2" t="str">
        <f>IF(ISBLANK($B144),"",_xlfn.XLOOKUP($B144,Task_No,Project!$C$3:$C$144,"INVALID TASK"))</f>
        <v/>
      </c>
      <c r="E144" s="7" t="str">
        <f t="shared" si="20"/>
        <v/>
      </c>
      <c r="F144" s="7" t="str">
        <f t="shared" ref="F144:F150" si="21">IF(C144 = "", "", SUM($H144,$J144,$L144,$N144,$P144,$R144,$T144,$V144,$X144,$Z144,$AB144,$AD144))</f>
        <v/>
      </c>
      <c r="G144" s="34"/>
      <c r="H144" s="34" t="str" cm="1">
        <f t="array" ref="H144">IF($C144="","",SUMPRODUCT((TEXT($AE$5:$OE$5, "mmm")=LOWER(G$3))*$AE144:$OE144))</f>
        <v/>
      </c>
      <c r="I144" s="34"/>
      <c r="J144" s="34" t="str" cm="1">
        <f t="array" ref="J144">IF($C144="","",SUMPRODUCT((TEXT($AE$5:$OE$5, "mmm")=LOWER(I$3))*$AE144:$OE144))</f>
        <v/>
      </c>
      <c r="K144" s="34"/>
      <c r="L144" s="34" t="str" cm="1">
        <f t="array" ref="L144">IF($C144="","",SUMPRODUCT((TEXT($AE$5:$OE$5, "mmm")=LOWER(K$3))*$AE144:$OE144))</f>
        <v/>
      </c>
      <c r="M144" s="34"/>
      <c r="N144" s="34" t="str" cm="1">
        <f t="array" ref="N144">IF($C144="","",SUMPRODUCT((TEXT($AE$5:$OE$5, "mmm")=LOWER(M$3))*$AE144:$OE144))</f>
        <v/>
      </c>
      <c r="O144" s="34"/>
      <c r="P144" s="34" t="str" cm="1">
        <f t="array" ref="P144">IF($C144="","",SUMPRODUCT((TEXT($AE$5:$OE$5, "mmm")=LOWER(O$3))*$AE144:$OE144))</f>
        <v/>
      </c>
      <c r="Q144" s="34"/>
      <c r="R144" s="34" t="str" cm="1">
        <f t="array" ref="R144">IF($C144="","",SUMPRODUCT((TEXT($AE$5:$OE$5, "mmm")=LOWER(Q$3))*$AE144:$OE144))</f>
        <v/>
      </c>
      <c r="S144" s="34"/>
      <c r="T144" s="34" t="str" cm="1">
        <f t="array" ref="T144">IF($C144="","",SUMPRODUCT((TEXT($AE$5:$OE$5, "mmm")=LOWER(S$3))*$AE144:$OE144))</f>
        <v/>
      </c>
      <c r="U144" s="34"/>
      <c r="V144" s="34" t="str" cm="1">
        <f t="array" ref="V144">IF($C144="","",SUMPRODUCT((TEXT($AE$5:$OE$5, "mmm")=LOWER(U$3))*$AE144:$OE144))</f>
        <v/>
      </c>
      <c r="W144" s="34"/>
      <c r="X144" s="34" t="str" cm="1">
        <f t="array" ref="X144">IF($C144="","",SUMPRODUCT((TEXT($AE$5:$OE$5, "mmm")=LOWER(W$3))*$AE144:$OE144))</f>
        <v/>
      </c>
      <c r="Y144" s="34"/>
      <c r="Z144" s="34" t="str" cm="1">
        <f t="array" ref="Z144">IF($C144="","",SUMPRODUCT((TEXT($AE$5:$OE$5, "mmm")=LOWER(Y$3))*$AE144:$OE144))</f>
        <v/>
      </c>
      <c r="AA144" s="34"/>
      <c r="AB144" s="34" t="str" cm="1">
        <f t="array" ref="AB144">IF($C144="","",SUMPRODUCT((TEXT($AE$5:$OE$5, "mmm")=LOWER(AA$3))*$AE144:$OE144))</f>
        <v/>
      </c>
      <c r="AC144" s="34"/>
      <c r="AD144" s="34" t="str" cm="1">
        <f t="array" ref="AD144">IF($C144="","",SUMPRODUCT((TEXT($AE$5:$OE$5, "mmm")=LOWER(AC$3))*$AE144:$OE144))</f>
        <v/>
      </c>
      <c r="OE144" s="49"/>
    </row>
    <row r="145" spans="1:395">
      <c r="A145" s="35"/>
      <c r="C145" s="2" t="str">
        <f>IF(ISBLANK($B145),"",_xlfn.XLOOKUP($B145,Task_No,Project!$C$3:$C$144,"INVALID TASK"))</f>
        <v/>
      </c>
      <c r="E145" s="7" t="str">
        <f t="shared" ref="E145:E150" si="22">IF(C145="","",SUM($G145,$I145,$K145,$M145,$O145,$Q145,$S145,$U145,$W145,$Y145,$AA145,$AC145))</f>
        <v/>
      </c>
      <c r="F145" s="7" t="str">
        <f t="shared" si="21"/>
        <v/>
      </c>
      <c r="G145" s="34"/>
      <c r="H145" s="34" t="str" cm="1">
        <f t="array" ref="H145">IF($C145="","",SUMPRODUCT((TEXT($AE$5:$OE$5, "mmm")=LOWER(G$3))*$AE145:$OE145))</f>
        <v/>
      </c>
      <c r="I145" s="34"/>
      <c r="J145" s="34" t="str" cm="1">
        <f t="array" ref="J145">IF($C145="","",SUMPRODUCT((TEXT($AE$5:$OE$5, "mmm")=LOWER(I$3))*$AE145:$OE145))</f>
        <v/>
      </c>
      <c r="K145" s="34"/>
      <c r="L145" s="34" t="str" cm="1">
        <f t="array" ref="L145">IF($C145="","",SUMPRODUCT((TEXT($AE$5:$OE$5, "mmm")=LOWER(K$3))*$AE145:$OE145))</f>
        <v/>
      </c>
      <c r="M145" s="34"/>
      <c r="N145" s="34" t="str" cm="1">
        <f t="array" ref="N145">IF($C145="","",SUMPRODUCT((TEXT($AE$5:$OE$5, "mmm")=LOWER(M$3))*$AE145:$OE145))</f>
        <v/>
      </c>
      <c r="O145" s="34"/>
      <c r="P145" s="34" t="str" cm="1">
        <f t="array" ref="P145">IF($C145="","",SUMPRODUCT((TEXT($AE$5:$OE$5, "mmm")=LOWER(O$3))*$AE145:$OE145))</f>
        <v/>
      </c>
      <c r="Q145" s="34"/>
      <c r="R145" s="34" t="str" cm="1">
        <f t="array" ref="R145">IF($C145="","",SUMPRODUCT((TEXT($AE$5:$OE$5, "mmm")=LOWER(Q$3))*$AE145:$OE145))</f>
        <v/>
      </c>
      <c r="S145" s="34"/>
      <c r="T145" s="34" t="str" cm="1">
        <f t="array" ref="T145">IF($C145="","",SUMPRODUCT((TEXT($AE$5:$OE$5, "mmm")=LOWER(S$3))*$AE145:$OE145))</f>
        <v/>
      </c>
      <c r="U145" s="34"/>
      <c r="V145" s="34" t="str" cm="1">
        <f t="array" ref="V145">IF($C145="","",SUMPRODUCT((TEXT($AE$5:$OE$5, "mmm")=LOWER(U$3))*$AE145:$OE145))</f>
        <v/>
      </c>
      <c r="W145" s="34"/>
      <c r="X145" s="34" t="str" cm="1">
        <f t="array" ref="X145">IF($C145="","",SUMPRODUCT((TEXT($AE$5:$OE$5, "mmm")=LOWER(W$3))*$AE145:$OE145))</f>
        <v/>
      </c>
      <c r="Y145" s="34"/>
      <c r="Z145" s="34" t="str" cm="1">
        <f t="array" ref="Z145">IF($C145="","",SUMPRODUCT((TEXT($AE$5:$OE$5, "mmm")=LOWER(Y$3))*$AE145:$OE145))</f>
        <v/>
      </c>
      <c r="AA145" s="34"/>
      <c r="AB145" s="34" t="str" cm="1">
        <f t="array" ref="AB145">IF($C145="","",SUMPRODUCT((TEXT($AE$5:$OE$5, "mmm")=LOWER(AA$3))*$AE145:$OE145))</f>
        <v/>
      </c>
      <c r="AC145" s="34"/>
      <c r="AD145" s="34" t="str" cm="1">
        <f t="array" ref="AD145">IF($C145="","",SUMPRODUCT((TEXT($AE$5:$OE$5, "mmm")=LOWER(AC$3))*$AE145:$OE145))</f>
        <v/>
      </c>
      <c r="OE145" s="49"/>
    </row>
    <row r="146" spans="1:395">
      <c r="A146" s="35"/>
      <c r="C146" s="2" t="str">
        <f>IF(ISBLANK($B146),"",_xlfn.XLOOKUP($B146,Task_No,Project!$C$3:$C$144,"INVALID TASK"))</f>
        <v/>
      </c>
      <c r="E146" s="7" t="str">
        <f t="shared" si="22"/>
        <v/>
      </c>
      <c r="F146" s="7" t="str">
        <f t="shared" si="21"/>
        <v/>
      </c>
      <c r="G146" s="34"/>
      <c r="H146" s="34" t="str" cm="1">
        <f t="array" ref="H146">IF($C146="","",SUMPRODUCT((TEXT($AE$5:$OE$5, "mmm")=LOWER(G$3))*$AE146:$OE146))</f>
        <v/>
      </c>
      <c r="I146" s="34"/>
      <c r="J146" s="34" t="str" cm="1">
        <f t="array" ref="J146">IF($C146="","",SUMPRODUCT((TEXT($AE$5:$OE$5, "mmm")=LOWER(I$3))*$AE146:$OE146))</f>
        <v/>
      </c>
      <c r="K146" s="34"/>
      <c r="L146" s="34" t="str" cm="1">
        <f t="array" ref="L146">IF($C146="","",SUMPRODUCT((TEXT($AE$5:$OE$5, "mmm")=LOWER(K$3))*$AE146:$OE146))</f>
        <v/>
      </c>
      <c r="M146" s="34"/>
      <c r="N146" s="34" t="str" cm="1">
        <f t="array" ref="N146">IF($C146="","",SUMPRODUCT((TEXT($AE$5:$OE$5, "mmm")=LOWER(M$3))*$AE146:$OE146))</f>
        <v/>
      </c>
      <c r="O146" s="34"/>
      <c r="P146" s="34" t="str" cm="1">
        <f t="array" ref="P146">IF($C146="","",SUMPRODUCT((TEXT($AE$5:$OE$5, "mmm")=LOWER(O$3))*$AE146:$OE146))</f>
        <v/>
      </c>
      <c r="Q146" s="34"/>
      <c r="R146" s="34" t="str" cm="1">
        <f t="array" ref="R146">IF($C146="","",SUMPRODUCT((TEXT($AE$5:$OE$5, "mmm")=LOWER(Q$3))*$AE146:$OE146))</f>
        <v/>
      </c>
      <c r="S146" s="34"/>
      <c r="T146" s="34" t="str" cm="1">
        <f t="array" ref="T146">IF($C146="","",SUMPRODUCT((TEXT($AE$5:$OE$5, "mmm")=LOWER(S$3))*$AE146:$OE146))</f>
        <v/>
      </c>
      <c r="U146" s="34"/>
      <c r="V146" s="34" t="str" cm="1">
        <f t="array" ref="V146">IF($C146="","",SUMPRODUCT((TEXT($AE$5:$OE$5, "mmm")=LOWER(U$3))*$AE146:$OE146))</f>
        <v/>
      </c>
      <c r="W146" s="34"/>
      <c r="X146" s="34" t="str" cm="1">
        <f t="array" ref="X146">IF($C146="","",SUMPRODUCT((TEXT($AE$5:$OE$5, "mmm")=LOWER(W$3))*$AE146:$OE146))</f>
        <v/>
      </c>
      <c r="Y146" s="34"/>
      <c r="Z146" s="34" t="str" cm="1">
        <f t="array" ref="Z146">IF($C146="","",SUMPRODUCT((TEXT($AE$5:$OE$5, "mmm")=LOWER(Y$3))*$AE146:$OE146))</f>
        <v/>
      </c>
      <c r="AA146" s="34"/>
      <c r="AB146" s="34" t="str" cm="1">
        <f t="array" ref="AB146">IF($C146="","",SUMPRODUCT((TEXT($AE$5:$OE$5, "mmm")=LOWER(AA$3))*$AE146:$OE146))</f>
        <v/>
      </c>
      <c r="AC146" s="34"/>
      <c r="AD146" s="34" t="str" cm="1">
        <f t="array" ref="AD146">IF($C146="","",SUMPRODUCT((TEXT($AE$5:$OE$5, "mmm")=LOWER(AC$3))*$AE146:$OE146))</f>
        <v/>
      </c>
      <c r="OE146" s="49"/>
    </row>
    <row r="147" spans="1:395">
      <c r="A147" s="35"/>
      <c r="C147" s="2" t="str">
        <f>IF(ISBLANK($B147),"",_xlfn.XLOOKUP($B147,Task_No,Project!$C$3:$C$144,"INVALID TASK"))</f>
        <v/>
      </c>
      <c r="E147" s="7" t="str">
        <f t="shared" si="22"/>
        <v/>
      </c>
      <c r="F147" s="7" t="str">
        <f t="shared" si="21"/>
        <v/>
      </c>
      <c r="G147" s="34"/>
      <c r="H147" s="34" t="str" cm="1">
        <f t="array" ref="H147">IF($C147="","",SUMPRODUCT((TEXT($AE$5:$OE$5, "mmm")=LOWER(G$3))*$AE147:$OE147))</f>
        <v/>
      </c>
      <c r="I147" s="34"/>
      <c r="J147" s="34" t="str" cm="1">
        <f t="array" ref="J147">IF($C147="","",SUMPRODUCT((TEXT($AE$5:$OE$5, "mmm")=LOWER(I$3))*$AE147:$OE147))</f>
        <v/>
      </c>
      <c r="K147" s="34"/>
      <c r="L147" s="34" t="str" cm="1">
        <f t="array" ref="L147">IF($C147="","",SUMPRODUCT((TEXT($AE$5:$OE$5, "mmm")=LOWER(K$3))*$AE147:$OE147))</f>
        <v/>
      </c>
      <c r="M147" s="34"/>
      <c r="N147" s="34" t="str" cm="1">
        <f t="array" ref="N147">IF($C147="","",SUMPRODUCT((TEXT($AE$5:$OE$5, "mmm")=LOWER(M$3))*$AE147:$OE147))</f>
        <v/>
      </c>
      <c r="O147" s="34"/>
      <c r="P147" s="34" t="str" cm="1">
        <f t="array" ref="P147">IF($C147="","",SUMPRODUCT((TEXT($AE$5:$OE$5, "mmm")=LOWER(O$3))*$AE147:$OE147))</f>
        <v/>
      </c>
      <c r="Q147" s="34"/>
      <c r="R147" s="34" t="str" cm="1">
        <f t="array" ref="R147">IF($C147="","",SUMPRODUCT((TEXT($AE$5:$OE$5, "mmm")=LOWER(Q$3))*$AE147:$OE147))</f>
        <v/>
      </c>
      <c r="S147" s="34"/>
      <c r="T147" s="34" t="str" cm="1">
        <f t="array" ref="T147">IF($C147="","",SUMPRODUCT((TEXT($AE$5:$OE$5, "mmm")=LOWER(S$3))*$AE147:$OE147))</f>
        <v/>
      </c>
      <c r="U147" s="34"/>
      <c r="V147" s="34" t="str" cm="1">
        <f t="array" ref="V147">IF($C147="","",SUMPRODUCT((TEXT($AE$5:$OE$5, "mmm")=LOWER(U$3))*$AE147:$OE147))</f>
        <v/>
      </c>
      <c r="W147" s="34"/>
      <c r="X147" s="34" t="str" cm="1">
        <f t="array" ref="X147">IF($C147="","",SUMPRODUCT((TEXT($AE$5:$OE$5, "mmm")=LOWER(W$3))*$AE147:$OE147))</f>
        <v/>
      </c>
      <c r="Y147" s="34"/>
      <c r="Z147" s="34" t="str" cm="1">
        <f t="array" ref="Z147">IF($C147="","",SUMPRODUCT((TEXT($AE$5:$OE$5, "mmm")=LOWER(Y$3))*$AE147:$OE147))</f>
        <v/>
      </c>
      <c r="AA147" s="34"/>
      <c r="AB147" s="34" t="str" cm="1">
        <f t="array" ref="AB147">IF($C147="","",SUMPRODUCT((TEXT($AE$5:$OE$5, "mmm")=LOWER(AA$3))*$AE147:$OE147))</f>
        <v/>
      </c>
      <c r="AC147" s="34"/>
      <c r="AD147" s="34" t="str" cm="1">
        <f t="array" ref="AD147">IF($C147="","",SUMPRODUCT((TEXT($AE$5:$OE$5, "mmm")=LOWER(AC$3))*$AE147:$OE147))</f>
        <v/>
      </c>
      <c r="OE147" s="49"/>
    </row>
    <row r="148" spans="1:395">
      <c r="A148" s="35"/>
      <c r="C148" s="2" t="str">
        <f>IF(ISBLANK($B148),"",_xlfn.XLOOKUP($B148,Task_No,Project!$C$3:$C$144,"INVALID TASK"))</f>
        <v/>
      </c>
      <c r="E148" s="7" t="str">
        <f t="shared" si="22"/>
        <v/>
      </c>
      <c r="F148" s="7" t="str">
        <f t="shared" si="21"/>
        <v/>
      </c>
      <c r="G148" s="34"/>
      <c r="H148" s="34" t="str" cm="1">
        <f t="array" ref="H148">IF($C148="","",SUMPRODUCT((TEXT($AE$5:$OE$5, "mmm")=LOWER(G$3))*$AE148:$OE148))</f>
        <v/>
      </c>
      <c r="I148" s="34"/>
      <c r="J148" s="34" t="str" cm="1">
        <f t="array" ref="J148">IF($C148="","",SUMPRODUCT((TEXT($AE$5:$OE$5, "mmm")=LOWER(I$3))*$AE148:$OE148))</f>
        <v/>
      </c>
      <c r="K148" s="34"/>
      <c r="L148" s="34" t="str" cm="1">
        <f t="array" ref="L148">IF($C148="","",SUMPRODUCT((TEXT($AE$5:$OE$5, "mmm")=LOWER(K$3))*$AE148:$OE148))</f>
        <v/>
      </c>
      <c r="M148" s="34"/>
      <c r="N148" s="34" t="str" cm="1">
        <f t="array" ref="N148">IF($C148="","",SUMPRODUCT((TEXT($AE$5:$OE$5, "mmm")=LOWER(M$3))*$AE148:$OE148))</f>
        <v/>
      </c>
      <c r="O148" s="34"/>
      <c r="P148" s="34" t="str" cm="1">
        <f t="array" ref="P148">IF($C148="","",SUMPRODUCT((TEXT($AE$5:$OE$5, "mmm")=LOWER(O$3))*$AE148:$OE148))</f>
        <v/>
      </c>
      <c r="Q148" s="34"/>
      <c r="R148" s="34" t="str" cm="1">
        <f t="array" ref="R148">IF($C148="","",SUMPRODUCT((TEXT($AE$5:$OE$5, "mmm")=LOWER(Q$3))*$AE148:$OE148))</f>
        <v/>
      </c>
      <c r="S148" s="34"/>
      <c r="T148" s="34" t="str" cm="1">
        <f t="array" ref="T148">IF($C148="","",SUMPRODUCT((TEXT($AE$5:$OE$5, "mmm")=LOWER(S$3))*$AE148:$OE148))</f>
        <v/>
      </c>
      <c r="U148" s="34"/>
      <c r="V148" s="34" t="str" cm="1">
        <f t="array" ref="V148">IF($C148="","",SUMPRODUCT((TEXT($AE$5:$OE$5, "mmm")=LOWER(U$3))*$AE148:$OE148))</f>
        <v/>
      </c>
      <c r="W148" s="34"/>
      <c r="X148" s="34" t="str" cm="1">
        <f t="array" ref="X148">IF($C148="","",SUMPRODUCT((TEXT($AE$5:$OE$5, "mmm")=LOWER(W$3))*$AE148:$OE148))</f>
        <v/>
      </c>
      <c r="Y148" s="34"/>
      <c r="Z148" s="34" t="str" cm="1">
        <f t="array" ref="Z148">IF($C148="","",SUMPRODUCT((TEXT($AE$5:$OE$5, "mmm")=LOWER(Y$3))*$AE148:$OE148))</f>
        <v/>
      </c>
      <c r="AA148" s="34"/>
      <c r="AB148" s="34" t="str" cm="1">
        <f t="array" ref="AB148">IF($C148="","",SUMPRODUCT((TEXT($AE$5:$OE$5, "mmm")=LOWER(AA$3))*$AE148:$OE148))</f>
        <v/>
      </c>
      <c r="AC148" s="34"/>
      <c r="AD148" s="34" t="str" cm="1">
        <f t="array" ref="AD148">IF($C148="","",SUMPRODUCT((TEXT($AE$5:$OE$5, "mmm")=LOWER(AC$3))*$AE148:$OE148))</f>
        <v/>
      </c>
      <c r="OE148" s="49"/>
    </row>
    <row r="149" spans="1:395">
      <c r="A149" s="35"/>
      <c r="C149" s="2" t="str">
        <f>IF(ISBLANK($B149),"",_xlfn.XLOOKUP($B149,Task_No,Project!$C$3:$C$144,"INVALID TASK"))</f>
        <v/>
      </c>
      <c r="E149" s="7" t="str">
        <f t="shared" si="22"/>
        <v/>
      </c>
      <c r="F149" s="7" t="str">
        <f t="shared" si="21"/>
        <v/>
      </c>
      <c r="G149" s="34"/>
      <c r="H149" s="34" t="str" cm="1">
        <f t="array" ref="H149">IF($C149="","",SUMPRODUCT((TEXT($AE$5:$OE$5, "mmm")=LOWER(G$3))*$AE149:$OE149))</f>
        <v/>
      </c>
      <c r="I149" s="34"/>
      <c r="J149" s="34" t="str" cm="1">
        <f t="array" ref="J149">IF($C149="","",SUMPRODUCT((TEXT($AE$5:$OE$5, "mmm")=LOWER(I$3))*$AE149:$OE149))</f>
        <v/>
      </c>
      <c r="K149" s="34"/>
      <c r="L149" s="34" t="str" cm="1">
        <f t="array" ref="L149">IF($C149="","",SUMPRODUCT((TEXT($AE$5:$OE$5, "mmm")=LOWER(K$3))*$AE149:$OE149))</f>
        <v/>
      </c>
      <c r="M149" s="34"/>
      <c r="N149" s="34" t="str" cm="1">
        <f t="array" ref="N149">IF($C149="","",SUMPRODUCT((TEXT($AE$5:$OE$5, "mmm")=LOWER(M$3))*$AE149:$OE149))</f>
        <v/>
      </c>
      <c r="O149" s="34"/>
      <c r="P149" s="34" t="str" cm="1">
        <f t="array" ref="P149">IF($C149="","",SUMPRODUCT((TEXT($AE$5:$OE$5, "mmm")=LOWER(O$3))*$AE149:$OE149))</f>
        <v/>
      </c>
      <c r="Q149" s="34"/>
      <c r="R149" s="34" t="str" cm="1">
        <f t="array" ref="R149">IF($C149="","",SUMPRODUCT((TEXT($AE$5:$OE$5, "mmm")=LOWER(Q$3))*$AE149:$OE149))</f>
        <v/>
      </c>
      <c r="S149" s="34"/>
      <c r="T149" s="34" t="str" cm="1">
        <f t="array" ref="T149">IF($C149="","",SUMPRODUCT((TEXT($AE$5:$OE$5, "mmm")=LOWER(S$3))*$AE149:$OE149))</f>
        <v/>
      </c>
      <c r="U149" s="34"/>
      <c r="V149" s="34" t="str" cm="1">
        <f t="array" ref="V149">IF($C149="","",SUMPRODUCT((TEXT($AE$5:$OE$5, "mmm")=LOWER(U$3))*$AE149:$OE149))</f>
        <v/>
      </c>
      <c r="W149" s="34"/>
      <c r="X149" s="34" t="str" cm="1">
        <f t="array" ref="X149">IF($C149="","",SUMPRODUCT((TEXT($AE$5:$OE$5, "mmm")=LOWER(W$3))*$AE149:$OE149))</f>
        <v/>
      </c>
      <c r="Y149" s="34"/>
      <c r="Z149" s="34" t="str" cm="1">
        <f t="array" ref="Z149">IF($C149="","",SUMPRODUCT((TEXT($AE$5:$OE$5, "mmm")=LOWER(Y$3))*$AE149:$OE149))</f>
        <v/>
      </c>
      <c r="AA149" s="34"/>
      <c r="AB149" s="34" t="str" cm="1">
        <f t="array" ref="AB149">IF($C149="","",SUMPRODUCT((TEXT($AE$5:$OE$5, "mmm")=LOWER(AA$3))*$AE149:$OE149))</f>
        <v/>
      </c>
      <c r="AC149" s="34"/>
      <c r="AD149" s="34" t="str" cm="1">
        <f t="array" ref="AD149">IF($C149="","",SUMPRODUCT((TEXT($AE$5:$OE$5, "mmm")=LOWER(AC$3))*$AE149:$OE149))</f>
        <v/>
      </c>
      <c r="OE149" s="49"/>
    </row>
    <row r="150" spans="1:395" ht="15" thickBot="1">
      <c r="A150" s="36"/>
      <c r="B150" s="50"/>
      <c r="C150" s="2" t="str">
        <f>IF(ISBLANK($B150),"",_xlfn.XLOOKUP($B150,Task_No,Project!$C$3:$C$144,"INVALID TASK"))</f>
        <v/>
      </c>
      <c r="D150" s="37"/>
      <c r="E150" s="38" t="str">
        <f t="shared" si="22"/>
        <v/>
      </c>
      <c r="F150" s="38" t="str">
        <f t="shared" si="21"/>
        <v/>
      </c>
      <c r="G150" s="45"/>
      <c r="H150" s="45" t="str" cm="1">
        <f t="array" ref="H150">IF($C150="","",SUMPRODUCT((TEXT($AE$5:$OE$5, "mmm")=LOWER(G$3))*$AE150:$OE150))</f>
        <v/>
      </c>
      <c r="I150" s="45"/>
      <c r="J150" s="45" t="str" cm="1">
        <f t="array" ref="J150">IF($C150="","",SUMPRODUCT((TEXT($AE$5:$OE$5, "mmm")=LOWER(I$3))*$AE150:$OE150))</f>
        <v/>
      </c>
      <c r="K150" s="45"/>
      <c r="L150" s="45" t="str" cm="1">
        <f t="array" ref="L150">IF($C150="","",SUMPRODUCT((TEXT($AE$5:$OE$5, "mmm")=LOWER(K$3))*$AE150:$OE150))</f>
        <v/>
      </c>
      <c r="M150" s="45"/>
      <c r="N150" s="45" t="str" cm="1">
        <f t="array" ref="N150">IF($C150="","",SUMPRODUCT((TEXT($AE$5:$OE$5, "mmm")=LOWER(M$3))*$AE150:$OE150))</f>
        <v/>
      </c>
      <c r="O150" s="45"/>
      <c r="P150" s="45" t="str" cm="1">
        <f t="array" ref="P150">IF($C150="","",SUMPRODUCT((TEXT($AE$5:$OE$5, "mmm")=LOWER(O$3))*$AE150:$OE150))</f>
        <v/>
      </c>
      <c r="Q150" s="45"/>
      <c r="R150" s="45" t="str" cm="1">
        <f t="array" ref="R150">IF($C150="","",SUMPRODUCT((TEXT($AE$5:$OE$5, "mmm")=LOWER(Q$3))*$AE150:$OE150))</f>
        <v/>
      </c>
      <c r="S150" s="45"/>
      <c r="T150" s="45" t="str" cm="1">
        <f t="array" ref="T150">IF($C150="","",SUMPRODUCT((TEXT($AE$5:$OE$5, "mmm")=LOWER(S$3))*$AE150:$OE150))</f>
        <v/>
      </c>
      <c r="U150" s="45"/>
      <c r="V150" s="45" t="str" cm="1">
        <f t="array" ref="V150">IF($C150="","",SUMPRODUCT((TEXT($AE$5:$OE$5, "mmm")=LOWER(U$3))*$AE150:$OE150))</f>
        <v/>
      </c>
      <c r="W150" s="45"/>
      <c r="X150" s="45" t="str" cm="1">
        <f t="array" ref="X150">IF($C150="","",SUMPRODUCT((TEXT($AE$5:$OE$5, "mmm")=LOWER(W$3))*$AE150:$OE150))</f>
        <v/>
      </c>
      <c r="Y150" s="45"/>
      <c r="Z150" s="45" t="str" cm="1">
        <f t="array" ref="Z150">IF($C150="","",SUMPRODUCT((TEXT($AE$5:$OE$5, "mmm")=LOWER(Y$3))*$AE150:$OE150))</f>
        <v/>
      </c>
      <c r="AA150" s="45"/>
      <c r="AB150" s="45" t="str" cm="1">
        <f t="array" ref="AB150">IF($C150="","",SUMPRODUCT((TEXT($AE$5:$OE$5, "mmm")=LOWER(AA$3))*$AE150:$OE150))</f>
        <v/>
      </c>
      <c r="AC150" s="45"/>
      <c r="AD150" s="45" t="str" cm="1">
        <f t="array" ref="AD150">IF($C150="","",SUMPRODUCT((TEXT($AE$5:$OE$5, "mmm")=LOWER(AC$3))*$AE150:$OE150))</f>
        <v/>
      </c>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c r="BA150" s="5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51"/>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51"/>
      <c r="DE150" s="51"/>
      <c r="DF150" s="51"/>
      <c r="DG150" s="51"/>
      <c r="DH150" s="51"/>
      <c r="DI150" s="51"/>
      <c r="DJ150" s="51"/>
      <c r="DK150" s="51"/>
      <c r="DL150" s="51"/>
      <c r="DM150" s="51"/>
      <c r="DN150" s="51"/>
      <c r="DO150" s="51"/>
      <c r="DP150" s="51"/>
      <c r="DQ150" s="51"/>
      <c r="DR150" s="51"/>
      <c r="DS150" s="51"/>
      <c r="DT150" s="51"/>
      <c r="DU150" s="51"/>
      <c r="DV150" s="51"/>
      <c r="DW150" s="51"/>
      <c r="DX150" s="51"/>
      <c r="DY150" s="51"/>
      <c r="DZ150" s="51"/>
      <c r="EA150" s="51"/>
      <c r="EB150" s="51"/>
      <c r="EC150" s="51"/>
      <c r="ED150" s="51"/>
      <c r="EE150" s="51"/>
      <c r="EF150" s="51"/>
      <c r="EG150" s="51"/>
      <c r="EH150" s="51"/>
      <c r="EI150" s="51"/>
      <c r="EJ150" s="51"/>
      <c r="EK150" s="51"/>
      <c r="EL150" s="51"/>
      <c r="EM150" s="51"/>
      <c r="EN150" s="51"/>
      <c r="EO150" s="51"/>
      <c r="EP150" s="51"/>
      <c r="EQ150" s="51"/>
      <c r="ER150" s="51"/>
      <c r="ES150" s="51"/>
      <c r="ET150" s="51"/>
      <c r="EU150" s="51"/>
      <c r="EV150" s="51"/>
      <c r="EW150" s="51"/>
      <c r="EX150" s="51"/>
      <c r="EY150" s="51"/>
      <c r="EZ150" s="51"/>
      <c r="FA150" s="51"/>
      <c r="FB150" s="51"/>
      <c r="FC150" s="51"/>
      <c r="FD150" s="51"/>
      <c r="FE150" s="51"/>
      <c r="FF150" s="51"/>
      <c r="FG150" s="51"/>
      <c r="FH150" s="51"/>
      <c r="FI150" s="51"/>
      <c r="FJ150" s="51"/>
      <c r="FK150" s="51"/>
      <c r="FL150" s="51"/>
      <c r="FM150" s="51"/>
      <c r="FN150" s="51"/>
      <c r="FO150" s="51"/>
      <c r="FP150" s="51"/>
      <c r="FQ150" s="51"/>
      <c r="FR150" s="51"/>
      <c r="FS150" s="51"/>
      <c r="FT150" s="51"/>
      <c r="FU150" s="51"/>
      <c r="FV150" s="51"/>
      <c r="FW150" s="51"/>
      <c r="FX150" s="51"/>
      <c r="FY150" s="51"/>
      <c r="FZ150" s="51"/>
      <c r="GA150" s="51"/>
      <c r="GB150" s="51"/>
      <c r="GC150" s="51"/>
      <c r="GD150" s="51"/>
      <c r="GE150" s="51"/>
      <c r="GF150" s="51"/>
      <c r="GG150" s="51"/>
      <c r="GH150" s="51"/>
      <c r="GI150" s="51"/>
      <c r="GJ150" s="51"/>
      <c r="GK150" s="51"/>
      <c r="GL150" s="51"/>
      <c r="GM150" s="51"/>
      <c r="GN150" s="51"/>
      <c r="GO150" s="51"/>
      <c r="GP150" s="51"/>
      <c r="GQ150" s="51"/>
      <c r="GR150" s="51"/>
      <c r="GS150" s="51"/>
      <c r="GT150" s="51"/>
      <c r="GU150" s="51"/>
      <c r="GV150" s="51"/>
      <c r="GW150" s="51"/>
      <c r="GX150" s="51"/>
      <c r="GY150" s="51"/>
      <c r="GZ150" s="51"/>
      <c r="HA150" s="51"/>
      <c r="HB150" s="51"/>
      <c r="HC150" s="51"/>
      <c r="HD150" s="51"/>
      <c r="HE150" s="51"/>
      <c r="HF150" s="51"/>
      <c r="HG150" s="51"/>
      <c r="HH150" s="51"/>
      <c r="HI150" s="51"/>
      <c r="HJ150" s="51"/>
      <c r="HK150" s="51"/>
      <c r="HL150" s="51"/>
      <c r="HM150" s="51"/>
      <c r="HN150" s="51"/>
      <c r="HO150" s="51"/>
      <c r="HP150" s="51"/>
      <c r="HQ150" s="51"/>
      <c r="HR150" s="51"/>
      <c r="HS150" s="51"/>
      <c r="HT150" s="51"/>
      <c r="HU150" s="51"/>
      <c r="HV150" s="51"/>
      <c r="HW150" s="51"/>
      <c r="HX150" s="51"/>
      <c r="HY150" s="51"/>
      <c r="HZ150" s="51"/>
      <c r="IA150" s="51"/>
      <c r="IB150" s="51"/>
      <c r="IC150" s="51"/>
      <c r="ID150" s="51"/>
      <c r="IE150" s="51"/>
      <c r="IF150" s="51"/>
      <c r="IG150" s="51"/>
      <c r="IH150" s="51"/>
      <c r="II150" s="51"/>
      <c r="IJ150" s="51"/>
      <c r="IK150" s="51"/>
      <c r="IL150" s="51"/>
      <c r="IM150" s="51"/>
      <c r="IN150" s="51"/>
      <c r="IO150" s="51"/>
      <c r="IP150" s="51"/>
      <c r="IQ150" s="51"/>
      <c r="IR150" s="51"/>
      <c r="IS150" s="51"/>
      <c r="IT150" s="51"/>
      <c r="IU150" s="51"/>
      <c r="IV150" s="51"/>
      <c r="IW150" s="51"/>
      <c r="IX150" s="51"/>
      <c r="IY150" s="51"/>
      <c r="IZ150" s="51"/>
      <c r="JA150" s="51"/>
      <c r="JB150" s="51"/>
      <c r="JC150" s="51"/>
      <c r="JD150" s="51"/>
      <c r="JE150" s="51"/>
      <c r="JF150" s="51"/>
      <c r="JG150" s="51"/>
      <c r="JH150" s="51"/>
      <c r="JI150" s="51"/>
      <c r="JJ150" s="51"/>
      <c r="JK150" s="51"/>
      <c r="JL150" s="51"/>
      <c r="JM150" s="51"/>
      <c r="JN150" s="51"/>
      <c r="JO150" s="51"/>
      <c r="JP150" s="51"/>
      <c r="JQ150" s="51"/>
      <c r="JR150" s="51"/>
      <c r="JS150" s="51"/>
      <c r="JT150" s="51"/>
      <c r="JU150" s="51"/>
      <c r="JV150" s="51"/>
      <c r="JW150" s="51"/>
      <c r="JX150" s="51"/>
      <c r="JY150" s="51"/>
      <c r="JZ150" s="51"/>
      <c r="KA150" s="51"/>
      <c r="KB150" s="51"/>
      <c r="KC150" s="51"/>
      <c r="KD150" s="51"/>
      <c r="KE150" s="51"/>
      <c r="KF150" s="51"/>
      <c r="KG150" s="51"/>
      <c r="KH150" s="51"/>
      <c r="KI150" s="51"/>
      <c r="KJ150" s="51"/>
      <c r="KK150" s="51"/>
      <c r="KL150" s="51"/>
      <c r="KM150" s="51"/>
      <c r="KN150" s="51"/>
      <c r="KO150" s="51"/>
      <c r="KP150" s="51"/>
      <c r="KQ150" s="51"/>
      <c r="KR150" s="51"/>
      <c r="KS150" s="51"/>
      <c r="KT150" s="51"/>
      <c r="KU150" s="51"/>
      <c r="KV150" s="51"/>
      <c r="KW150" s="51"/>
      <c r="KX150" s="51"/>
      <c r="KY150" s="51"/>
      <c r="KZ150" s="51"/>
      <c r="LA150" s="51"/>
      <c r="LB150" s="51"/>
      <c r="LC150" s="51"/>
      <c r="LD150" s="51"/>
      <c r="LE150" s="51"/>
      <c r="LF150" s="51"/>
      <c r="LG150" s="51"/>
      <c r="LH150" s="51"/>
      <c r="LI150" s="51"/>
      <c r="LJ150" s="51"/>
      <c r="LK150" s="51"/>
      <c r="LL150" s="51"/>
      <c r="LM150" s="51"/>
      <c r="LN150" s="51"/>
      <c r="LO150" s="51"/>
      <c r="LP150" s="51"/>
      <c r="LQ150" s="51"/>
      <c r="LR150" s="51"/>
      <c r="LS150" s="51"/>
      <c r="LT150" s="51"/>
      <c r="LU150" s="51"/>
      <c r="LV150" s="51"/>
      <c r="LW150" s="51"/>
      <c r="LX150" s="51"/>
      <c r="LY150" s="51"/>
      <c r="LZ150" s="51"/>
      <c r="MA150" s="51"/>
      <c r="MB150" s="51"/>
      <c r="MC150" s="51"/>
      <c r="MD150" s="51"/>
      <c r="ME150" s="51"/>
      <c r="MF150" s="51"/>
      <c r="MG150" s="51"/>
      <c r="MH150" s="51"/>
      <c r="MI150" s="51"/>
      <c r="MJ150" s="51"/>
      <c r="MK150" s="51"/>
      <c r="ML150" s="51"/>
      <c r="MM150" s="51"/>
      <c r="MN150" s="51"/>
      <c r="MO150" s="51"/>
      <c r="MP150" s="51"/>
      <c r="MQ150" s="51"/>
      <c r="MR150" s="51"/>
      <c r="MS150" s="51"/>
      <c r="MT150" s="51"/>
      <c r="MU150" s="51"/>
      <c r="MV150" s="51"/>
      <c r="MW150" s="51"/>
      <c r="MX150" s="51"/>
      <c r="MY150" s="51"/>
      <c r="MZ150" s="51"/>
      <c r="NA150" s="51"/>
      <c r="NB150" s="51"/>
      <c r="NC150" s="51"/>
      <c r="ND150" s="51"/>
      <c r="NE150" s="51"/>
      <c r="NF150" s="51"/>
      <c r="NG150" s="51"/>
      <c r="NH150" s="51"/>
      <c r="NI150" s="51"/>
      <c r="NJ150" s="51"/>
      <c r="NK150" s="51"/>
      <c r="NL150" s="51"/>
      <c r="NM150" s="51"/>
      <c r="NN150" s="51"/>
      <c r="NO150" s="51"/>
      <c r="NP150" s="51"/>
      <c r="NQ150" s="51"/>
      <c r="NR150" s="51"/>
      <c r="NS150" s="51"/>
      <c r="NT150" s="51"/>
      <c r="NU150" s="51"/>
      <c r="NV150" s="51"/>
      <c r="NW150" s="51"/>
      <c r="NX150" s="51"/>
      <c r="NY150" s="51"/>
      <c r="NZ150" s="51"/>
      <c r="OA150" s="51"/>
      <c r="OB150" s="51"/>
      <c r="OC150" s="51"/>
      <c r="OD150" s="51"/>
      <c r="OE150" s="52"/>
    </row>
  </sheetData>
  <sheetProtection algorithmName="SHA-512" hashValue="a8qK6xMEuYKbfEvIe++6oI03xxobPmTsUYxtIXxIACkMuGHZm1pTFG1lH73ZGUn7brfb+dlrPu38OLlC9kQx9A==" saltValue="luCFvSBQtyuYsQDm4eRlSA==" spinCount="100000" sheet="1" objects="1" scenarios="1" sort="0" autoFilter="0"/>
  <protectedRanges>
    <protectedRange algorithmName="SHA-512" hashValue="a2OaNRSxYedOykEHqPDhz/v8KGOa64u1X4hliwwkCXRNTNtDHvruZIB1n8A4Px6p+OpWPIJ4ILv+vvMUEBK/CA==" saltValue="f6At3o+ZRP2DVHb4xiE7cA==" spinCount="100000" sqref="G1:G1048576 I1:I1048576 K1:K1048576 M1:M1048576 O1:O1048576 Q1:Q1048576 S1:S1048576 U1:U1048576 W1:W1048576 Y1:Y1048576 AA1:AA1048576 AC1:AC1048576" name="AjithraEstimate_12" securityDescriptor="O:WDG:WDD:(A;;CC;;;S-1-5-21-607600752-1324559839-5522801-81001)"/>
  </protectedRanges>
  <mergeCells count="109">
    <mergeCell ref="AA4:AA5"/>
    <mergeCell ref="AB4:AB5"/>
    <mergeCell ref="AC4:AC5"/>
    <mergeCell ref="AD4:AD5"/>
    <mergeCell ref="U4:U5"/>
    <mergeCell ref="V4:V5"/>
    <mergeCell ref="W4:W5"/>
    <mergeCell ref="X4:X5"/>
    <mergeCell ref="Y4:Y5"/>
    <mergeCell ref="Z4:Z5"/>
    <mergeCell ref="O4:O5"/>
    <mergeCell ref="P4:P5"/>
    <mergeCell ref="Q4:Q5"/>
    <mergeCell ref="R4:R5"/>
    <mergeCell ref="S4:S5"/>
    <mergeCell ref="T4:T5"/>
    <mergeCell ref="NV3:OB3"/>
    <mergeCell ref="OC3:OE3"/>
    <mergeCell ref="G4:G5"/>
    <mergeCell ref="H4:H5"/>
    <mergeCell ref="I4:I5"/>
    <mergeCell ref="J4:J5"/>
    <mergeCell ref="K4:K5"/>
    <mergeCell ref="L4:L5"/>
    <mergeCell ref="M4:M5"/>
    <mergeCell ref="N4:N5"/>
    <mergeCell ref="MF3:ML3"/>
    <mergeCell ref="MM3:MS3"/>
    <mergeCell ref="MT3:MZ3"/>
    <mergeCell ref="NA3:NG3"/>
    <mergeCell ref="NH3:NN3"/>
    <mergeCell ref="NO3:NU3"/>
    <mergeCell ref="KP3:KV3"/>
    <mergeCell ref="KW3:LC3"/>
    <mergeCell ref="LD3:LJ3"/>
    <mergeCell ref="LK3:LQ3"/>
    <mergeCell ref="LR3:LX3"/>
    <mergeCell ref="LY3:ME3"/>
    <mergeCell ref="IZ3:JF3"/>
    <mergeCell ref="JG3:JM3"/>
    <mergeCell ref="JN3:JT3"/>
    <mergeCell ref="JU3:KA3"/>
    <mergeCell ref="KB3:KH3"/>
    <mergeCell ref="KI3:KO3"/>
    <mergeCell ref="HJ3:HP3"/>
    <mergeCell ref="HQ3:HW3"/>
    <mergeCell ref="HX3:ID3"/>
    <mergeCell ref="IE3:IK3"/>
    <mergeCell ref="IL3:IR3"/>
    <mergeCell ref="IS3:IY3"/>
    <mergeCell ref="FT3:FZ3"/>
    <mergeCell ref="GA3:GG3"/>
    <mergeCell ref="GH3:GN3"/>
    <mergeCell ref="GO3:GU3"/>
    <mergeCell ref="GV3:HB3"/>
    <mergeCell ref="HC3:HI3"/>
    <mergeCell ref="Y3:Z3"/>
    <mergeCell ref="AA3:AB3"/>
    <mergeCell ref="AC3:AD3"/>
    <mergeCell ref="AE3:AI3"/>
    <mergeCell ref="AJ3:AP3"/>
    <mergeCell ref="AQ3:AW3"/>
    <mergeCell ref="ED3:EJ3"/>
    <mergeCell ref="EK3:EQ3"/>
    <mergeCell ref="ER3:EX3"/>
    <mergeCell ref="CN3:CT3"/>
    <mergeCell ref="CU3:DA3"/>
    <mergeCell ref="DB3:DH3"/>
    <mergeCell ref="DI3:DO3"/>
    <mergeCell ref="DP3:DV3"/>
    <mergeCell ref="DW3:EC3"/>
    <mergeCell ref="AE2:BI2"/>
    <mergeCell ref="BJ2:CK2"/>
    <mergeCell ref="CL2:DP2"/>
    <mergeCell ref="DQ2:ET2"/>
    <mergeCell ref="EU2:FY2"/>
    <mergeCell ref="AX3:BD3"/>
    <mergeCell ref="BE3:BK3"/>
    <mergeCell ref="BL3:BR3"/>
    <mergeCell ref="BS3:BY3"/>
    <mergeCell ref="BZ3:CF3"/>
    <mergeCell ref="CG3:CM3"/>
    <mergeCell ref="EY3:FE3"/>
    <mergeCell ref="FF3:FL3"/>
    <mergeCell ref="FM3:FS3"/>
    <mergeCell ref="E1:F1"/>
    <mergeCell ref="A2:A7"/>
    <mergeCell ref="B2:B7"/>
    <mergeCell ref="C2:C7"/>
    <mergeCell ref="D2:D7"/>
    <mergeCell ref="E2:E5"/>
    <mergeCell ref="F2:F5"/>
    <mergeCell ref="NA2:OE2"/>
    <mergeCell ref="G3:H3"/>
    <mergeCell ref="I3:J3"/>
    <mergeCell ref="K3:L3"/>
    <mergeCell ref="M3:N3"/>
    <mergeCell ref="O3:P3"/>
    <mergeCell ref="Q3:R3"/>
    <mergeCell ref="S3:T3"/>
    <mergeCell ref="U3:V3"/>
    <mergeCell ref="W3:X3"/>
    <mergeCell ref="FZ2:HC2"/>
    <mergeCell ref="HD2:IH2"/>
    <mergeCell ref="II2:JM2"/>
    <mergeCell ref="JN2:KQ2"/>
    <mergeCell ref="KR2:LV2"/>
    <mergeCell ref="LW2:MZ2"/>
    <mergeCell ref="G2:AD2"/>
  </mergeCells>
  <conditionalFormatting sqref="A14:A16 A19:C150 A17:B18 C14:C18">
    <cfRule type="expression" dxfId="107" priority="22">
      <formula>$C14 = "INVALID TASK"</formula>
    </cfRule>
  </conditionalFormatting>
  <conditionalFormatting sqref="A14:A16 D14:E15 A19:F150 A17:B18 D16:F18 C14:C18">
    <cfRule type="expression" dxfId="106" priority="24">
      <formula>($C14&lt;&gt;"")</formula>
    </cfRule>
  </conditionalFormatting>
  <conditionalFormatting sqref="B19:C150 B17:B18 C14:C18">
    <cfRule type="duplicateValues" dxfId="105" priority="25"/>
  </conditionalFormatting>
  <conditionalFormatting sqref="G14:AD150">
    <cfRule type="expression" dxfId="104" priority="27">
      <formula>($C14&lt;&gt;"")</formula>
    </cfRule>
  </conditionalFormatting>
  <conditionalFormatting sqref="AE4:OE4 AE6:OE150">
    <cfRule type="expression" dxfId="103" priority="17" stopIfTrue="1">
      <formula>AND(NOT($C4&lt;&gt;""), ROW(AE4) &gt; 13)</formula>
    </cfRule>
    <cfRule type="expression" dxfId="102" priority="18" stopIfTrue="1">
      <formula>IFERROR(SEARCH("L",AE$6),FALSE)</formula>
    </cfRule>
    <cfRule type="expression" dxfId="101" priority="19" stopIfTrue="1">
      <formula>IFERROR(SEARCH("OD",AE$6),FALSE)</formula>
    </cfRule>
    <cfRule type="expression" dxfId="100" priority="20" stopIfTrue="1">
      <formula>IFERROR(SEARCH("W",AE$6),FALSE)</formula>
    </cfRule>
    <cfRule type="expression" dxfId="99" priority="21" stopIfTrue="1">
      <formula>WEEKDAY(AE$5, 2) &gt; 5</formula>
    </cfRule>
    <cfRule type="expression" dxfId="98" priority="23" stopIfTrue="1">
      <formula>COUNTIF(PublicHolidays, AE$5)</formula>
    </cfRule>
    <cfRule type="expression" dxfId="97" priority="26">
      <formula>ROW(AE4)=5</formula>
    </cfRule>
    <cfRule type="expression" dxfId="96" priority="28">
      <formula>ROW(AE4)=6</formula>
    </cfRule>
    <cfRule type="expression" dxfId="95" priority="29" stopIfTrue="1">
      <formula>ROW(AE4) &lt; 4</formula>
    </cfRule>
    <cfRule type="expression" dxfId="94" priority="30">
      <formula>1</formula>
    </cfRule>
  </conditionalFormatting>
  <conditionalFormatting sqref="AE5:OE5">
    <cfRule type="expression" dxfId="93" priority="7" stopIfTrue="1">
      <formula>AND(NOT($C5&lt;&gt;""), ROW(AE5) &gt; 13)</formula>
    </cfRule>
    <cfRule type="expression" dxfId="92" priority="8" stopIfTrue="1">
      <formula>IFERROR(SEARCH("L",AE$6),FALSE)</formula>
    </cfRule>
    <cfRule type="expression" dxfId="91" priority="9" stopIfTrue="1">
      <formula>IFERROR(SEARCH("OD",AE$6),FALSE)</formula>
    </cfRule>
    <cfRule type="expression" dxfId="90" priority="10" stopIfTrue="1">
      <formula>IFERROR(SEARCH("W",AE$6),FALSE)</formula>
    </cfRule>
    <cfRule type="expression" dxfId="89" priority="11" stopIfTrue="1">
      <formula>WEEKDAY(AE$5, 2) &gt; 5</formula>
    </cfRule>
    <cfRule type="expression" dxfId="88" priority="12" stopIfTrue="1">
      <formula>COUNTIF(PublicHolidays, AE$5)</formula>
    </cfRule>
    <cfRule type="expression" dxfId="87" priority="13">
      <formula>ROW(AE5)=5</formula>
    </cfRule>
    <cfRule type="expression" dxfId="86" priority="14">
      <formula>ROW(AE5)=6</formula>
    </cfRule>
    <cfRule type="expression" dxfId="85" priority="15" stopIfTrue="1">
      <formula>ROW(AE5) &lt; 4</formula>
    </cfRule>
    <cfRule type="expression" dxfId="84" priority="16">
      <formula>1</formula>
    </cfRule>
  </conditionalFormatting>
  <conditionalFormatting sqref="B15">
    <cfRule type="expression" dxfId="83" priority="4">
      <formula>$C15 = "INVALID TASK"</formula>
    </cfRule>
  </conditionalFormatting>
  <conditionalFormatting sqref="B15">
    <cfRule type="expression" dxfId="82" priority="5">
      <formula>($C15&lt;&gt;"")</formula>
    </cfRule>
  </conditionalFormatting>
  <conditionalFormatting sqref="B15">
    <cfRule type="duplicateValues" dxfId="81" priority="6"/>
  </conditionalFormatting>
  <conditionalFormatting sqref="B14">
    <cfRule type="expression" dxfId="80" priority="1">
      <formula>$C14 = "INVALID TASK"</formula>
    </cfRule>
  </conditionalFormatting>
  <conditionalFormatting sqref="B14">
    <cfRule type="expression" dxfId="79" priority="2">
      <formula>($C14&lt;&gt;"")</formula>
    </cfRule>
  </conditionalFormatting>
  <conditionalFormatting sqref="B14">
    <cfRule type="duplicateValues" dxfId="78" priority="3"/>
  </conditionalFormatting>
  <dataValidations count="1">
    <dataValidation type="list" showInputMessage="1" showErrorMessage="1" sqref="D14:D150" xr:uid="{9160FAAB-7ACD-4209-A6B8-4A72843AA588}">
      <formula1>Status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F1376-B108-4EC4-A6FA-15009D3EAAE5}">
  <sheetPr>
    <tabColor theme="1"/>
  </sheetPr>
  <dimension ref="A1:OE149"/>
  <sheetViews>
    <sheetView workbookViewId="0">
      <selection activeCell="EG15" sqref="EG15"/>
    </sheetView>
  </sheetViews>
  <sheetFormatPr defaultColWidth="8.5703125" defaultRowHeight="14.45"/>
  <cols>
    <col min="1" max="1" width="4.42578125" style="5" bestFit="1" customWidth="1"/>
    <col min="2" max="2" width="29.5703125" style="27" customWidth="1"/>
    <col min="3" max="3" width="46.5703125" style="6" customWidth="1"/>
    <col min="4" max="4" width="13.42578125" style="1" customWidth="1"/>
    <col min="5" max="5" width="9" style="7" customWidth="1"/>
    <col min="6" max="6" width="8.42578125" style="7" customWidth="1"/>
    <col min="7" max="30" width="4.7109375" style="8" customWidth="1"/>
    <col min="31" max="104" width="5.42578125" style="26" hidden="1" customWidth="1"/>
    <col min="105" max="395" width="5.42578125" style="26" customWidth="1"/>
  </cols>
  <sheetData>
    <row r="1" spans="1:395" ht="15" thickBot="1">
      <c r="A1" s="39"/>
      <c r="B1" s="40"/>
      <c r="C1" s="41"/>
      <c r="D1" s="42" t="s">
        <v>56</v>
      </c>
      <c r="E1" s="203" t="e" cm="1">
        <f t="array" aca="1" ref="E1" ca="1">VLOOKUP(_xlfn.TEXTAFTER(CELL("filename",A1),"]"), Leave!$B$2:$C$15, 2, 0)</f>
        <v>#VALUE!</v>
      </c>
      <c r="F1" s="204"/>
      <c r="G1" s="43"/>
      <c r="H1" s="43"/>
      <c r="I1" s="43"/>
      <c r="J1" s="43"/>
      <c r="K1" s="43"/>
      <c r="L1" s="43"/>
      <c r="M1" s="43"/>
      <c r="N1" s="43"/>
      <c r="O1" s="43"/>
      <c r="P1" s="43"/>
      <c r="Q1" s="43"/>
      <c r="R1" s="43"/>
      <c r="S1" s="43"/>
      <c r="T1" s="43"/>
      <c r="U1" s="43"/>
      <c r="V1" s="43"/>
      <c r="W1" s="43"/>
      <c r="X1" s="43"/>
      <c r="Y1" s="43"/>
      <c r="Z1" s="43"/>
      <c r="AA1" s="43"/>
      <c r="AB1" s="43"/>
      <c r="AC1" s="43"/>
      <c r="AD1" s="43"/>
      <c r="AE1" s="114"/>
      <c r="AF1" s="114"/>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BE1" s="115"/>
      <c r="BF1" s="115"/>
      <c r="BG1" s="115"/>
      <c r="BH1" s="115"/>
      <c r="BI1" s="115"/>
      <c r="BJ1" s="115"/>
      <c r="BK1" s="115"/>
      <c r="BL1" s="115"/>
      <c r="BM1" s="115"/>
      <c r="BN1" s="115"/>
      <c r="BO1" s="115"/>
      <c r="BP1" s="115"/>
      <c r="BQ1" s="115"/>
      <c r="BR1" s="115"/>
      <c r="BS1" s="115"/>
      <c r="BT1" s="115"/>
      <c r="BU1" s="115"/>
      <c r="BV1" s="115"/>
      <c r="BW1" s="115"/>
      <c r="BX1" s="115"/>
      <c r="BY1" s="115"/>
      <c r="BZ1" s="115"/>
      <c r="CA1" s="115"/>
      <c r="CB1" s="115"/>
      <c r="CC1" s="115"/>
      <c r="CD1" s="115"/>
      <c r="CE1" s="115"/>
      <c r="CF1" s="115"/>
      <c r="CG1" s="115"/>
      <c r="CH1" s="115"/>
      <c r="CI1" s="115"/>
      <c r="CJ1" s="115"/>
      <c r="CK1" s="115"/>
      <c r="CL1" s="115"/>
      <c r="CM1" s="115"/>
      <c r="CN1" s="115"/>
      <c r="CO1" s="115"/>
      <c r="CP1" s="115"/>
      <c r="CQ1" s="115"/>
      <c r="CR1" s="115"/>
      <c r="CS1" s="115"/>
      <c r="CT1" s="115"/>
      <c r="CU1" s="115"/>
      <c r="CV1" s="115"/>
      <c r="CW1" s="115"/>
      <c r="CX1" s="115"/>
      <c r="CY1" s="115"/>
      <c r="CZ1" s="115"/>
      <c r="DA1" s="115"/>
      <c r="DB1" s="115"/>
      <c r="DC1" s="115"/>
      <c r="DD1" s="115"/>
      <c r="DE1" s="115"/>
      <c r="DF1" s="115"/>
      <c r="DG1" s="115"/>
      <c r="DH1" s="115"/>
      <c r="DI1" s="115"/>
      <c r="DJ1" s="115"/>
      <c r="DK1" s="115"/>
      <c r="DL1" s="115"/>
      <c r="DM1" s="115"/>
      <c r="DN1" s="115"/>
      <c r="DO1" s="115"/>
      <c r="DP1" s="115"/>
      <c r="DQ1" s="115"/>
      <c r="DR1" s="115"/>
      <c r="DS1" s="115"/>
      <c r="DT1" s="115"/>
      <c r="DU1" s="115"/>
      <c r="DV1" s="115"/>
      <c r="DW1" s="115"/>
      <c r="DX1" s="115"/>
      <c r="DY1" s="115"/>
      <c r="DZ1" s="115"/>
      <c r="EA1" s="115"/>
      <c r="EB1" s="115"/>
      <c r="EC1" s="115"/>
      <c r="ED1" s="115"/>
      <c r="EE1" s="115"/>
      <c r="EF1" s="115"/>
      <c r="EG1" s="115"/>
      <c r="EH1" s="115"/>
      <c r="EI1" s="115"/>
      <c r="EJ1" s="115"/>
      <c r="EK1" s="115"/>
      <c r="EL1" s="115"/>
      <c r="EM1" s="115"/>
      <c r="EN1" s="115"/>
      <c r="EO1" s="115"/>
      <c r="EP1" s="115"/>
      <c r="EQ1" s="115"/>
      <c r="ER1" s="115"/>
      <c r="ES1" s="115"/>
      <c r="ET1" s="115"/>
      <c r="EU1" s="115"/>
      <c r="EV1" s="115"/>
      <c r="EW1" s="115"/>
      <c r="EX1" s="115"/>
      <c r="EY1" s="115"/>
      <c r="EZ1" s="115"/>
      <c r="FA1" s="115"/>
      <c r="FB1" s="115"/>
      <c r="FC1" s="115"/>
      <c r="FD1" s="115"/>
      <c r="FE1" s="115"/>
      <c r="FF1" s="115"/>
      <c r="FG1" s="115"/>
      <c r="FH1" s="115"/>
      <c r="FI1" s="115"/>
      <c r="FJ1" s="115"/>
      <c r="FK1" s="115"/>
      <c r="FL1" s="115"/>
      <c r="FM1" s="115"/>
      <c r="FN1" s="115"/>
      <c r="FO1" s="115"/>
      <c r="FP1" s="115"/>
      <c r="FQ1" s="115"/>
      <c r="FR1" s="115"/>
      <c r="FS1" s="115"/>
      <c r="FT1" s="115"/>
      <c r="FU1" s="115"/>
      <c r="FV1" s="115"/>
      <c r="FW1" s="115"/>
      <c r="FX1" s="115"/>
      <c r="FY1" s="115"/>
      <c r="FZ1" s="115"/>
      <c r="GA1" s="115"/>
      <c r="GB1" s="115"/>
      <c r="GC1" s="115"/>
      <c r="GD1" s="115"/>
      <c r="GE1" s="115"/>
      <c r="GF1" s="115"/>
      <c r="GG1" s="115"/>
      <c r="GH1" s="115"/>
      <c r="GI1" s="115"/>
      <c r="GJ1" s="115"/>
      <c r="GK1" s="115"/>
      <c r="GL1" s="115"/>
      <c r="GM1" s="115"/>
      <c r="GN1" s="115"/>
      <c r="GO1" s="115"/>
      <c r="GP1" s="115"/>
      <c r="GQ1" s="115"/>
      <c r="GR1" s="115"/>
      <c r="GS1" s="115"/>
      <c r="GT1" s="115"/>
      <c r="GU1" s="115"/>
      <c r="GV1" s="115"/>
      <c r="GW1" s="115"/>
      <c r="GX1" s="115"/>
      <c r="GY1" s="115"/>
      <c r="GZ1" s="115"/>
      <c r="HA1" s="115"/>
      <c r="HB1" s="115"/>
      <c r="HC1" s="115"/>
      <c r="HD1" s="115"/>
      <c r="HE1" s="115"/>
      <c r="HF1" s="115"/>
      <c r="HG1" s="115"/>
      <c r="HH1" s="115"/>
      <c r="HI1" s="115"/>
      <c r="HJ1" s="115"/>
      <c r="HK1" s="115"/>
      <c r="HL1" s="115"/>
      <c r="HM1" s="115"/>
      <c r="HN1" s="115"/>
      <c r="HO1" s="115"/>
      <c r="HP1" s="115"/>
      <c r="HQ1" s="115"/>
      <c r="HR1" s="115"/>
      <c r="HS1" s="115"/>
      <c r="HT1" s="115"/>
      <c r="HU1" s="115"/>
      <c r="HV1" s="115"/>
      <c r="HW1" s="115"/>
      <c r="HX1" s="115"/>
      <c r="HY1" s="115"/>
      <c r="HZ1" s="115"/>
      <c r="IA1" s="115"/>
      <c r="IB1" s="115"/>
      <c r="IC1" s="115"/>
      <c r="ID1" s="115"/>
      <c r="IE1" s="115"/>
      <c r="IF1" s="115"/>
      <c r="IG1" s="115"/>
      <c r="IH1" s="115"/>
      <c r="II1" s="115"/>
      <c r="IJ1" s="115"/>
      <c r="IK1" s="115"/>
      <c r="IL1" s="115"/>
      <c r="IM1" s="115"/>
      <c r="IN1" s="115"/>
      <c r="IO1" s="115"/>
      <c r="IP1" s="115"/>
      <c r="IQ1" s="115"/>
      <c r="IR1" s="115"/>
      <c r="IS1" s="115"/>
      <c r="IT1" s="115"/>
      <c r="IU1" s="115"/>
      <c r="IV1" s="115"/>
      <c r="IW1" s="115"/>
      <c r="IX1" s="115"/>
      <c r="IY1" s="115"/>
      <c r="IZ1" s="115"/>
      <c r="JA1" s="115"/>
      <c r="JB1" s="115"/>
      <c r="JC1" s="115"/>
      <c r="JD1" s="115"/>
      <c r="JE1" s="115"/>
      <c r="JF1" s="115"/>
      <c r="JG1" s="115"/>
      <c r="JH1" s="115"/>
      <c r="JI1" s="115"/>
      <c r="JJ1" s="115"/>
      <c r="JK1" s="115"/>
      <c r="JL1" s="115"/>
      <c r="JM1" s="115"/>
      <c r="JN1" s="115"/>
      <c r="JO1" s="115"/>
      <c r="JP1" s="115"/>
      <c r="JQ1" s="115"/>
      <c r="JR1" s="115"/>
      <c r="JS1" s="115"/>
      <c r="JT1" s="115"/>
      <c r="JU1" s="115"/>
      <c r="JV1" s="115"/>
      <c r="JW1" s="115"/>
      <c r="JX1" s="115"/>
      <c r="JY1" s="115"/>
      <c r="JZ1" s="115"/>
      <c r="KA1" s="115"/>
      <c r="KB1" s="115"/>
      <c r="KC1" s="115"/>
      <c r="KD1" s="115"/>
      <c r="KE1" s="115"/>
      <c r="KF1" s="115"/>
      <c r="KG1" s="115"/>
      <c r="KH1" s="115"/>
      <c r="KI1" s="115"/>
      <c r="KJ1" s="115"/>
      <c r="KK1" s="115"/>
      <c r="KL1" s="115"/>
      <c r="KM1" s="115"/>
      <c r="KN1" s="115"/>
      <c r="KO1" s="115"/>
      <c r="KP1" s="115"/>
      <c r="KQ1" s="115"/>
      <c r="KR1" s="115"/>
      <c r="KS1" s="115"/>
      <c r="KT1" s="115"/>
      <c r="KU1" s="115"/>
      <c r="KV1" s="115"/>
      <c r="KW1" s="115"/>
      <c r="KX1" s="115"/>
      <c r="KY1" s="115"/>
      <c r="KZ1" s="115"/>
      <c r="LA1" s="115"/>
      <c r="LB1" s="115"/>
      <c r="LC1" s="115"/>
      <c r="LD1" s="115"/>
      <c r="LE1" s="115"/>
      <c r="LF1" s="115"/>
      <c r="LG1" s="115"/>
      <c r="LH1" s="115"/>
      <c r="LI1" s="115"/>
      <c r="LJ1" s="115"/>
      <c r="LK1" s="115"/>
      <c r="LL1" s="115"/>
      <c r="LM1" s="115"/>
      <c r="LN1" s="115"/>
      <c r="LO1" s="115"/>
      <c r="LP1" s="115"/>
      <c r="LQ1" s="115"/>
      <c r="LR1" s="115"/>
      <c r="LS1" s="115"/>
      <c r="LT1" s="115"/>
      <c r="LU1" s="115"/>
      <c r="LV1" s="115"/>
      <c r="LW1" s="115"/>
      <c r="LX1" s="115"/>
      <c r="LY1" s="115"/>
      <c r="LZ1" s="115"/>
      <c r="MA1" s="115"/>
      <c r="MB1" s="115"/>
      <c r="MC1" s="115"/>
      <c r="MD1" s="115"/>
      <c r="ME1" s="115"/>
      <c r="MF1" s="115"/>
      <c r="MG1" s="115"/>
      <c r="MH1" s="115"/>
      <c r="MI1" s="115"/>
      <c r="MJ1" s="115"/>
      <c r="MK1" s="115"/>
      <c r="ML1" s="115"/>
      <c r="MM1" s="115"/>
      <c r="MN1" s="115"/>
      <c r="MO1" s="115"/>
      <c r="MP1" s="115"/>
      <c r="MQ1" s="115"/>
      <c r="MR1" s="115"/>
      <c r="MS1" s="115"/>
      <c r="MT1" s="115"/>
      <c r="MU1" s="115"/>
      <c r="MV1" s="115"/>
      <c r="MW1" s="115"/>
      <c r="MX1" s="115"/>
      <c r="MY1" s="115"/>
      <c r="MZ1" s="115"/>
      <c r="NA1" s="115"/>
      <c r="NB1" s="115"/>
      <c r="NC1" s="115"/>
      <c r="ND1" s="115"/>
      <c r="NE1" s="115"/>
      <c r="NF1" s="115"/>
      <c r="NG1" s="115"/>
      <c r="NH1" s="115"/>
      <c r="NI1" s="115"/>
      <c r="NJ1" s="115"/>
      <c r="NK1" s="115"/>
      <c r="NL1" s="115"/>
      <c r="NM1" s="115"/>
      <c r="NN1" s="115"/>
      <c r="NO1" s="115"/>
      <c r="NP1" s="115"/>
      <c r="NQ1" s="115"/>
      <c r="NR1" s="115"/>
      <c r="NS1" s="115"/>
      <c r="NT1" s="115"/>
      <c r="NU1" s="115"/>
      <c r="NV1" s="115"/>
      <c r="NW1" s="115"/>
      <c r="NX1" s="115"/>
      <c r="NY1" s="115"/>
      <c r="NZ1" s="115"/>
      <c r="OA1" s="115"/>
      <c r="OB1" s="115"/>
      <c r="OC1" s="115"/>
      <c r="OD1" s="115"/>
      <c r="OE1" s="116"/>
    </row>
    <row r="2" spans="1:395" ht="14.85" customHeight="1" thickBot="1">
      <c r="A2" s="205" t="s">
        <v>57</v>
      </c>
      <c r="B2" s="206" t="s">
        <v>58</v>
      </c>
      <c r="C2" s="206" t="s">
        <v>3</v>
      </c>
      <c r="D2" s="206" t="s">
        <v>15</v>
      </c>
      <c r="E2" s="206" t="s">
        <v>59</v>
      </c>
      <c r="F2" s="207" t="s">
        <v>20</v>
      </c>
      <c r="G2" s="214" t="s">
        <v>60</v>
      </c>
      <c r="H2" s="215"/>
      <c r="I2" s="215"/>
      <c r="J2" s="215"/>
      <c r="K2" s="215"/>
      <c r="L2" s="215"/>
      <c r="M2" s="215"/>
      <c r="N2" s="215"/>
      <c r="O2" s="215"/>
      <c r="P2" s="215"/>
      <c r="Q2" s="215"/>
      <c r="R2" s="215"/>
      <c r="S2" s="215"/>
      <c r="T2" s="215"/>
      <c r="U2" s="215"/>
      <c r="V2" s="215"/>
      <c r="W2" s="215"/>
      <c r="X2" s="215"/>
      <c r="Y2" s="215"/>
      <c r="Z2" s="215"/>
      <c r="AA2" s="215"/>
      <c r="AB2" s="215"/>
      <c r="AC2" s="215"/>
      <c r="AD2" s="216"/>
      <c r="AE2" s="213" t="str">
        <f>TEXT(AE5, "mmmm")</f>
        <v>January</v>
      </c>
      <c r="AF2" s="217"/>
      <c r="AG2" s="217"/>
      <c r="AH2" s="217"/>
      <c r="AI2" s="217"/>
      <c r="AJ2" s="217"/>
      <c r="AK2" s="217"/>
      <c r="AL2" s="217"/>
      <c r="AM2" s="217"/>
      <c r="AN2" s="217"/>
      <c r="AO2" s="217"/>
      <c r="AP2" s="217"/>
      <c r="AQ2" s="217"/>
      <c r="AR2" s="217"/>
      <c r="AS2" s="217"/>
      <c r="AT2" s="217"/>
      <c r="AU2" s="217"/>
      <c r="AV2" s="217"/>
      <c r="AW2" s="217"/>
      <c r="AX2" s="217"/>
      <c r="AY2" s="217"/>
      <c r="AZ2" s="217"/>
      <c r="BA2" s="217"/>
      <c r="BB2" s="217"/>
      <c r="BC2" s="217"/>
      <c r="BD2" s="217"/>
      <c r="BE2" s="217"/>
      <c r="BF2" s="217"/>
      <c r="BG2" s="217"/>
      <c r="BH2" s="217"/>
      <c r="BI2" s="217"/>
      <c r="BJ2" s="208" t="str">
        <f>TEXT(BJ5, "mmmm")</f>
        <v>February</v>
      </c>
      <c r="BK2" s="209"/>
      <c r="BL2" s="209"/>
      <c r="BM2" s="209"/>
      <c r="BN2" s="209"/>
      <c r="BO2" s="209"/>
      <c r="BP2" s="209"/>
      <c r="BQ2" s="209"/>
      <c r="BR2" s="209"/>
      <c r="BS2" s="209"/>
      <c r="BT2" s="209"/>
      <c r="BU2" s="209"/>
      <c r="BV2" s="209"/>
      <c r="BW2" s="209"/>
      <c r="BX2" s="209"/>
      <c r="BY2" s="209"/>
      <c r="BZ2" s="209"/>
      <c r="CA2" s="209"/>
      <c r="CB2" s="209"/>
      <c r="CC2" s="209"/>
      <c r="CD2" s="209"/>
      <c r="CE2" s="209"/>
      <c r="CF2" s="209"/>
      <c r="CG2" s="209"/>
      <c r="CH2" s="209"/>
      <c r="CI2" s="209"/>
      <c r="CJ2" s="209"/>
      <c r="CK2" s="213"/>
      <c r="CL2" s="208" t="str">
        <f>TEXT(CL5, "mmmm")</f>
        <v>March</v>
      </c>
      <c r="CM2" s="209"/>
      <c r="CN2" s="209"/>
      <c r="CO2" s="209"/>
      <c r="CP2" s="209"/>
      <c r="CQ2" s="209"/>
      <c r="CR2" s="209"/>
      <c r="CS2" s="209"/>
      <c r="CT2" s="209"/>
      <c r="CU2" s="209"/>
      <c r="CV2" s="209"/>
      <c r="CW2" s="209"/>
      <c r="CX2" s="209"/>
      <c r="CY2" s="209"/>
      <c r="CZ2" s="209"/>
      <c r="DA2" s="209"/>
      <c r="DB2" s="209"/>
      <c r="DC2" s="209"/>
      <c r="DD2" s="209"/>
      <c r="DE2" s="209"/>
      <c r="DF2" s="209"/>
      <c r="DG2" s="209"/>
      <c r="DH2" s="209"/>
      <c r="DI2" s="209"/>
      <c r="DJ2" s="209"/>
      <c r="DK2" s="209"/>
      <c r="DL2" s="209"/>
      <c r="DM2" s="209"/>
      <c r="DN2" s="209"/>
      <c r="DO2" s="209"/>
      <c r="DP2" s="213"/>
      <c r="DQ2" s="208" t="str">
        <f>TEXT(DQ5, "mmmm")</f>
        <v>April</v>
      </c>
      <c r="DR2" s="209"/>
      <c r="DS2" s="209"/>
      <c r="DT2" s="209"/>
      <c r="DU2" s="209"/>
      <c r="DV2" s="209"/>
      <c r="DW2" s="209"/>
      <c r="DX2" s="209"/>
      <c r="DY2" s="209"/>
      <c r="DZ2" s="209"/>
      <c r="EA2" s="209"/>
      <c r="EB2" s="209"/>
      <c r="EC2" s="209"/>
      <c r="ED2" s="209"/>
      <c r="EE2" s="209"/>
      <c r="EF2" s="209"/>
      <c r="EG2" s="209"/>
      <c r="EH2" s="209"/>
      <c r="EI2" s="209"/>
      <c r="EJ2" s="209"/>
      <c r="EK2" s="209"/>
      <c r="EL2" s="209"/>
      <c r="EM2" s="209"/>
      <c r="EN2" s="209"/>
      <c r="EO2" s="209"/>
      <c r="EP2" s="209"/>
      <c r="EQ2" s="209"/>
      <c r="ER2" s="209"/>
      <c r="ES2" s="209"/>
      <c r="ET2" s="213"/>
      <c r="EU2" s="208" t="str">
        <f>TEXT(EU5, "mmmm")</f>
        <v>May</v>
      </c>
      <c r="EV2" s="209"/>
      <c r="EW2" s="209"/>
      <c r="EX2" s="209"/>
      <c r="EY2" s="209"/>
      <c r="EZ2" s="209"/>
      <c r="FA2" s="209"/>
      <c r="FB2" s="209"/>
      <c r="FC2" s="209"/>
      <c r="FD2" s="209"/>
      <c r="FE2" s="209"/>
      <c r="FF2" s="209"/>
      <c r="FG2" s="209"/>
      <c r="FH2" s="209"/>
      <c r="FI2" s="209"/>
      <c r="FJ2" s="209"/>
      <c r="FK2" s="209"/>
      <c r="FL2" s="209"/>
      <c r="FM2" s="209"/>
      <c r="FN2" s="209"/>
      <c r="FO2" s="209"/>
      <c r="FP2" s="209"/>
      <c r="FQ2" s="209"/>
      <c r="FR2" s="209"/>
      <c r="FS2" s="209"/>
      <c r="FT2" s="209"/>
      <c r="FU2" s="209"/>
      <c r="FV2" s="209"/>
      <c r="FW2" s="209"/>
      <c r="FX2" s="209"/>
      <c r="FY2" s="213"/>
      <c r="FZ2" s="208" t="str">
        <f>TEXT(FZ5, "mmmm")</f>
        <v>June</v>
      </c>
      <c r="GA2" s="209"/>
      <c r="GB2" s="209"/>
      <c r="GC2" s="209"/>
      <c r="GD2" s="209"/>
      <c r="GE2" s="209"/>
      <c r="GF2" s="209"/>
      <c r="GG2" s="209"/>
      <c r="GH2" s="209"/>
      <c r="GI2" s="209"/>
      <c r="GJ2" s="209"/>
      <c r="GK2" s="209"/>
      <c r="GL2" s="209"/>
      <c r="GM2" s="209"/>
      <c r="GN2" s="209"/>
      <c r="GO2" s="209"/>
      <c r="GP2" s="209"/>
      <c r="GQ2" s="209"/>
      <c r="GR2" s="209"/>
      <c r="GS2" s="209"/>
      <c r="GT2" s="209"/>
      <c r="GU2" s="209"/>
      <c r="GV2" s="209"/>
      <c r="GW2" s="209"/>
      <c r="GX2" s="209"/>
      <c r="GY2" s="209"/>
      <c r="GZ2" s="209"/>
      <c r="HA2" s="209"/>
      <c r="HB2" s="209"/>
      <c r="HC2" s="213"/>
      <c r="HD2" s="208" t="str">
        <f>TEXT(HD5, "mmmm")</f>
        <v>July</v>
      </c>
      <c r="HE2" s="209"/>
      <c r="HF2" s="209"/>
      <c r="HG2" s="209"/>
      <c r="HH2" s="209"/>
      <c r="HI2" s="209"/>
      <c r="HJ2" s="209"/>
      <c r="HK2" s="209"/>
      <c r="HL2" s="209"/>
      <c r="HM2" s="209"/>
      <c r="HN2" s="209"/>
      <c r="HO2" s="209"/>
      <c r="HP2" s="209"/>
      <c r="HQ2" s="209"/>
      <c r="HR2" s="209"/>
      <c r="HS2" s="209"/>
      <c r="HT2" s="209"/>
      <c r="HU2" s="209"/>
      <c r="HV2" s="209"/>
      <c r="HW2" s="209"/>
      <c r="HX2" s="209"/>
      <c r="HY2" s="209"/>
      <c r="HZ2" s="209"/>
      <c r="IA2" s="209"/>
      <c r="IB2" s="209"/>
      <c r="IC2" s="209"/>
      <c r="ID2" s="209"/>
      <c r="IE2" s="209"/>
      <c r="IF2" s="209"/>
      <c r="IG2" s="209"/>
      <c r="IH2" s="213"/>
      <c r="II2" s="208" t="str">
        <f>TEXT(II5, "mmmm")</f>
        <v>August</v>
      </c>
      <c r="IJ2" s="209"/>
      <c r="IK2" s="209"/>
      <c r="IL2" s="209"/>
      <c r="IM2" s="209"/>
      <c r="IN2" s="209"/>
      <c r="IO2" s="209"/>
      <c r="IP2" s="209"/>
      <c r="IQ2" s="209"/>
      <c r="IR2" s="209"/>
      <c r="IS2" s="209"/>
      <c r="IT2" s="209"/>
      <c r="IU2" s="209"/>
      <c r="IV2" s="209"/>
      <c r="IW2" s="209"/>
      <c r="IX2" s="209"/>
      <c r="IY2" s="209"/>
      <c r="IZ2" s="209"/>
      <c r="JA2" s="209"/>
      <c r="JB2" s="209"/>
      <c r="JC2" s="209"/>
      <c r="JD2" s="209"/>
      <c r="JE2" s="209"/>
      <c r="JF2" s="209"/>
      <c r="JG2" s="209"/>
      <c r="JH2" s="209"/>
      <c r="JI2" s="209"/>
      <c r="JJ2" s="209"/>
      <c r="JK2" s="209"/>
      <c r="JL2" s="209"/>
      <c r="JM2" s="213"/>
      <c r="JN2" s="208" t="str">
        <f>TEXT(JN5, "mmmm")</f>
        <v>September</v>
      </c>
      <c r="JO2" s="209"/>
      <c r="JP2" s="209"/>
      <c r="JQ2" s="209"/>
      <c r="JR2" s="209"/>
      <c r="JS2" s="209"/>
      <c r="JT2" s="209"/>
      <c r="JU2" s="209"/>
      <c r="JV2" s="209"/>
      <c r="JW2" s="209"/>
      <c r="JX2" s="209"/>
      <c r="JY2" s="209"/>
      <c r="JZ2" s="209"/>
      <c r="KA2" s="209"/>
      <c r="KB2" s="209"/>
      <c r="KC2" s="209"/>
      <c r="KD2" s="209"/>
      <c r="KE2" s="209"/>
      <c r="KF2" s="209"/>
      <c r="KG2" s="209"/>
      <c r="KH2" s="209"/>
      <c r="KI2" s="209"/>
      <c r="KJ2" s="209"/>
      <c r="KK2" s="209"/>
      <c r="KL2" s="209"/>
      <c r="KM2" s="209"/>
      <c r="KN2" s="209"/>
      <c r="KO2" s="209"/>
      <c r="KP2" s="209"/>
      <c r="KQ2" s="213"/>
      <c r="KR2" s="208" t="str">
        <f>TEXT(LT5, "mmmm")</f>
        <v>October</v>
      </c>
      <c r="KS2" s="209"/>
      <c r="KT2" s="209"/>
      <c r="KU2" s="209"/>
      <c r="KV2" s="209"/>
      <c r="KW2" s="209"/>
      <c r="KX2" s="209"/>
      <c r="KY2" s="209"/>
      <c r="KZ2" s="209"/>
      <c r="LA2" s="209"/>
      <c r="LB2" s="209"/>
      <c r="LC2" s="209"/>
      <c r="LD2" s="209"/>
      <c r="LE2" s="209"/>
      <c r="LF2" s="209"/>
      <c r="LG2" s="209"/>
      <c r="LH2" s="209"/>
      <c r="LI2" s="209"/>
      <c r="LJ2" s="209"/>
      <c r="LK2" s="209"/>
      <c r="LL2" s="209"/>
      <c r="LM2" s="209"/>
      <c r="LN2" s="209"/>
      <c r="LO2" s="209"/>
      <c r="LP2" s="209"/>
      <c r="LQ2" s="209"/>
      <c r="LR2" s="209"/>
      <c r="LS2" s="209"/>
      <c r="LT2" s="209"/>
      <c r="LU2" s="209"/>
      <c r="LV2" s="213"/>
      <c r="LW2" s="208" t="str">
        <f>TEXT(LW5, "mmmm")</f>
        <v>November</v>
      </c>
      <c r="LX2" s="209"/>
      <c r="LY2" s="209"/>
      <c r="LZ2" s="209"/>
      <c r="MA2" s="209"/>
      <c r="MB2" s="209"/>
      <c r="MC2" s="209"/>
      <c r="MD2" s="209"/>
      <c r="ME2" s="209"/>
      <c r="MF2" s="209"/>
      <c r="MG2" s="209"/>
      <c r="MH2" s="209"/>
      <c r="MI2" s="209"/>
      <c r="MJ2" s="209"/>
      <c r="MK2" s="209"/>
      <c r="ML2" s="209"/>
      <c r="MM2" s="209"/>
      <c r="MN2" s="209"/>
      <c r="MO2" s="209"/>
      <c r="MP2" s="209"/>
      <c r="MQ2" s="209"/>
      <c r="MR2" s="209"/>
      <c r="MS2" s="209"/>
      <c r="MT2" s="209"/>
      <c r="MU2" s="209"/>
      <c r="MV2" s="209"/>
      <c r="MW2" s="209"/>
      <c r="MX2" s="209"/>
      <c r="MY2" s="209"/>
      <c r="MZ2" s="213"/>
      <c r="NA2" s="208" t="str">
        <f>TEXT(NA5, "mmmm")</f>
        <v>December</v>
      </c>
      <c r="NB2" s="209"/>
      <c r="NC2" s="209"/>
      <c r="ND2" s="209"/>
      <c r="NE2" s="209"/>
      <c r="NF2" s="209"/>
      <c r="NG2" s="209"/>
      <c r="NH2" s="209"/>
      <c r="NI2" s="209"/>
      <c r="NJ2" s="209"/>
      <c r="NK2" s="209"/>
      <c r="NL2" s="209"/>
      <c r="NM2" s="209"/>
      <c r="NN2" s="209"/>
      <c r="NO2" s="209"/>
      <c r="NP2" s="209"/>
      <c r="NQ2" s="209"/>
      <c r="NR2" s="209"/>
      <c r="NS2" s="209"/>
      <c r="NT2" s="209"/>
      <c r="NU2" s="209"/>
      <c r="NV2" s="209"/>
      <c r="NW2" s="209"/>
      <c r="NX2" s="209"/>
      <c r="NY2" s="209"/>
      <c r="NZ2" s="209"/>
      <c r="OA2" s="209"/>
      <c r="OB2" s="209"/>
      <c r="OC2" s="209"/>
      <c r="OD2" s="209"/>
      <c r="OE2" s="210"/>
    </row>
    <row r="3" spans="1:395">
      <c r="A3" s="205"/>
      <c r="B3" s="206"/>
      <c r="C3" s="206"/>
      <c r="D3" s="206"/>
      <c r="E3" s="206"/>
      <c r="F3" s="206"/>
      <c r="G3" s="211" t="s">
        <v>61</v>
      </c>
      <c r="H3" s="212"/>
      <c r="I3" s="212" t="s">
        <v>62</v>
      </c>
      <c r="J3" s="212"/>
      <c r="K3" s="212" t="s">
        <v>63</v>
      </c>
      <c r="L3" s="212"/>
      <c r="M3" s="212" t="s">
        <v>64</v>
      </c>
      <c r="N3" s="212"/>
      <c r="O3" s="212" t="s">
        <v>65</v>
      </c>
      <c r="P3" s="212"/>
      <c r="Q3" s="212" t="s">
        <v>66</v>
      </c>
      <c r="R3" s="212"/>
      <c r="S3" s="212" t="s">
        <v>67</v>
      </c>
      <c r="T3" s="212"/>
      <c r="U3" s="212" t="s">
        <v>68</v>
      </c>
      <c r="V3" s="212"/>
      <c r="W3" s="212" t="s">
        <v>69</v>
      </c>
      <c r="X3" s="212"/>
      <c r="Y3" s="212" t="s">
        <v>70</v>
      </c>
      <c r="Z3" s="212"/>
      <c r="AA3" s="212" t="s">
        <v>71</v>
      </c>
      <c r="AB3" s="212"/>
      <c r="AC3" s="212" t="s">
        <v>72</v>
      </c>
      <c r="AD3" s="212"/>
      <c r="AE3" s="218" t="str">
        <f>"W" &amp; TEXT(WEEKNUM(AE5), "0")</f>
        <v>W1</v>
      </c>
      <c r="AF3" s="218"/>
      <c r="AG3" s="218"/>
      <c r="AH3" s="218"/>
      <c r="AI3" s="218"/>
      <c r="AJ3" s="218" t="str">
        <f>"W" &amp; TEXT(WEEKNUM(AJ5), "0")</f>
        <v>W2</v>
      </c>
      <c r="AK3" s="218"/>
      <c r="AL3" s="218"/>
      <c r="AM3" s="218"/>
      <c r="AN3" s="218"/>
      <c r="AO3" s="218"/>
      <c r="AP3" s="218"/>
      <c r="AQ3" s="218" t="str">
        <f>"W" &amp; TEXT(WEEKNUM(AQ5), "0")</f>
        <v>W3</v>
      </c>
      <c r="AR3" s="218"/>
      <c r="AS3" s="218"/>
      <c r="AT3" s="218"/>
      <c r="AU3" s="218"/>
      <c r="AV3" s="218"/>
      <c r="AW3" s="218"/>
      <c r="AX3" s="218" t="str">
        <f>"W" &amp; TEXT(WEEKNUM(AX5), "0")</f>
        <v>W4</v>
      </c>
      <c r="AY3" s="218"/>
      <c r="AZ3" s="218"/>
      <c r="BA3" s="218"/>
      <c r="BB3" s="218"/>
      <c r="BC3" s="218"/>
      <c r="BD3" s="218"/>
      <c r="BE3" s="218" t="str">
        <f>"W" &amp; TEXT(WEEKNUM(BE5), "0")</f>
        <v>W5</v>
      </c>
      <c r="BF3" s="218"/>
      <c r="BG3" s="218"/>
      <c r="BH3" s="218"/>
      <c r="BI3" s="218"/>
      <c r="BJ3" s="218"/>
      <c r="BK3" s="218"/>
      <c r="BL3" s="218" t="str">
        <f>"W" &amp; TEXT(WEEKNUM(BL5), "0")</f>
        <v>W6</v>
      </c>
      <c r="BM3" s="218"/>
      <c r="BN3" s="218"/>
      <c r="BO3" s="218"/>
      <c r="BP3" s="218"/>
      <c r="BQ3" s="218"/>
      <c r="BR3" s="218"/>
      <c r="BS3" s="218" t="str">
        <f>"W" &amp; TEXT(WEEKNUM(BS5), "0")</f>
        <v>W7</v>
      </c>
      <c r="BT3" s="218"/>
      <c r="BU3" s="218"/>
      <c r="BV3" s="218"/>
      <c r="BW3" s="218"/>
      <c r="BX3" s="218"/>
      <c r="BY3" s="218"/>
      <c r="BZ3" s="218" t="str">
        <f>"W" &amp; TEXT(WEEKNUM(BZ5), "0")</f>
        <v>W8</v>
      </c>
      <c r="CA3" s="218"/>
      <c r="CB3" s="218"/>
      <c r="CC3" s="218"/>
      <c r="CD3" s="218"/>
      <c r="CE3" s="218"/>
      <c r="CF3" s="218"/>
      <c r="CG3" s="218" t="str">
        <f>"W" &amp; TEXT(WEEKNUM(CG5), "0")</f>
        <v>W9</v>
      </c>
      <c r="CH3" s="218"/>
      <c r="CI3" s="218"/>
      <c r="CJ3" s="218"/>
      <c r="CK3" s="218"/>
      <c r="CL3" s="218"/>
      <c r="CM3" s="218"/>
      <c r="CN3" s="218" t="str">
        <f>"W" &amp; TEXT(WEEKNUM(CN5), "0")</f>
        <v>W10</v>
      </c>
      <c r="CO3" s="218"/>
      <c r="CP3" s="218"/>
      <c r="CQ3" s="218"/>
      <c r="CR3" s="218"/>
      <c r="CS3" s="218"/>
      <c r="CT3" s="218"/>
      <c r="CU3" s="218" t="str">
        <f>"W" &amp; TEXT(WEEKNUM(CU5), "0")</f>
        <v>W11</v>
      </c>
      <c r="CV3" s="218"/>
      <c r="CW3" s="218"/>
      <c r="CX3" s="218"/>
      <c r="CY3" s="218"/>
      <c r="CZ3" s="218"/>
      <c r="DA3" s="218"/>
      <c r="DB3" s="218" t="str">
        <f>"W" &amp; TEXT(WEEKNUM(DB5), "0")</f>
        <v>W12</v>
      </c>
      <c r="DC3" s="218"/>
      <c r="DD3" s="218"/>
      <c r="DE3" s="218"/>
      <c r="DF3" s="218"/>
      <c r="DG3" s="218"/>
      <c r="DH3" s="218"/>
      <c r="DI3" s="218" t="str">
        <f>"W" &amp; TEXT(WEEKNUM(DI5), "0")</f>
        <v>W13</v>
      </c>
      <c r="DJ3" s="218"/>
      <c r="DK3" s="218"/>
      <c r="DL3" s="218"/>
      <c r="DM3" s="218"/>
      <c r="DN3" s="218"/>
      <c r="DO3" s="218"/>
      <c r="DP3" s="218" t="str">
        <f>"W" &amp; TEXT(WEEKNUM(DP5), "0")</f>
        <v>W14</v>
      </c>
      <c r="DQ3" s="218"/>
      <c r="DR3" s="218"/>
      <c r="DS3" s="218"/>
      <c r="DT3" s="218"/>
      <c r="DU3" s="218"/>
      <c r="DV3" s="218"/>
      <c r="DW3" s="218" t="str">
        <f>"W" &amp; TEXT(WEEKNUM(DW5), "0")</f>
        <v>W15</v>
      </c>
      <c r="DX3" s="218"/>
      <c r="DY3" s="218"/>
      <c r="DZ3" s="218"/>
      <c r="EA3" s="218"/>
      <c r="EB3" s="218"/>
      <c r="EC3" s="218"/>
      <c r="ED3" s="218" t="str">
        <f>"W" &amp; TEXT(WEEKNUM(ED5), "0")</f>
        <v>W16</v>
      </c>
      <c r="EE3" s="218"/>
      <c r="EF3" s="218"/>
      <c r="EG3" s="218"/>
      <c r="EH3" s="218"/>
      <c r="EI3" s="218"/>
      <c r="EJ3" s="218"/>
      <c r="EK3" s="218" t="str">
        <f>"W" &amp; TEXT(WEEKNUM(EK5), "0")</f>
        <v>W17</v>
      </c>
      <c r="EL3" s="218"/>
      <c r="EM3" s="218"/>
      <c r="EN3" s="218"/>
      <c r="EO3" s="218"/>
      <c r="EP3" s="218"/>
      <c r="EQ3" s="218"/>
      <c r="ER3" s="218" t="str">
        <f>"W" &amp; TEXT(WEEKNUM(ER5), "0")</f>
        <v>W18</v>
      </c>
      <c r="ES3" s="218"/>
      <c r="ET3" s="218"/>
      <c r="EU3" s="218"/>
      <c r="EV3" s="218"/>
      <c r="EW3" s="218"/>
      <c r="EX3" s="218"/>
      <c r="EY3" s="218" t="str">
        <f>"W" &amp; TEXT(WEEKNUM(EY5), "0")</f>
        <v>W19</v>
      </c>
      <c r="EZ3" s="218"/>
      <c r="FA3" s="218"/>
      <c r="FB3" s="218"/>
      <c r="FC3" s="218"/>
      <c r="FD3" s="218"/>
      <c r="FE3" s="218"/>
      <c r="FF3" s="218" t="str">
        <f>"W" &amp; TEXT(WEEKNUM(FF5), "0")</f>
        <v>W20</v>
      </c>
      <c r="FG3" s="218"/>
      <c r="FH3" s="218"/>
      <c r="FI3" s="218"/>
      <c r="FJ3" s="218"/>
      <c r="FK3" s="218"/>
      <c r="FL3" s="218"/>
      <c r="FM3" s="218" t="str">
        <f>"W" &amp; TEXT(WEEKNUM(FM5), "0")</f>
        <v>W21</v>
      </c>
      <c r="FN3" s="218"/>
      <c r="FO3" s="218"/>
      <c r="FP3" s="218"/>
      <c r="FQ3" s="218"/>
      <c r="FR3" s="218"/>
      <c r="FS3" s="218"/>
      <c r="FT3" s="218" t="str">
        <f>"W" &amp; TEXT(WEEKNUM(FT5), "0")</f>
        <v>W22</v>
      </c>
      <c r="FU3" s="218"/>
      <c r="FV3" s="218"/>
      <c r="FW3" s="218"/>
      <c r="FX3" s="218"/>
      <c r="FY3" s="218"/>
      <c r="FZ3" s="218"/>
      <c r="GA3" s="218" t="str">
        <f>"W" &amp; TEXT(WEEKNUM(GA5), "0")</f>
        <v>W23</v>
      </c>
      <c r="GB3" s="218"/>
      <c r="GC3" s="218"/>
      <c r="GD3" s="218"/>
      <c r="GE3" s="218"/>
      <c r="GF3" s="218"/>
      <c r="GG3" s="218"/>
      <c r="GH3" s="218" t="str">
        <f>"W" &amp; TEXT(WEEKNUM(GH5), "0")</f>
        <v>W24</v>
      </c>
      <c r="GI3" s="218"/>
      <c r="GJ3" s="218"/>
      <c r="GK3" s="218"/>
      <c r="GL3" s="218"/>
      <c r="GM3" s="218"/>
      <c r="GN3" s="218"/>
      <c r="GO3" s="218" t="str">
        <f>"W" &amp; TEXT(WEEKNUM(GO5), "0")</f>
        <v>W25</v>
      </c>
      <c r="GP3" s="218"/>
      <c r="GQ3" s="218"/>
      <c r="GR3" s="218"/>
      <c r="GS3" s="218"/>
      <c r="GT3" s="218"/>
      <c r="GU3" s="218"/>
      <c r="GV3" s="218" t="str">
        <f>"W" &amp; TEXT(WEEKNUM(GV5), "0")</f>
        <v>W26</v>
      </c>
      <c r="GW3" s="218"/>
      <c r="GX3" s="218"/>
      <c r="GY3" s="218"/>
      <c r="GZ3" s="218"/>
      <c r="HA3" s="218"/>
      <c r="HB3" s="218"/>
      <c r="HC3" s="218" t="str">
        <f>"W" &amp; TEXT(WEEKNUM(HC5), "0")</f>
        <v>W27</v>
      </c>
      <c r="HD3" s="218"/>
      <c r="HE3" s="218"/>
      <c r="HF3" s="218"/>
      <c r="HG3" s="218"/>
      <c r="HH3" s="218"/>
      <c r="HI3" s="218"/>
      <c r="HJ3" s="218" t="str">
        <f>"W" &amp; TEXT(WEEKNUM(HJ5), "0")</f>
        <v>W28</v>
      </c>
      <c r="HK3" s="218"/>
      <c r="HL3" s="218"/>
      <c r="HM3" s="218"/>
      <c r="HN3" s="218"/>
      <c r="HO3" s="218"/>
      <c r="HP3" s="218"/>
      <c r="HQ3" s="218" t="str">
        <f>"W" &amp; TEXT(WEEKNUM(HQ5), "0")</f>
        <v>W29</v>
      </c>
      <c r="HR3" s="218"/>
      <c r="HS3" s="218"/>
      <c r="HT3" s="218"/>
      <c r="HU3" s="218"/>
      <c r="HV3" s="218"/>
      <c r="HW3" s="218"/>
      <c r="HX3" s="218" t="str">
        <f>"W" &amp; TEXT(WEEKNUM(HX5), "0")</f>
        <v>W30</v>
      </c>
      <c r="HY3" s="218"/>
      <c r="HZ3" s="218"/>
      <c r="IA3" s="218"/>
      <c r="IB3" s="218"/>
      <c r="IC3" s="218"/>
      <c r="ID3" s="218"/>
      <c r="IE3" s="218" t="str">
        <f>"W" &amp; TEXT(WEEKNUM(IE5), "0")</f>
        <v>W31</v>
      </c>
      <c r="IF3" s="218"/>
      <c r="IG3" s="218"/>
      <c r="IH3" s="218"/>
      <c r="II3" s="218"/>
      <c r="IJ3" s="218"/>
      <c r="IK3" s="218"/>
      <c r="IL3" s="218" t="str">
        <f>"W" &amp; TEXT(WEEKNUM(IL5), "0")</f>
        <v>W32</v>
      </c>
      <c r="IM3" s="218"/>
      <c r="IN3" s="218"/>
      <c r="IO3" s="218"/>
      <c r="IP3" s="218"/>
      <c r="IQ3" s="218"/>
      <c r="IR3" s="218"/>
      <c r="IS3" s="218" t="str">
        <f>"W" &amp; TEXT(WEEKNUM(IS5), "0")</f>
        <v>W33</v>
      </c>
      <c r="IT3" s="218"/>
      <c r="IU3" s="218"/>
      <c r="IV3" s="218"/>
      <c r="IW3" s="218"/>
      <c r="IX3" s="218"/>
      <c r="IY3" s="218"/>
      <c r="IZ3" s="218" t="str">
        <f>"W" &amp; TEXT(WEEKNUM(IZ5), "0")</f>
        <v>W34</v>
      </c>
      <c r="JA3" s="218"/>
      <c r="JB3" s="218"/>
      <c r="JC3" s="218"/>
      <c r="JD3" s="218"/>
      <c r="JE3" s="218"/>
      <c r="JF3" s="218"/>
      <c r="JG3" s="218" t="str">
        <f>"W" &amp; TEXT(WEEKNUM(JG5), "0")</f>
        <v>W35</v>
      </c>
      <c r="JH3" s="218"/>
      <c r="JI3" s="218"/>
      <c r="JJ3" s="218"/>
      <c r="JK3" s="218"/>
      <c r="JL3" s="218"/>
      <c r="JM3" s="218"/>
      <c r="JN3" s="218" t="str">
        <f>"W" &amp; TEXT(WEEKNUM(JN5), "0")</f>
        <v>W36</v>
      </c>
      <c r="JO3" s="218"/>
      <c r="JP3" s="218"/>
      <c r="JQ3" s="218"/>
      <c r="JR3" s="218"/>
      <c r="JS3" s="218"/>
      <c r="JT3" s="218"/>
      <c r="JU3" s="218" t="str">
        <f>"W" &amp; TEXT(WEEKNUM(JU5), "0")</f>
        <v>W37</v>
      </c>
      <c r="JV3" s="218"/>
      <c r="JW3" s="218"/>
      <c r="JX3" s="218"/>
      <c r="JY3" s="218"/>
      <c r="JZ3" s="218"/>
      <c r="KA3" s="218"/>
      <c r="KB3" s="218" t="str">
        <f>"W" &amp; TEXT(WEEKNUM(KB5), "0")</f>
        <v>W38</v>
      </c>
      <c r="KC3" s="218"/>
      <c r="KD3" s="218"/>
      <c r="KE3" s="218"/>
      <c r="KF3" s="218"/>
      <c r="KG3" s="218"/>
      <c r="KH3" s="218"/>
      <c r="KI3" s="218" t="str">
        <f>"W" &amp; TEXT(WEEKNUM(KI5), "0")</f>
        <v>W39</v>
      </c>
      <c r="KJ3" s="218"/>
      <c r="KK3" s="218"/>
      <c r="KL3" s="218"/>
      <c r="KM3" s="218"/>
      <c r="KN3" s="218"/>
      <c r="KO3" s="218"/>
      <c r="KP3" s="218" t="str">
        <f>"W" &amp; TEXT(WEEKNUM(KP5), "0")</f>
        <v>W40</v>
      </c>
      <c r="KQ3" s="218"/>
      <c r="KR3" s="218"/>
      <c r="KS3" s="218"/>
      <c r="KT3" s="218"/>
      <c r="KU3" s="218"/>
      <c r="KV3" s="218"/>
      <c r="KW3" s="218" t="str">
        <f>"W" &amp; TEXT(WEEKNUM(KW5), "0")</f>
        <v>W41</v>
      </c>
      <c r="KX3" s="218"/>
      <c r="KY3" s="218"/>
      <c r="KZ3" s="218"/>
      <c r="LA3" s="218"/>
      <c r="LB3" s="218"/>
      <c r="LC3" s="218"/>
      <c r="LD3" s="218" t="str">
        <f>"W" &amp; TEXT(WEEKNUM(LD5), "0")</f>
        <v>W42</v>
      </c>
      <c r="LE3" s="218"/>
      <c r="LF3" s="218"/>
      <c r="LG3" s="218"/>
      <c r="LH3" s="218"/>
      <c r="LI3" s="218"/>
      <c r="LJ3" s="218"/>
      <c r="LK3" s="218" t="str">
        <f>"W" &amp; TEXT(WEEKNUM(LK5), "0")</f>
        <v>W43</v>
      </c>
      <c r="LL3" s="218"/>
      <c r="LM3" s="218"/>
      <c r="LN3" s="218"/>
      <c r="LO3" s="218"/>
      <c r="LP3" s="218"/>
      <c r="LQ3" s="218"/>
      <c r="LR3" s="218" t="str">
        <f>"W" &amp; TEXT(WEEKNUM(LR5), "0")</f>
        <v>W44</v>
      </c>
      <c r="LS3" s="218"/>
      <c r="LT3" s="218"/>
      <c r="LU3" s="218"/>
      <c r="LV3" s="218"/>
      <c r="LW3" s="218"/>
      <c r="LX3" s="218"/>
      <c r="LY3" s="218" t="str">
        <f>"W" &amp; TEXT(WEEKNUM(LY5), "0")</f>
        <v>W45</v>
      </c>
      <c r="LZ3" s="218"/>
      <c r="MA3" s="218"/>
      <c r="MB3" s="218"/>
      <c r="MC3" s="218"/>
      <c r="MD3" s="218"/>
      <c r="ME3" s="218"/>
      <c r="MF3" s="218" t="str">
        <f>"W" &amp; TEXT(WEEKNUM(MF5), "0")</f>
        <v>W46</v>
      </c>
      <c r="MG3" s="218"/>
      <c r="MH3" s="218"/>
      <c r="MI3" s="218"/>
      <c r="MJ3" s="218"/>
      <c r="MK3" s="218"/>
      <c r="ML3" s="218"/>
      <c r="MM3" s="218" t="str">
        <f>"W" &amp; TEXT(WEEKNUM(MM5), "0")</f>
        <v>W47</v>
      </c>
      <c r="MN3" s="218"/>
      <c r="MO3" s="218"/>
      <c r="MP3" s="218"/>
      <c r="MQ3" s="218"/>
      <c r="MR3" s="218"/>
      <c r="MS3" s="218"/>
      <c r="MT3" s="218" t="str">
        <f>"W" &amp; TEXT(WEEKNUM(MT5), "0")</f>
        <v>W48</v>
      </c>
      <c r="MU3" s="218"/>
      <c r="MV3" s="218"/>
      <c r="MW3" s="218"/>
      <c r="MX3" s="218"/>
      <c r="MY3" s="218"/>
      <c r="MZ3" s="218"/>
      <c r="NA3" s="218" t="str">
        <f>"W" &amp; TEXT(WEEKNUM(NA5), "0")</f>
        <v>W49</v>
      </c>
      <c r="NB3" s="218"/>
      <c r="NC3" s="218"/>
      <c r="ND3" s="218"/>
      <c r="NE3" s="218"/>
      <c r="NF3" s="218"/>
      <c r="NG3" s="218"/>
      <c r="NH3" s="218" t="str">
        <f>"W" &amp; TEXT(WEEKNUM(NH5), "0")</f>
        <v>W50</v>
      </c>
      <c r="NI3" s="218"/>
      <c r="NJ3" s="218"/>
      <c r="NK3" s="218"/>
      <c r="NL3" s="218"/>
      <c r="NM3" s="218"/>
      <c r="NN3" s="218"/>
      <c r="NO3" s="218" t="str">
        <f>"W" &amp; TEXT(WEEKNUM(NO5), "0")</f>
        <v>W51</v>
      </c>
      <c r="NP3" s="218"/>
      <c r="NQ3" s="218"/>
      <c r="NR3" s="218"/>
      <c r="NS3" s="218"/>
      <c r="NT3" s="218"/>
      <c r="NU3" s="218"/>
      <c r="NV3" s="218" t="str">
        <f>"W" &amp; TEXT(WEEKNUM(NV5), "0")</f>
        <v>W52</v>
      </c>
      <c r="NW3" s="218"/>
      <c r="NX3" s="218"/>
      <c r="NY3" s="218"/>
      <c r="NZ3" s="218"/>
      <c r="OA3" s="218"/>
      <c r="OB3" s="218"/>
      <c r="OC3" s="218" t="str">
        <f>"W" &amp; TEXT(WEEKNUM(OC5), "0")</f>
        <v>W53</v>
      </c>
      <c r="OD3" s="218"/>
      <c r="OE3" s="220"/>
    </row>
    <row r="4" spans="1:395">
      <c r="A4" s="205"/>
      <c r="B4" s="206"/>
      <c r="C4" s="206"/>
      <c r="D4" s="206"/>
      <c r="E4" s="206"/>
      <c r="F4" s="206"/>
      <c r="G4" s="221" t="s">
        <v>73</v>
      </c>
      <c r="H4" s="219" t="s">
        <v>74</v>
      </c>
      <c r="I4" s="219" t="s">
        <v>73</v>
      </c>
      <c r="J4" s="219" t="s">
        <v>74</v>
      </c>
      <c r="K4" s="219" t="s">
        <v>73</v>
      </c>
      <c r="L4" s="219" t="s">
        <v>74</v>
      </c>
      <c r="M4" s="219" t="s">
        <v>73</v>
      </c>
      <c r="N4" s="219" t="s">
        <v>74</v>
      </c>
      <c r="O4" s="219" t="s">
        <v>73</v>
      </c>
      <c r="P4" s="219" t="s">
        <v>74</v>
      </c>
      <c r="Q4" s="219" t="s">
        <v>73</v>
      </c>
      <c r="R4" s="219" t="s">
        <v>74</v>
      </c>
      <c r="S4" s="219" t="s">
        <v>73</v>
      </c>
      <c r="T4" s="219" t="s">
        <v>74</v>
      </c>
      <c r="U4" s="219" t="s">
        <v>73</v>
      </c>
      <c r="V4" s="219" t="s">
        <v>74</v>
      </c>
      <c r="W4" s="219" t="s">
        <v>73</v>
      </c>
      <c r="X4" s="219" t="s">
        <v>74</v>
      </c>
      <c r="Y4" s="219" t="s">
        <v>73</v>
      </c>
      <c r="Z4" s="219" t="s">
        <v>74</v>
      </c>
      <c r="AA4" s="219" t="s">
        <v>73</v>
      </c>
      <c r="AB4" s="219" t="s">
        <v>74</v>
      </c>
      <c r="AC4" s="219" t="s">
        <v>73</v>
      </c>
      <c r="AD4" s="219" t="s">
        <v>74</v>
      </c>
      <c r="AE4" s="9" t="str">
        <f>LEFT(TEXT(AE5,"dddd"),1)</f>
        <v>T</v>
      </c>
      <c r="AF4" s="9" t="str">
        <f t="shared" ref="AF4:CQ4" si="0">LEFT(TEXT(AF5,"dddd"),1)</f>
        <v>F</v>
      </c>
      <c r="AG4" s="9" t="str">
        <f t="shared" si="0"/>
        <v>S</v>
      </c>
      <c r="AH4" s="9" t="str">
        <f t="shared" si="0"/>
        <v>S</v>
      </c>
      <c r="AI4" s="9" t="str">
        <f t="shared" si="0"/>
        <v>M</v>
      </c>
      <c r="AJ4" s="9" t="str">
        <f t="shared" si="0"/>
        <v>T</v>
      </c>
      <c r="AK4" s="9" t="str">
        <f t="shared" si="0"/>
        <v>W</v>
      </c>
      <c r="AL4" s="9" t="str">
        <f t="shared" si="0"/>
        <v>T</v>
      </c>
      <c r="AM4" s="9" t="str">
        <f t="shared" si="0"/>
        <v>F</v>
      </c>
      <c r="AN4" s="9" t="str">
        <f t="shared" si="0"/>
        <v>S</v>
      </c>
      <c r="AO4" s="9" t="str">
        <f t="shared" si="0"/>
        <v>S</v>
      </c>
      <c r="AP4" s="9" t="str">
        <f t="shared" si="0"/>
        <v>M</v>
      </c>
      <c r="AQ4" s="9" t="str">
        <f t="shared" si="0"/>
        <v>T</v>
      </c>
      <c r="AR4" s="9" t="str">
        <f t="shared" si="0"/>
        <v>W</v>
      </c>
      <c r="AS4" s="9" t="str">
        <f t="shared" si="0"/>
        <v>T</v>
      </c>
      <c r="AT4" s="9" t="str">
        <f t="shared" si="0"/>
        <v>F</v>
      </c>
      <c r="AU4" s="9" t="str">
        <f t="shared" si="0"/>
        <v>S</v>
      </c>
      <c r="AV4" s="9" t="str">
        <f t="shared" si="0"/>
        <v>S</v>
      </c>
      <c r="AW4" s="9" t="str">
        <f t="shared" si="0"/>
        <v>M</v>
      </c>
      <c r="AX4" s="9" t="str">
        <f t="shared" si="0"/>
        <v>T</v>
      </c>
      <c r="AY4" s="9" t="str">
        <f t="shared" si="0"/>
        <v>W</v>
      </c>
      <c r="AZ4" s="9" t="str">
        <f t="shared" si="0"/>
        <v>T</v>
      </c>
      <c r="BA4" s="9" t="str">
        <f t="shared" si="0"/>
        <v>F</v>
      </c>
      <c r="BB4" s="9" t="str">
        <f t="shared" si="0"/>
        <v>S</v>
      </c>
      <c r="BC4" s="9" t="str">
        <f t="shared" si="0"/>
        <v>S</v>
      </c>
      <c r="BD4" s="9" t="str">
        <f t="shared" si="0"/>
        <v>M</v>
      </c>
      <c r="BE4" s="9" t="str">
        <f t="shared" si="0"/>
        <v>T</v>
      </c>
      <c r="BF4" s="9" t="str">
        <f t="shared" si="0"/>
        <v>W</v>
      </c>
      <c r="BG4" s="9" t="str">
        <f t="shared" si="0"/>
        <v>T</v>
      </c>
      <c r="BH4" s="9" t="str">
        <f t="shared" si="0"/>
        <v>F</v>
      </c>
      <c r="BI4" s="9" t="str">
        <f t="shared" si="0"/>
        <v>S</v>
      </c>
      <c r="BJ4" s="9" t="str">
        <f t="shared" si="0"/>
        <v>S</v>
      </c>
      <c r="BK4" s="9" t="str">
        <f t="shared" si="0"/>
        <v>M</v>
      </c>
      <c r="BL4" s="9" t="str">
        <f t="shared" si="0"/>
        <v>T</v>
      </c>
      <c r="BM4" s="9" t="str">
        <f t="shared" si="0"/>
        <v>W</v>
      </c>
      <c r="BN4" s="9" t="str">
        <f t="shared" si="0"/>
        <v>T</v>
      </c>
      <c r="BO4" s="9" t="str">
        <f t="shared" si="0"/>
        <v>F</v>
      </c>
      <c r="BP4" s="9" t="str">
        <f t="shared" si="0"/>
        <v>S</v>
      </c>
      <c r="BQ4" s="9" t="str">
        <f t="shared" si="0"/>
        <v>S</v>
      </c>
      <c r="BR4" s="9" t="str">
        <f t="shared" si="0"/>
        <v>M</v>
      </c>
      <c r="BS4" s="9" t="str">
        <f t="shared" si="0"/>
        <v>T</v>
      </c>
      <c r="BT4" s="9" t="str">
        <f t="shared" si="0"/>
        <v>W</v>
      </c>
      <c r="BU4" s="9" t="str">
        <f t="shared" si="0"/>
        <v>T</v>
      </c>
      <c r="BV4" s="9" t="str">
        <f t="shared" si="0"/>
        <v>F</v>
      </c>
      <c r="BW4" s="9" t="str">
        <f t="shared" si="0"/>
        <v>S</v>
      </c>
      <c r="BX4" s="9" t="str">
        <f t="shared" si="0"/>
        <v>S</v>
      </c>
      <c r="BY4" s="9" t="str">
        <f t="shared" si="0"/>
        <v>M</v>
      </c>
      <c r="BZ4" s="9" t="str">
        <f t="shared" si="0"/>
        <v>T</v>
      </c>
      <c r="CA4" s="9" t="str">
        <f t="shared" si="0"/>
        <v>W</v>
      </c>
      <c r="CB4" s="9" t="str">
        <f t="shared" si="0"/>
        <v>T</v>
      </c>
      <c r="CC4" s="9" t="str">
        <f t="shared" si="0"/>
        <v>F</v>
      </c>
      <c r="CD4" s="9" t="str">
        <f t="shared" si="0"/>
        <v>S</v>
      </c>
      <c r="CE4" s="9" t="str">
        <f t="shared" si="0"/>
        <v>S</v>
      </c>
      <c r="CF4" s="9" t="str">
        <f t="shared" si="0"/>
        <v>M</v>
      </c>
      <c r="CG4" s="9" t="str">
        <f t="shared" si="0"/>
        <v>T</v>
      </c>
      <c r="CH4" s="9" t="str">
        <f t="shared" si="0"/>
        <v>W</v>
      </c>
      <c r="CI4" s="9" t="str">
        <f t="shared" si="0"/>
        <v>T</v>
      </c>
      <c r="CJ4" s="9" t="str">
        <f t="shared" si="0"/>
        <v>F</v>
      </c>
      <c r="CK4" s="9" t="str">
        <f t="shared" si="0"/>
        <v>S</v>
      </c>
      <c r="CL4" s="9" t="str">
        <f t="shared" si="0"/>
        <v>S</v>
      </c>
      <c r="CM4" s="9" t="str">
        <f t="shared" si="0"/>
        <v>M</v>
      </c>
      <c r="CN4" s="9" t="str">
        <f t="shared" si="0"/>
        <v>T</v>
      </c>
      <c r="CO4" s="9" t="str">
        <f t="shared" si="0"/>
        <v>W</v>
      </c>
      <c r="CP4" s="9" t="str">
        <f t="shared" si="0"/>
        <v>T</v>
      </c>
      <c r="CQ4" s="9" t="str">
        <f t="shared" si="0"/>
        <v>F</v>
      </c>
      <c r="CR4" s="9" t="str">
        <f t="shared" ref="CR4:FC4" si="1">LEFT(TEXT(CR5,"dddd"),1)</f>
        <v>S</v>
      </c>
      <c r="CS4" s="9" t="str">
        <f t="shared" si="1"/>
        <v>S</v>
      </c>
      <c r="CT4" s="9" t="str">
        <f t="shared" si="1"/>
        <v>M</v>
      </c>
      <c r="CU4" s="9" t="str">
        <f t="shared" si="1"/>
        <v>T</v>
      </c>
      <c r="CV4" s="9" t="str">
        <f t="shared" si="1"/>
        <v>W</v>
      </c>
      <c r="CW4" s="9" t="str">
        <f t="shared" si="1"/>
        <v>T</v>
      </c>
      <c r="CX4" s="9" t="str">
        <f t="shared" si="1"/>
        <v>F</v>
      </c>
      <c r="CY4" s="9" t="str">
        <f t="shared" si="1"/>
        <v>S</v>
      </c>
      <c r="CZ4" s="9" t="str">
        <f t="shared" si="1"/>
        <v>S</v>
      </c>
      <c r="DA4" s="9" t="str">
        <f t="shared" si="1"/>
        <v>M</v>
      </c>
      <c r="DB4" s="9" t="str">
        <f t="shared" si="1"/>
        <v>T</v>
      </c>
      <c r="DC4" s="9" t="str">
        <f t="shared" si="1"/>
        <v>W</v>
      </c>
      <c r="DD4" s="9" t="str">
        <f t="shared" si="1"/>
        <v>T</v>
      </c>
      <c r="DE4" s="9" t="str">
        <f t="shared" si="1"/>
        <v>F</v>
      </c>
      <c r="DF4" s="9" t="str">
        <f t="shared" si="1"/>
        <v>S</v>
      </c>
      <c r="DG4" s="9" t="str">
        <f t="shared" si="1"/>
        <v>S</v>
      </c>
      <c r="DH4" s="9" t="str">
        <f t="shared" si="1"/>
        <v>M</v>
      </c>
      <c r="DI4" s="9" t="str">
        <f t="shared" si="1"/>
        <v>T</v>
      </c>
      <c r="DJ4" s="9" t="str">
        <f t="shared" si="1"/>
        <v>W</v>
      </c>
      <c r="DK4" s="9" t="str">
        <f t="shared" si="1"/>
        <v>T</v>
      </c>
      <c r="DL4" s="9" t="str">
        <f t="shared" si="1"/>
        <v>F</v>
      </c>
      <c r="DM4" s="9" t="str">
        <f t="shared" si="1"/>
        <v>S</v>
      </c>
      <c r="DN4" s="9" t="str">
        <f t="shared" si="1"/>
        <v>S</v>
      </c>
      <c r="DO4" s="9" t="str">
        <f t="shared" si="1"/>
        <v>M</v>
      </c>
      <c r="DP4" s="9" t="str">
        <f t="shared" si="1"/>
        <v>T</v>
      </c>
      <c r="DQ4" s="9" t="str">
        <f t="shared" si="1"/>
        <v>W</v>
      </c>
      <c r="DR4" s="9" t="str">
        <f t="shared" si="1"/>
        <v>T</v>
      </c>
      <c r="DS4" s="9" t="str">
        <f t="shared" si="1"/>
        <v>F</v>
      </c>
      <c r="DT4" s="9" t="str">
        <f t="shared" si="1"/>
        <v>S</v>
      </c>
      <c r="DU4" s="9" t="str">
        <f t="shared" si="1"/>
        <v>S</v>
      </c>
      <c r="DV4" s="9" t="str">
        <f t="shared" si="1"/>
        <v>M</v>
      </c>
      <c r="DW4" s="9" t="str">
        <f t="shared" si="1"/>
        <v>T</v>
      </c>
      <c r="DX4" s="9" t="str">
        <f t="shared" si="1"/>
        <v>W</v>
      </c>
      <c r="DY4" s="9" t="str">
        <f t="shared" si="1"/>
        <v>T</v>
      </c>
      <c r="DZ4" s="9" t="str">
        <f t="shared" si="1"/>
        <v>F</v>
      </c>
      <c r="EA4" s="9" t="str">
        <f t="shared" si="1"/>
        <v>S</v>
      </c>
      <c r="EB4" s="9" t="str">
        <f t="shared" si="1"/>
        <v>S</v>
      </c>
      <c r="EC4" s="9" t="str">
        <f t="shared" si="1"/>
        <v>M</v>
      </c>
      <c r="ED4" s="9" t="str">
        <f t="shared" si="1"/>
        <v>T</v>
      </c>
      <c r="EE4" s="9" t="str">
        <f t="shared" si="1"/>
        <v>W</v>
      </c>
      <c r="EF4" s="9" t="str">
        <f t="shared" si="1"/>
        <v>T</v>
      </c>
      <c r="EG4" s="9" t="str">
        <f t="shared" si="1"/>
        <v>F</v>
      </c>
      <c r="EH4" s="9" t="str">
        <f t="shared" si="1"/>
        <v>S</v>
      </c>
      <c r="EI4" s="9" t="str">
        <f t="shared" si="1"/>
        <v>S</v>
      </c>
      <c r="EJ4" s="9" t="str">
        <f t="shared" si="1"/>
        <v>M</v>
      </c>
      <c r="EK4" s="9" t="str">
        <f t="shared" si="1"/>
        <v>T</v>
      </c>
      <c r="EL4" s="9" t="str">
        <f t="shared" si="1"/>
        <v>W</v>
      </c>
      <c r="EM4" s="9" t="str">
        <f t="shared" si="1"/>
        <v>T</v>
      </c>
      <c r="EN4" s="9" t="str">
        <f t="shared" si="1"/>
        <v>F</v>
      </c>
      <c r="EO4" s="9" t="str">
        <f t="shared" si="1"/>
        <v>S</v>
      </c>
      <c r="EP4" s="9" t="str">
        <f t="shared" si="1"/>
        <v>S</v>
      </c>
      <c r="EQ4" s="9" t="str">
        <f t="shared" si="1"/>
        <v>M</v>
      </c>
      <c r="ER4" s="9" t="str">
        <f t="shared" si="1"/>
        <v>T</v>
      </c>
      <c r="ES4" s="9" t="str">
        <f t="shared" si="1"/>
        <v>W</v>
      </c>
      <c r="ET4" s="9" t="str">
        <f t="shared" si="1"/>
        <v>T</v>
      </c>
      <c r="EU4" s="9" t="str">
        <f t="shared" si="1"/>
        <v>F</v>
      </c>
      <c r="EV4" s="9" t="str">
        <f t="shared" si="1"/>
        <v>S</v>
      </c>
      <c r="EW4" s="9" t="str">
        <f t="shared" si="1"/>
        <v>S</v>
      </c>
      <c r="EX4" s="9" t="str">
        <f t="shared" si="1"/>
        <v>M</v>
      </c>
      <c r="EY4" s="9" t="str">
        <f t="shared" si="1"/>
        <v>T</v>
      </c>
      <c r="EZ4" s="9" t="str">
        <f t="shared" si="1"/>
        <v>W</v>
      </c>
      <c r="FA4" s="9" t="str">
        <f t="shared" si="1"/>
        <v>T</v>
      </c>
      <c r="FB4" s="9" t="str">
        <f t="shared" si="1"/>
        <v>F</v>
      </c>
      <c r="FC4" s="9" t="str">
        <f t="shared" si="1"/>
        <v>S</v>
      </c>
      <c r="FD4" s="9" t="str">
        <f t="shared" ref="FD4:HO4" si="2">LEFT(TEXT(FD5,"dddd"),1)</f>
        <v>S</v>
      </c>
      <c r="FE4" s="9" t="str">
        <f t="shared" si="2"/>
        <v>M</v>
      </c>
      <c r="FF4" s="9" t="str">
        <f t="shared" si="2"/>
        <v>T</v>
      </c>
      <c r="FG4" s="9" t="str">
        <f t="shared" si="2"/>
        <v>W</v>
      </c>
      <c r="FH4" s="9" t="str">
        <f t="shared" si="2"/>
        <v>T</v>
      </c>
      <c r="FI4" s="9" t="str">
        <f t="shared" si="2"/>
        <v>F</v>
      </c>
      <c r="FJ4" s="9" t="str">
        <f t="shared" si="2"/>
        <v>S</v>
      </c>
      <c r="FK4" s="9" t="str">
        <f t="shared" si="2"/>
        <v>S</v>
      </c>
      <c r="FL4" s="9" t="str">
        <f t="shared" si="2"/>
        <v>M</v>
      </c>
      <c r="FM4" s="9" t="str">
        <f t="shared" si="2"/>
        <v>T</v>
      </c>
      <c r="FN4" s="9" t="str">
        <f t="shared" si="2"/>
        <v>W</v>
      </c>
      <c r="FO4" s="9" t="str">
        <f t="shared" si="2"/>
        <v>T</v>
      </c>
      <c r="FP4" s="9" t="str">
        <f t="shared" si="2"/>
        <v>F</v>
      </c>
      <c r="FQ4" s="9" t="str">
        <f t="shared" si="2"/>
        <v>S</v>
      </c>
      <c r="FR4" s="9" t="str">
        <f t="shared" si="2"/>
        <v>S</v>
      </c>
      <c r="FS4" s="9" t="str">
        <f t="shared" si="2"/>
        <v>M</v>
      </c>
      <c r="FT4" s="9" t="str">
        <f t="shared" si="2"/>
        <v>T</v>
      </c>
      <c r="FU4" s="9" t="str">
        <f t="shared" si="2"/>
        <v>W</v>
      </c>
      <c r="FV4" s="9" t="str">
        <f t="shared" si="2"/>
        <v>T</v>
      </c>
      <c r="FW4" s="9" t="str">
        <f t="shared" si="2"/>
        <v>F</v>
      </c>
      <c r="FX4" s="9" t="str">
        <f t="shared" si="2"/>
        <v>S</v>
      </c>
      <c r="FY4" s="9" t="str">
        <f t="shared" si="2"/>
        <v>S</v>
      </c>
      <c r="FZ4" s="9" t="str">
        <f t="shared" si="2"/>
        <v>M</v>
      </c>
      <c r="GA4" s="9" t="str">
        <f t="shared" si="2"/>
        <v>T</v>
      </c>
      <c r="GB4" s="9" t="str">
        <f t="shared" si="2"/>
        <v>W</v>
      </c>
      <c r="GC4" s="9" t="str">
        <f t="shared" si="2"/>
        <v>T</v>
      </c>
      <c r="GD4" s="9" t="str">
        <f t="shared" si="2"/>
        <v>F</v>
      </c>
      <c r="GE4" s="9" t="str">
        <f t="shared" si="2"/>
        <v>S</v>
      </c>
      <c r="GF4" s="9" t="str">
        <f t="shared" si="2"/>
        <v>S</v>
      </c>
      <c r="GG4" s="9" t="str">
        <f t="shared" si="2"/>
        <v>M</v>
      </c>
      <c r="GH4" s="9" t="str">
        <f t="shared" si="2"/>
        <v>T</v>
      </c>
      <c r="GI4" s="9" t="str">
        <f t="shared" si="2"/>
        <v>W</v>
      </c>
      <c r="GJ4" s="9" t="str">
        <f t="shared" si="2"/>
        <v>T</v>
      </c>
      <c r="GK4" s="9" t="str">
        <f t="shared" si="2"/>
        <v>F</v>
      </c>
      <c r="GL4" s="9" t="str">
        <f t="shared" si="2"/>
        <v>S</v>
      </c>
      <c r="GM4" s="9" t="str">
        <f t="shared" si="2"/>
        <v>S</v>
      </c>
      <c r="GN4" s="9" t="str">
        <f t="shared" si="2"/>
        <v>M</v>
      </c>
      <c r="GO4" s="9" t="str">
        <f t="shared" si="2"/>
        <v>T</v>
      </c>
      <c r="GP4" s="9" t="str">
        <f t="shared" si="2"/>
        <v>W</v>
      </c>
      <c r="GQ4" s="9" t="str">
        <f t="shared" si="2"/>
        <v>T</v>
      </c>
      <c r="GR4" s="9" t="str">
        <f t="shared" si="2"/>
        <v>F</v>
      </c>
      <c r="GS4" s="9" t="str">
        <f t="shared" si="2"/>
        <v>S</v>
      </c>
      <c r="GT4" s="9" t="str">
        <f t="shared" si="2"/>
        <v>S</v>
      </c>
      <c r="GU4" s="9" t="str">
        <f t="shared" si="2"/>
        <v>M</v>
      </c>
      <c r="GV4" s="9" t="str">
        <f t="shared" si="2"/>
        <v>T</v>
      </c>
      <c r="GW4" s="9" t="str">
        <f t="shared" si="2"/>
        <v>W</v>
      </c>
      <c r="GX4" s="9" t="str">
        <f t="shared" si="2"/>
        <v>T</v>
      </c>
      <c r="GY4" s="9" t="str">
        <f t="shared" si="2"/>
        <v>F</v>
      </c>
      <c r="GZ4" s="9" t="str">
        <f t="shared" si="2"/>
        <v>S</v>
      </c>
      <c r="HA4" s="9" t="str">
        <f t="shared" si="2"/>
        <v>S</v>
      </c>
      <c r="HB4" s="9" t="str">
        <f t="shared" si="2"/>
        <v>M</v>
      </c>
      <c r="HC4" s="9" t="str">
        <f t="shared" si="2"/>
        <v>T</v>
      </c>
      <c r="HD4" s="9" t="str">
        <f t="shared" si="2"/>
        <v>W</v>
      </c>
      <c r="HE4" s="9" t="str">
        <f t="shared" si="2"/>
        <v>T</v>
      </c>
      <c r="HF4" s="9" t="str">
        <f t="shared" si="2"/>
        <v>F</v>
      </c>
      <c r="HG4" s="9" t="str">
        <f t="shared" si="2"/>
        <v>S</v>
      </c>
      <c r="HH4" s="9" t="str">
        <f t="shared" si="2"/>
        <v>S</v>
      </c>
      <c r="HI4" s="9" t="str">
        <f t="shared" si="2"/>
        <v>M</v>
      </c>
      <c r="HJ4" s="9" t="str">
        <f t="shared" si="2"/>
        <v>T</v>
      </c>
      <c r="HK4" s="9" t="str">
        <f t="shared" si="2"/>
        <v>W</v>
      </c>
      <c r="HL4" s="9" t="str">
        <f t="shared" si="2"/>
        <v>T</v>
      </c>
      <c r="HM4" s="9" t="str">
        <f t="shared" si="2"/>
        <v>F</v>
      </c>
      <c r="HN4" s="9" t="str">
        <f t="shared" si="2"/>
        <v>S</v>
      </c>
      <c r="HO4" s="9" t="str">
        <f t="shared" si="2"/>
        <v>S</v>
      </c>
      <c r="HP4" s="9" t="str">
        <f t="shared" ref="HP4:KA4" si="3">LEFT(TEXT(HP5,"dddd"),1)</f>
        <v>M</v>
      </c>
      <c r="HQ4" s="9" t="str">
        <f t="shared" si="3"/>
        <v>T</v>
      </c>
      <c r="HR4" s="9" t="str">
        <f t="shared" si="3"/>
        <v>W</v>
      </c>
      <c r="HS4" s="9" t="str">
        <f t="shared" si="3"/>
        <v>T</v>
      </c>
      <c r="HT4" s="9" t="str">
        <f t="shared" si="3"/>
        <v>F</v>
      </c>
      <c r="HU4" s="9" t="str">
        <f t="shared" si="3"/>
        <v>S</v>
      </c>
      <c r="HV4" s="9" t="str">
        <f t="shared" si="3"/>
        <v>S</v>
      </c>
      <c r="HW4" s="9" t="str">
        <f t="shared" si="3"/>
        <v>M</v>
      </c>
      <c r="HX4" s="9" t="str">
        <f t="shared" si="3"/>
        <v>T</v>
      </c>
      <c r="HY4" s="9" t="str">
        <f t="shared" si="3"/>
        <v>W</v>
      </c>
      <c r="HZ4" s="9" t="str">
        <f t="shared" si="3"/>
        <v>T</v>
      </c>
      <c r="IA4" s="9" t="str">
        <f t="shared" si="3"/>
        <v>F</v>
      </c>
      <c r="IB4" s="9" t="str">
        <f t="shared" si="3"/>
        <v>S</v>
      </c>
      <c r="IC4" s="9" t="str">
        <f t="shared" si="3"/>
        <v>S</v>
      </c>
      <c r="ID4" s="9" t="str">
        <f t="shared" si="3"/>
        <v>M</v>
      </c>
      <c r="IE4" s="9" t="str">
        <f t="shared" si="3"/>
        <v>T</v>
      </c>
      <c r="IF4" s="9" t="str">
        <f t="shared" si="3"/>
        <v>W</v>
      </c>
      <c r="IG4" s="9" t="str">
        <f t="shared" si="3"/>
        <v>T</v>
      </c>
      <c r="IH4" s="9" t="str">
        <f t="shared" si="3"/>
        <v>F</v>
      </c>
      <c r="II4" s="9" t="str">
        <f t="shared" si="3"/>
        <v>S</v>
      </c>
      <c r="IJ4" s="9" t="str">
        <f t="shared" si="3"/>
        <v>S</v>
      </c>
      <c r="IK4" s="9" t="str">
        <f t="shared" si="3"/>
        <v>M</v>
      </c>
      <c r="IL4" s="9" t="str">
        <f t="shared" si="3"/>
        <v>T</v>
      </c>
      <c r="IM4" s="9" t="str">
        <f t="shared" si="3"/>
        <v>W</v>
      </c>
      <c r="IN4" s="9" t="str">
        <f t="shared" si="3"/>
        <v>T</v>
      </c>
      <c r="IO4" s="9" t="str">
        <f t="shared" si="3"/>
        <v>F</v>
      </c>
      <c r="IP4" s="9" t="str">
        <f t="shared" si="3"/>
        <v>S</v>
      </c>
      <c r="IQ4" s="9" t="str">
        <f t="shared" si="3"/>
        <v>S</v>
      </c>
      <c r="IR4" s="9" t="str">
        <f t="shared" si="3"/>
        <v>M</v>
      </c>
      <c r="IS4" s="9" t="str">
        <f t="shared" si="3"/>
        <v>T</v>
      </c>
      <c r="IT4" s="9" t="str">
        <f t="shared" si="3"/>
        <v>W</v>
      </c>
      <c r="IU4" s="9" t="str">
        <f t="shared" si="3"/>
        <v>T</v>
      </c>
      <c r="IV4" s="9" t="str">
        <f t="shared" si="3"/>
        <v>F</v>
      </c>
      <c r="IW4" s="9" t="str">
        <f t="shared" si="3"/>
        <v>S</v>
      </c>
      <c r="IX4" s="9" t="str">
        <f t="shared" si="3"/>
        <v>S</v>
      </c>
      <c r="IY4" s="9" t="str">
        <f t="shared" si="3"/>
        <v>M</v>
      </c>
      <c r="IZ4" s="9" t="str">
        <f t="shared" si="3"/>
        <v>T</v>
      </c>
      <c r="JA4" s="9" t="str">
        <f t="shared" si="3"/>
        <v>W</v>
      </c>
      <c r="JB4" s="9" t="str">
        <f t="shared" si="3"/>
        <v>T</v>
      </c>
      <c r="JC4" s="9" t="str">
        <f t="shared" si="3"/>
        <v>F</v>
      </c>
      <c r="JD4" s="9" t="str">
        <f t="shared" si="3"/>
        <v>S</v>
      </c>
      <c r="JE4" s="9" t="str">
        <f t="shared" si="3"/>
        <v>S</v>
      </c>
      <c r="JF4" s="9" t="str">
        <f t="shared" si="3"/>
        <v>M</v>
      </c>
      <c r="JG4" s="9" t="str">
        <f t="shared" si="3"/>
        <v>T</v>
      </c>
      <c r="JH4" s="9" t="str">
        <f t="shared" si="3"/>
        <v>W</v>
      </c>
      <c r="JI4" s="9" t="str">
        <f t="shared" si="3"/>
        <v>T</v>
      </c>
      <c r="JJ4" s="9" t="str">
        <f t="shared" si="3"/>
        <v>F</v>
      </c>
      <c r="JK4" s="9" t="str">
        <f t="shared" si="3"/>
        <v>S</v>
      </c>
      <c r="JL4" s="9" t="str">
        <f t="shared" si="3"/>
        <v>S</v>
      </c>
      <c r="JM4" s="9" t="str">
        <f t="shared" si="3"/>
        <v>M</v>
      </c>
      <c r="JN4" s="9" t="str">
        <f t="shared" si="3"/>
        <v>T</v>
      </c>
      <c r="JO4" s="9" t="str">
        <f t="shared" si="3"/>
        <v>W</v>
      </c>
      <c r="JP4" s="9" t="str">
        <f t="shared" si="3"/>
        <v>T</v>
      </c>
      <c r="JQ4" s="9" t="str">
        <f t="shared" si="3"/>
        <v>F</v>
      </c>
      <c r="JR4" s="9" t="str">
        <f t="shared" si="3"/>
        <v>S</v>
      </c>
      <c r="JS4" s="9" t="str">
        <f t="shared" si="3"/>
        <v>S</v>
      </c>
      <c r="JT4" s="9" t="str">
        <f t="shared" si="3"/>
        <v>M</v>
      </c>
      <c r="JU4" s="9" t="str">
        <f t="shared" si="3"/>
        <v>T</v>
      </c>
      <c r="JV4" s="9" t="str">
        <f t="shared" si="3"/>
        <v>W</v>
      </c>
      <c r="JW4" s="9" t="str">
        <f t="shared" si="3"/>
        <v>T</v>
      </c>
      <c r="JX4" s="9" t="str">
        <f t="shared" si="3"/>
        <v>F</v>
      </c>
      <c r="JY4" s="9" t="str">
        <f t="shared" si="3"/>
        <v>S</v>
      </c>
      <c r="JZ4" s="9" t="str">
        <f t="shared" si="3"/>
        <v>S</v>
      </c>
      <c r="KA4" s="9" t="str">
        <f t="shared" si="3"/>
        <v>M</v>
      </c>
      <c r="KB4" s="9" t="str">
        <f t="shared" ref="KB4:MM4" si="4">LEFT(TEXT(KB5,"dddd"),1)</f>
        <v>T</v>
      </c>
      <c r="KC4" s="9" t="str">
        <f t="shared" si="4"/>
        <v>W</v>
      </c>
      <c r="KD4" s="9" t="str">
        <f t="shared" si="4"/>
        <v>T</v>
      </c>
      <c r="KE4" s="9" t="str">
        <f t="shared" si="4"/>
        <v>F</v>
      </c>
      <c r="KF4" s="9" t="str">
        <f t="shared" si="4"/>
        <v>S</v>
      </c>
      <c r="KG4" s="9" t="str">
        <f t="shared" si="4"/>
        <v>S</v>
      </c>
      <c r="KH4" s="9" t="str">
        <f t="shared" si="4"/>
        <v>M</v>
      </c>
      <c r="KI4" s="9" t="str">
        <f t="shared" si="4"/>
        <v>T</v>
      </c>
      <c r="KJ4" s="9" t="str">
        <f t="shared" si="4"/>
        <v>W</v>
      </c>
      <c r="KK4" s="9" t="str">
        <f t="shared" si="4"/>
        <v>T</v>
      </c>
      <c r="KL4" s="9" t="str">
        <f t="shared" si="4"/>
        <v>F</v>
      </c>
      <c r="KM4" s="9" t="str">
        <f t="shared" si="4"/>
        <v>S</v>
      </c>
      <c r="KN4" s="9" t="str">
        <f t="shared" si="4"/>
        <v>S</v>
      </c>
      <c r="KO4" s="9" t="str">
        <f t="shared" si="4"/>
        <v>M</v>
      </c>
      <c r="KP4" s="9" t="str">
        <f t="shared" si="4"/>
        <v>T</v>
      </c>
      <c r="KQ4" s="9" t="str">
        <f t="shared" si="4"/>
        <v>W</v>
      </c>
      <c r="KR4" s="9" t="str">
        <f t="shared" si="4"/>
        <v>T</v>
      </c>
      <c r="KS4" s="9" t="str">
        <f t="shared" si="4"/>
        <v>F</v>
      </c>
      <c r="KT4" s="9" t="str">
        <f t="shared" si="4"/>
        <v>S</v>
      </c>
      <c r="KU4" s="9" t="str">
        <f t="shared" si="4"/>
        <v>S</v>
      </c>
      <c r="KV4" s="9" t="str">
        <f t="shared" si="4"/>
        <v>M</v>
      </c>
      <c r="KW4" s="9" t="str">
        <f t="shared" si="4"/>
        <v>T</v>
      </c>
      <c r="KX4" s="9" t="str">
        <f t="shared" si="4"/>
        <v>W</v>
      </c>
      <c r="KY4" s="9" t="str">
        <f t="shared" si="4"/>
        <v>T</v>
      </c>
      <c r="KZ4" s="9" t="str">
        <f t="shared" si="4"/>
        <v>F</v>
      </c>
      <c r="LA4" s="9" t="str">
        <f t="shared" si="4"/>
        <v>S</v>
      </c>
      <c r="LB4" s="9" t="str">
        <f t="shared" si="4"/>
        <v>S</v>
      </c>
      <c r="LC4" s="9" t="str">
        <f t="shared" si="4"/>
        <v>M</v>
      </c>
      <c r="LD4" s="9" t="str">
        <f t="shared" si="4"/>
        <v>T</v>
      </c>
      <c r="LE4" s="9" t="str">
        <f t="shared" si="4"/>
        <v>W</v>
      </c>
      <c r="LF4" s="9" t="str">
        <f t="shared" si="4"/>
        <v>T</v>
      </c>
      <c r="LG4" s="9" t="str">
        <f t="shared" si="4"/>
        <v>F</v>
      </c>
      <c r="LH4" s="9" t="str">
        <f t="shared" si="4"/>
        <v>S</v>
      </c>
      <c r="LI4" s="9" t="str">
        <f t="shared" si="4"/>
        <v>S</v>
      </c>
      <c r="LJ4" s="9" t="str">
        <f t="shared" si="4"/>
        <v>M</v>
      </c>
      <c r="LK4" s="9" t="str">
        <f t="shared" si="4"/>
        <v>T</v>
      </c>
      <c r="LL4" s="9" t="str">
        <f t="shared" si="4"/>
        <v>W</v>
      </c>
      <c r="LM4" s="9" t="str">
        <f t="shared" si="4"/>
        <v>T</v>
      </c>
      <c r="LN4" s="9" t="str">
        <f t="shared" si="4"/>
        <v>F</v>
      </c>
      <c r="LO4" s="9" t="str">
        <f t="shared" si="4"/>
        <v>S</v>
      </c>
      <c r="LP4" s="9" t="str">
        <f t="shared" si="4"/>
        <v>S</v>
      </c>
      <c r="LQ4" s="9" t="str">
        <f t="shared" si="4"/>
        <v>M</v>
      </c>
      <c r="LR4" s="9" t="str">
        <f t="shared" si="4"/>
        <v>T</v>
      </c>
      <c r="LS4" s="9" t="str">
        <f t="shared" si="4"/>
        <v>W</v>
      </c>
      <c r="LT4" s="9" t="str">
        <f t="shared" si="4"/>
        <v>T</v>
      </c>
      <c r="LU4" s="9" t="str">
        <f t="shared" si="4"/>
        <v>F</v>
      </c>
      <c r="LV4" s="9" t="str">
        <f t="shared" si="4"/>
        <v>S</v>
      </c>
      <c r="LW4" s="9" t="str">
        <f t="shared" si="4"/>
        <v>S</v>
      </c>
      <c r="LX4" s="9" t="str">
        <f t="shared" si="4"/>
        <v>M</v>
      </c>
      <c r="LY4" s="9" t="str">
        <f t="shared" si="4"/>
        <v>T</v>
      </c>
      <c r="LZ4" s="9" t="str">
        <f t="shared" si="4"/>
        <v>W</v>
      </c>
      <c r="MA4" s="9" t="str">
        <f t="shared" si="4"/>
        <v>T</v>
      </c>
      <c r="MB4" s="9" t="str">
        <f t="shared" si="4"/>
        <v>F</v>
      </c>
      <c r="MC4" s="9" t="str">
        <f t="shared" si="4"/>
        <v>S</v>
      </c>
      <c r="MD4" s="9" t="str">
        <f t="shared" si="4"/>
        <v>S</v>
      </c>
      <c r="ME4" s="9" t="str">
        <f t="shared" si="4"/>
        <v>M</v>
      </c>
      <c r="MF4" s="9" t="str">
        <f t="shared" si="4"/>
        <v>T</v>
      </c>
      <c r="MG4" s="9" t="str">
        <f t="shared" si="4"/>
        <v>W</v>
      </c>
      <c r="MH4" s="9" t="str">
        <f t="shared" si="4"/>
        <v>T</v>
      </c>
      <c r="MI4" s="9" t="str">
        <f t="shared" si="4"/>
        <v>F</v>
      </c>
      <c r="MJ4" s="9" t="str">
        <f t="shared" si="4"/>
        <v>S</v>
      </c>
      <c r="MK4" s="9" t="str">
        <f t="shared" si="4"/>
        <v>S</v>
      </c>
      <c r="ML4" s="9" t="str">
        <f t="shared" si="4"/>
        <v>M</v>
      </c>
      <c r="MM4" s="9" t="str">
        <f t="shared" si="4"/>
        <v>T</v>
      </c>
      <c r="MN4" s="9" t="str">
        <f t="shared" ref="MN4:OE4" si="5">LEFT(TEXT(MN5,"dddd"),1)</f>
        <v>W</v>
      </c>
      <c r="MO4" s="9" t="str">
        <f t="shared" si="5"/>
        <v>T</v>
      </c>
      <c r="MP4" s="9" t="str">
        <f t="shared" si="5"/>
        <v>F</v>
      </c>
      <c r="MQ4" s="9" t="str">
        <f t="shared" si="5"/>
        <v>S</v>
      </c>
      <c r="MR4" s="9" t="str">
        <f t="shared" si="5"/>
        <v>S</v>
      </c>
      <c r="MS4" s="9" t="str">
        <f t="shared" si="5"/>
        <v>M</v>
      </c>
      <c r="MT4" s="9" t="str">
        <f t="shared" si="5"/>
        <v>T</v>
      </c>
      <c r="MU4" s="9" t="str">
        <f t="shared" si="5"/>
        <v>W</v>
      </c>
      <c r="MV4" s="9" t="str">
        <f t="shared" si="5"/>
        <v>T</v>
      </c>
      <c r="MW4" s="9" t="str">
        <f t="shared" si="5"/>
        <v>F</v>
      </c>
      <c r="MX4" s="9" t="str">
        <f t="shared" si="5"/>
        <v>S</v>
      </c>
      <c r="MY4" s="9" t="str">
        <f t="shared" si="5"/>
        <v>S</v>
      </c>
      <c r="MZ4" s="9" t="str">
        <f t="shared" si="5"/>
        <v>M</v>
      </c>
      <c r="NA4" s="9" t="str">
        <f t="shared" si="5"/>
        <v>T</v>
      </c>
      <c r="NB4" s="9" t="str">
        <f t="shared" si="5"/>
        <v>W</v>
      </c>
      <c r="NC4" s="9" t="str">
        <f t="shared" si="5"/>
        <v>T</v>
      </c>
      <c r="ND4" s="9" t="str">
        <f t="shared" si="5"/>
        <v>F</v>
      </c>
      <c r="NE4" s="9" t="str">
        <f t="shared" si="5"/>
        <v>S</v>
      </c>
      <c r="NF4" s="9" t="str">
        <f t="shared" si="5"/>
        <v>S</v>
      </c>
      <c r="NG4" s="9" t="str">
        <f t="shared" si="5"/>
        <v>M</v>
      </c>
      <c r="NH4" s="9" t="str">
        <f t="shared" si="5"/>
        <v>T</v>
      </c>
      <c r="NI4" s="9" t="str">
        <f t="shared" si="5"/>
        <v>W</v>
      </c>
      <c r="NJ4" s="9" t="str">
        <f t="shared" si="5"/>
        <v>T</v>
      </c>
      <c r="NK4" s="9" t="str">
        <f t="shared" si="5"/>
        <v>F</v>
      </c>
      <c r="NL4" s="9" t="str">
        <f t="shared" si="5"/>
        <v>S</v>
      </c>
      <c r="NM4" s="9" t="str">
        <f t="shared" si="5"/>
        <v>S</v>
      </c>
      <c r="NN4" s="9" t="str">
        <f t="shared" si="5"/>
        <v>M</v>
      </c>
      <c r="NO4" s="9" t="str">
        <f t="shared" si="5"/>
        <v>T</v>
      </c>
      <c r="NP4" s="9" t="str">
        <f t="shared" si="5"/>
        <v>W</v>
      </c>
      <c r="NQ4" s="9" t="str">
        <f t="shared" si="5"/>
        <v>T</v>
      </c>
      <c r="NR4" s="9" t="str">
        <f t="shared" si="5"/>
        <v>F</v>
      </c>
      <c r="NS4" s="9" t="str">
        <f t="shared" si="5"/>
        <v>S</v>
      </c>
      <c r="NT4" s="9" t="str">
        <f t="shared" si="5"/>
        <v>S</v>
      </c>
      <c r="NU4" s="9" t="str">
        <f t="shared" si="5"/>
        <v>M</v>
      </c>
      <c r="NV4" s="9" t="str">
        <f t="shared" si="5"/>
        <v>T</v>
      </c>
      <c r="NW4" s="9" t="str">
        <f t="shared" si="5"/>
        <v>W</v>
      </c>
      <c r="NX4" s="9" t="str">
        <f t="shared" si="5"/>
        <v>T</v>
      </c>
      <c r="NY4" s="9" t="str">
        <f t="shared" si="5"/>
        <v>F</v>
      </c>
      <c r="NZ4" s="9" t="str">
        <f t="shared" si="5"/>
        <v>S</v>
      </c>
      <c r="OA4" s="9" t="str">
        <f t="shared" si="5"/>
        <v>S</v>
      </c>
      <c r="OB4" s="9" t="str">
        <f t="shared" si="5"/>
        <v>M</v>
      </c>
      <c r="OC4" s="9" t="str">
        <f t="shared" si="5"/>
        <v>T</v>
      </c>
      <c r="OD4" s="9" t="str">
        <f t="shared" si="5"/>
        <v>W</v>
      </c>
      <c r="OE4" s="30" t="str">
        <f t="shared" si="5"/>
        <v>T</v>
      </c>
    </row>
    <row r="5" spans="1:395">
      <c r="A5" s="205"/>
      <c r="B5" s="206"/>
      <c r="C5" s="206"/>
      <c r="D5" s="206"/>
      <c r="E5" s="206"/>
      <c r="F5" s="206"/>
      <c r="G5" s="221"/>
      <c r="H5" s="219"/>
      <c r="I5" s="219"/>
      <c r="J5" s="219"/>
      <c r="K5" s="219"/>
      <c r="L5" s="219"/>
      <c r="M5" s="219"/>
      <c r="N5" s="219"/>
      <c r="O5" s="219"/>
      <c r="P5" s="219"/>
      <c r="Q5" s="219"/>
      <c r="R5" s="219"/>
      <c r="S5" s="219"/>
      <c r="T5" s="219"/>
      <c r="U5" s="219"/>
      <c r="V5" s="219"/>
      <c r="W5" s="219"/>
      <c r="X5" s="219"/>
      <c r="Y5" s="219"/>
      <c r="Z5" s="219"/>
      <c r="AA5" s="219"/>
      <c r="AB5" s="219"/>
      <c r="AC5" s="219"/>
      <c r="AD5" s="219"/>
      <c r="AE5" s="10">
        <v>46023</v>
      </c>
      <c r="AF5" s="10">
        <v>46024</v>
      </c>
      <c r="AG5" s="10">
        <v>46025</v>
      </c>
      <c r="AH5" s="10">
        <v>46026</v>
      </c>
      <c r="AI5" s="10">
        <v>46027</v>
      </c>
      <c r="AJ5" s="10">
        <v>46028</v>
      </c>
      <c r="AK5" s="10">
        <v>46029</v>
      </c>
      <c r="AL5" s="10">
        <v>46030</v>
      </c>
      <c r="AM5" s="10">
        <v>46031</v>
      </c>
      <c r="AN5" s="10">
        <v>46032</v>
      </c>
      <c r="AO5" s="10">
        <v>46033</v>
      </c>
      <c r="AP5" s="10">
        <v>46034</v>
      </c>
      <c r="AQ5" s="10">
        <v>46035</v>
      </c>
      <c r="AR5" s="10">
        <v>46036</v>
      </c>
      <c r="AS5" s="10">
        <v>46037</v>
      </c>
      <c r="AT5" s="10">
        <v>46038</v>
      </c>
      <c r="AU5" s="10">
        <v>46039</v>
      </c>
      <c r="AV5" s="10">
        <v>46040</v>
      </c>
      <c r="AW5" s="10">
        <v>46041</v>
      </c>
      <c r="AX5" s="10">
        <v>46042</v>
      </c>
      <c r="AY5" s="10">
        <v>46043</v>
      </c>
      <c r="AZ5" s="10">
        <v>46044</v>
      </c>
      <c r="BA5" s="10">
        <v>46045</v>
      </c>
      <c r="BB5" s="10">
        <v>46046</v>
      </c>
      <c r="BC5" s="10">
        <v>46047</v>
      </c>
      <c r="BD5" s="10">
        <v>46048</v>
      </c>
      <c r="BE5" s="10">
        <v>46049</v>
      </c>
      <c r="BF5" s="10">
        <v>46050</v>
      </c>
      <c r="BG5" s="10">
        <v>46051</v>
      </c>
      <c r="BH5" s="10">
        <v>46052</v>
      </c>
      <c r="BI5" s="10">
        <v>46053</v>
      </c>
      <c r="BJ5" s="10">
        <v>46054</v>
      </c>
      <c r="BK5" s="10">
        <v>46055</v>
      </c>
      <c r="BL5" s="10">
        <v>46056</v>
      </c>
      <c r="BM5" s="10">
        <v>46057</v>
      </c>
      <c r="BN5" s="10">
        <v>46058</v>
      </c>
      <c r="BO5" s="10">
        <v>46059</v>
      </c>
      <c r="BP5" s="10">
        <v>46060</v>
      </c>
      <c r="BQ5" s="10">
        <v>46061</v>
      </c>
      <c r="BR5" s="10">
        <v>46062</v>
      </c>
      <c r="BS5" s="10">
        <v>46063</v>
      </c>
      <c r="BT5" s="10">
        <v>46064</v>
      </c>
      <c r="BU5" s="10">
        <v>46065</v>
      </c>
      <c r="BV5" s="10">
        <v>46066</v>
      </c>
      <c r="BW5" s="10">
        <v>46067</v>
      </c>
      <c r="BX5" s="10">
        <v>46068</v>
      </c>
      <c r="BY5" s="10">
        <v>46069</v>
      </c>
      <c r="BZ5" s="10">
        <v>46070</v>
      </c>
      <c r="CA5" s="10">
        <v>46071</v>
      </c>
      <c r="CB5" s="10">
        <v>46072</v>
      </c>
      <c r="CC5" s="10">
        <v>46073</v>
      </c>
      <c r="CD5" s="10">
        <v>46074</v>
      </c>
      <c r="CE5" s="10">
        <v>46075</v>
      </c>
      <c r="CF5" s="10">
        <v>46076</v>
      </c>
      <c r="CG5" s="10">
        <v>46077</v>
      </c>
      <c r="CH5" s="10">
        <v>46078</v>
      </c>
      <c r="CI5" s="10">
        <v>46079</v>
      </c>
      <c r="CJ5" s="10">
        <v>46080</v>
      </c>
      <c r="CK5" s="10">
        <v>46081</v>
      </c>
      <c r="CL5" s="10">
        <v>46082</v>
      </c>
      <c r="CM5" s="10">
        <v>46083</v>
      </c>
      <c r="CN5" s="10">
        <v>46084</v>
      </c>
      <c r="CO5" s="10">
        <v>46085</v>
      </c>
      <c r="CP5" s="10">
        <v>46086</v>
      </c>
      <c r="CQ5" s="10">
        <v>46087</v>
      </c>
      <c r="CR5" s="10">
        <v>46088</v>
      </c>
      <c r="CS5" s="10">
        <v>46089</v>
      </c>
      <c r="CT5" s="10">
        <v>46090</v>
      </c>
      <c r="CU5" s="10">
        <v>46091</v>
      </c>
      <c r="CV5" s="10">
        <v>46092</v>
      </c>
      <c r="CW5" s="10">
        <v>46093</v>
      </c>
      <c r="CX5" s="10">
        <v>46094</v>
      </c>
      <c r="CY5" s="10">
        <v>46095</v>
      </c>
      <c r="CZ5" s="10">
        <v>46096</v>
      </c>
      <c r="DA5" s="10">
        <v>46097</v>
      </c>
      <c r="DB5" s="10">
        <v>46098</v>
      </c>
      <c r="DC5" s="10">
        <v>46099</v>
      </c>
      <c r="DD5" s="10">
        <v>46100</v>
      </c>
      <c r="DE5" s="10">
        <v>46101</v>
      </c>
      <c r="DF5" s="10">
        <v>46102</v>
      </c>
      <c r="DG5" s="10">
        <v>46103</v>
      </c>
      <c r="DH5" s="10">
        <v>46104</v>
      </c>
      <c r="DI5" s="10">
        <v>46105</v>
      </c>
      <c r="DJ5" s="10">
        <v>46106</v>
      </c>
      <c r="DK5" s="10">
        <v>46107</v>
      </c>
      <c r="DL5" s="10">
        <v>46108</v>
      </c>
      <c r="DM5" s="10">
        <v>46109</v>
      </c>
      <c r="DN5" s="10">
        <v>46110</v>
      </c>
      <c r="DO5" s="10">
        <v>46111</v>
      </c>
      <c r="DP5" s="10">
        <v>46112</v>
      </c>
      <c r="DQ5" s="10">
        <v>46113</v>
      </c>
      <c r="DR5" s="10">
        <v>46114</v>
      </c>
      <c r="DS5" s="10">
        <v>46115</v>
      </c>
      <c r="DT5" s="10">
        <v>46116</v>
      </c>
      <c r="DU5" s="10">
        <v>46117</v>
      </c>
      <c r="DV5" s="10">
        <v>46118</v>
      </c>
      <c r="DW5" s="10">
        <v>46119</v>
      </c>
      <c r="DX5" s="10">
        <v>46120</v>
      </c>
      <c r="DY5" s="10">
        <v>46121</v>
      </c>
      <c r="DZ5" s="10">
        <v>46122</v>
      </c>
      <c r="EA5" s="10">
        <v>46123</v>
      </c>
      <c r="EB5" s="10">
        <v>46124</v>
      </c>
      <c r="EC5" s="10">
        <v>46125</v>
      </c>
      <c r="ED5" s="10">
        <v>46126</v>
      </c>
      <c r="EE5" s="10">
        <v>46127</v>
      </c>
      <c r="EF5" s="10">
        <v>46128</v>
      </c>
      <c r="EG5" s="10">
        <v>46129</v>
      </c>
      <c r="EH5" s="10">
        <v>46130</v>
      </c>
      <c r="EI5" s="10">
        <v>46131</v>
      </c>
      <c r="EJ5" s="10">
        <v>46132</v>
      </c>
      <c r="EK5" s="10">
        <v>46133</v>
      </c>
      <c r="EL5" s="10">
        <v>46134</v>
      </c>
      <c r="EM5" s="10">
        <v>46135</v>
      </c>
      <c r="EN5" s="10">
        <v>46136</v>
      </c>
      <c r="EO5" s="10">
        <v>46137</v>
      </c>
      <c r="EP5" s="10">
        <v>46138</v>
      </c>
      <c r="EQ5" s="10">
        <v>46139</v>
      </c>
      <c r="ER5" s="10">
        <v>46140</v>
      </c>
      <c r="ES5" s="10">
        <v>46141</v>
      </c>
      <c r="ET5" s="10">
        <v>46142</v>
      </c>
      <c r="EU5" s="10">
        <v>46143</v>
      </c>
      <c r="EV5" s="10">
        <v>46144</v>
      </c>
      <c r="EW5" s="10">
        <v>46145</v>
      </c>
      <c r="EX5" s="10">
        <v>46146</v>
      </c>
      <c r="EY5" s="10">
        <v>46147</v>
      </c>
      <c r="EZ5" s="10">
        <v>46148</v>
      </c>
      <c r="FA5" s="10">
        <v>46149</v>
      </c>
      <c r="FB5" s="10">
        <v>46150</v>
      </c>
      <c r="FC5" s="10">
        <v>46151</v>
      </c>
      <c r="FD5" s="10">
        <v>46152</v>
      </c>
      <c r="FE5" s="10">
        <v>46153</v>
      </c>
      <c r="FF5" s="10">
        <v>46154</v>
      </c>
      <c r="FG5" s="10">
        <v>46155</v>
      </c>
      <c r="FH5" s="10">
        <v>46156</v>
      </c>
      <c r="FI5" s="10">
        <v>46157</v>
      </c>
      <c r="FJ5" s="10">
        <v>46158</v>
      </c>
      <c r="FK5" s="10">
        <v>46159</v>
      </c>
      <c r="FL5" s="10">
        <v>46160</v>
      </c>
      <c r="FM5" s="10">
        <v>46161</v>
      </c>
      <c r="FN5" s="10">
        <v>46162</v>
      </c>
      <c r="FO5" s="10">
        <v>46163</v>
      </c>
      <c r="FP5" s="10">
        <v>46164</v>
      </c>
      <c r="FQ5" s="10">
        <v>46165</v>
      </c>
      <c r="FR5" s="10">
        <v>46166</v>
      </c>
      <c r="FS5" s="10">
        <v>46167</v>
      </c>
      <c r="FT5" s="10">
        <v>46168</v>
      </c>
      <c r="FU5" s="10">
        <v>46169</v>
      </c>
      <c r="FV5" s="10">
        <v>46170</v>
      </c>
      <c r="FW5" s="10">
        <v>46171</v>
      </c>
      <c r="FX5" s="10">
        <v>46172</v>
      </c>
      <c r="FY5" s="10">
        <v>46173</v>
      </c>
      <c r="FZ5" s="10">
        <v>46174</v>
      </c>
      <c r="GA5" s="10">
        <v>46175</v>
      </c>
      <c r="GB5" s="10">
        <v>46176</v>
      </c>
      <c r="GC5" s="10">
        <v>46177</v>
      </c>
      <c r="GD5" s="10">
        <v>46178</v>
      </c>
      <c r="GE5" s="10">
        <v>46179</v>
      </c>
      <c r="GF5" s="10">
        <v>46180</v>
      </c>
      <c r="GG5" s="10">
        <v>46181</v>
      </c>
      <c r="GH5" s="10">
        <v>46182</v>
      </c>
      <c r="GI5" s="10">
        <v>46183</v>
      </c>
      <c r="GJ5" s="10">
        <v>46184</v>
      </c>
      <c r="GK5" s="10">
        <v>46185</v>
      </c>
      <c r="GL5" s="10">
        <v>46186</v>
      </c>
      <c r="GM5" s="10">
        <v>46187</v>
      </c>
      <c r="GN5" s="10">
        <v>46188</v>
      </c>
      <c r="GO5" s="10">
        <v>46189</v>
      </c>
      <c r="GP5" s="10">
        <v>46190</v>
      </c>
      <c r="GQ5" s="10">
        <v>46191</v>
      </c>
      <c r="GR5" s="10">
        <v>46192</v>
      </c>
      <c r="GS5" s="10">
        <v>46193</v>
      </c>
      <c r="GT5" s="10">
        <v>46194</v>
      </c>
      <c r="GU5" s="10">
        <v>46195</v>
      </c>
      <c r="GV5" s="10">
        <v>46196</v>
      </c>
      <c r="GW5" s="10">
        <v>46197</v>
      </c>
      <c r="GX5" s="10">
        <v>46198</v>
      </c>
      <c r="GY5" s="10">
        <v>46199</v>
      </c>
      <c r="GZ5" s="10">
        <v>46200</v>
      </c>
      <c r="HA5" s="10">
        <v>46201</v>
      </c>
      <c r="HB5" s="10">
        <v>46202</v>
      </c>
      <c r="HC5" s="10">
        <v>46203</v>
      </c>
      <c r="HD5" s="10">
        <v>46204</v>
      </c>
      <c r="HE5" s="10">
        <v>46205</v>
      </c>
      <c r="HF5" s="10">
        <v>46206</v>
      </c>
      <c r="HG5" s="10">
        <v>46207</v>
      </c>
      <c r="HH5" s="10">
        <v>46208</v>
      </c>
      <c r="HI5" s="10">
        <v>46209</v>
      </c>
      <c r="HJ5" s="10">
        <v>46210</v>
      </c>
      <c r="HK5" s="10">
        <v>46211</v>
      </c>
      <c r="HL5" s="10">
        <v>46212</v>
      </c>
      <c r="HM5" s="10">
        <v>46213</v>
      </c>
      <c r="HN5" s="10">
        <v>46214</v>
      </c>
      <c r="HO5" s="10">
        <v>46215</v>
      </c>
      <c r="HP5" s="10">
        <v>46216</v>
      </c>
      <c r="HQ5" s="10">
        <v>46217</v>
      </c>
      <c r="HR5" s="10">
        <v>46218</v>
      </c>
      <c r="HS5" s="10">
        <v>46219</v>
      </c>
      <c r="HT5" s="10">
        <v>46220</v>
      </c>
      <c r="HU5" s="10">
        <v>46221</v>
      </c>
      <c r="HV5" s="10">
        <v>46222</v>
      </c>
      <c r="HW5" s="10">
        <v>46223</v>
      </c>
      <c r="HX5" s="10">
        <v>46224</v>
      </c>
      <c r="HY5" s="10">
        <v>46225</v>
      </c>
      <c r="HZ5" s="10">
        <v>46226</v>
      </c>
      <c r="IA5" s="10">
        <v>46227</v>
      </c>
      <c r="IB5" s="10">
        <v>46228</v>
      </c>
      <c r="IC5" s="10">
        <v>46229</v>
      </c>
      <c r="ID5" s="10">
        <v>46230</v>
      </c>
      <c r="IE5" s="10">
        <v>46231</v>
      </c>
      <c r="IF5" s="10">
        <v>46232</v>
      </c>
      <c r="IG5" s="10">
        <v>46233</v>
      </c>
      <c r="IH5" s="10">
        <v>46234</v>
      </c>
      <c r="II5" s="10">
        <v>46235</v>
      </c>
      <c r="IJ5" s="10">
        <v>46236</v>
      </c>
      <c r="IK5" s="10">
        <v>46237</v>
      </c>
      <c r="IL5" s="10">
        <v>46238</v>
      </c>
      <c r="IM5" s="10">
        <v>46239</v>
      </c>
      <c r="IN5" s="10">
        <v>46240</v>
      </c>
      <c r="IO5" s="10">
        <v>46241</v>
      </c>
      <c r="IP5" s="10">
        <v>46242</v>
      </c>
      <c r="IQ5" s="10">
        <v>46243</v>
      </c>
      <c r="IR5" s="10">
        <v>46244</v>
      </c>
      <c r="IS5" s="10">
        <v>46245</v>
      </c>
      <c r="IT5" s="10">
        <v>46246</v>
      </c>
      <c r="IU5" s="10">
        <v>46247</v>
      </c>
      <c r="IV5" s="10">
        <v>46248</v>
      </c>
      <c r="IW5" s="10">
        <v>46249</v>
      </c>
      <c r="IX5" s="10">
        <v>46250</v>
      </c>
      <c r="IY5" s="10">
        <v>46251</v>
      </c>
      <c r="IZ5" s="10">
        <v>46252</v>
      </c>
      <c r="JA5" s="10">
        <v>46253</v>
      </c>
      <c r="JB5" s="10">
        <v>46254</v>
      </c>
      <c r="JC5" s="10">
        <v>46255</v>
      </c>
      <c r="JD5" s="10">
        <v>46256</v>
      </c>
      <c r="JE5" s="10">
        <v>46257</v>
      </c>
      <c r="JF5" s="10">
        <v>46258</v>
      </c>
      <c r="JG5" s="10">
        <v>46259</v>
      </c>
      <c r="JH5" s="10">
        <v>46260</v>
      </c>
      <c r="JI5" s="10">
        <v>46261</v>
      </c>
      <c r="JJ5" s="10">
        <v>46262</v>
      </c>
      <c r="JK5" s="10">
        <v>46263</v>
      </c>
      <c r="JL5" s="10">
        <v>46264</v>
      </c>
      <c r="JM5" s="10">
        <v>46265</v>
      </c>
      <c r="JN5" s="10">
        <v>46266</v>
      </c>
      <c r="JO5" s="10">
        <v>46267</v>
      </c>
      <c r="JP5" s="10">
        <v>46268</v>
      </c>
      <c r="JQ5" s="10">
        <v>46269</v>
      </c>
      <c r="JR5" s="10">
        <v>46270</v>
      </c>
      <c r="JS5" s="10">
        <v>46271</v>
      </c>
      <c r="JT5" s="10">
        <v>46272</v>
      </c>
      <c r="JU5" s="10">
        <v>46273</v>
      </c>
      <c r="JV5" s="10">
        <v>46274</v>
      </c>
      <c r="JW5" s="10">
        <v>46275</v>
      </c>
      <c r="JX5" s="10">
        <v>46276</v>
      </c>
      <c r="JY5" s="10">
        <v>46277</v>
      </c>
      <c r="JZ5" s="10">
        <v>46278</v>
      </c>
      <c r="KA5" s="10">
        <v>46279</v>
      </c>
      <c r="KB5" s="10">
        <v>46280</v>
      </c>
      <c r="KC5" s="10">
        <v>46281</v>
      </c>
      <c r="KD5" s="10">
        <v>46282</v>
      </c>
      <c r="KE5" s="10">
        <v>46283</v>
      </c>
      <c r="KF5" s="10">
        <v>46284</v>
      </c>
      <c r="KG5" s="10">
        <v>46285</v>
      </c>
      <c r="KH5" s="10">
        <v>46286</v>
      </c>
      <c r="KI5" s="10">
        <v>46287</v>
      </c>
      <c r="KJ5" s="10">
        <v>46288</v>
      </c>
      <c r="KK5" s="10">
        <v>46289</v>
      </c>
      <c r="KL5" s="10">
        <v>46290</v>
      </c>
      <c r="KM5" s="10">
        <v>46291</v>
      </c>
      <c r="KN5" s="10">
        <v>46292</v>
      </c>
      <c r="KO5" s="10">
        <v>46293</v>
      </c>
      <c r="KP5" s="10">
        <v>46294</v>
      </c>
      <c r="KQ5" s="10">
        <v>46295</v>
      </c>
      <c r="KR5" s="10">
        <v>46296</v>
      </c>
      <c r="KS5" s="10">
        <v>46297</v>
      </c>
      <c r="KT5" s="10">
        <v>46298</v>
      </c>
      <c r="KU5" s="10">
        <v>46299</v>
      </c>
      <c r="KV5" s="10">
        <v>46300</v>
      </c>
      <c r="KW5" s="10">
        <v>46301</v>
      </c>
      <c r="KX5" s="10">
        <v>46302</v>
      </c>
      <c r="KY5" s="10">
        <v>46303</v>
      </c>
      <c r="KZ5" s="10">
        <v>46304</v>
      </c>
      <c r="LA5" s="10">
        <v>46305</v>
      </c>
      <c r="LB5" s="10">
        <v>46306</v>
      </c>
      <c r="LC5" s="10">
        <v>46307</v>
      </c>
      <c r="LD5" s="10">
        <v>46308</v>
      </c>
      <c r="LE5" s="10">
        <v>46309</v>
      </c>
      <c r="LF5" s="10">
        <v>46310</v>
      </c>
      <c r="LG5" s="10">
        <v>46311</v>
      </c>
      <c r="LH5" s="10">
        <v>46312</v>
      </c>
      <c r="LI5" s="10">
        <v>46313</v>
      </c>
      <c r="LJ5" s="10">
        <v>46314</v>
      </c>
      <c r="LK5" s="10">
        <v>46315</v>
      </c>
      <c r="LL5" s="10">
        <v>46316</v>
      </c>
      <c r="LM5" s="10">
        <v>46317</v>
      </c>
      <c r="LN5" s="10">
        <v>46318</v>
      </c>
      <c r="LO5" s="10">
        <v>46319</v>
      </c>
      <c r="LP5" s="10">
        <v>46320</v>
      </c>
      <c r="LQ5" s="10">
        <v>46321</v>
      </c>
      <c r="LR5" s="10">
        <v>46322</v>
      </c>
      <c r="LS5" s="10">
        <v>46323</v>
      </c>
      <c r="LT5" s="10">
        <v>46324</v>
      </c>
      <c r="LU5" s="10">
        <v>46325</v>
      </c>
      <c r="LV5" s="10">
        <v>46326</v>
      </c>
      <c r="LW5" s="10">
        <v>46327</v>
      </c>
      <c r="LX5" s="10">
        <v>46328</v>
      </c>
      <c r="LY5" s="10">
        <v>46329</v>
      </c>
      <c r="LZ5" s="10">
        <v>46330</v>
      </c>
      <c r="MA5" s="10">
        <v>46331</v>
      </c>
      <c r="MB5" s="10">
        <v>46332</v>
      </c>
      <c r="MC5" s="10">
        <v>46333</v>
      </c>
      <c r="MD5" s="10">
        <v>46334</v>
      </c>
      <c r="ME5" s="10">
        <v>46335</v>
      </c>
      <c r="MF5" s="10">
        <v>46336</v>
      </c>
      <c r="MG5" s="10">
        <v>46337</v>
      </c>
      <c r="MH5" s="10">
        <v>46338</v>
      </c>
      <c r="MI5" s="10">
        <v>46339</v>
      </c>
      <c r="MJ5" s="10">
        <v>46340</v>
      </c>
      <c r="MK5" s="10">
        <v>46341</v>
      </c>
      <c r="ML5" s="10">
        <v>46342</v>
      </c>
      <c r="MM5" s="10">
        <v>46343</v>
      </c>
      <c r="MN5" s="10">
        <v>46344</v>
      </c>
      <c r="MO5" s="10">
        <v>46345</v>
      </c>
      <c r="MP5" s="10">
        <v>46346</v>
      </c>
      <c r="MQ5" s="10">
        <v>46347</v>
      </c>
      <c r="MR5" s="10">
        <v>46348</v>
      </c>
      <c r="MS5" s="10">
        <v>46349</v>
      </c>
      <c r="MT5" s="10">
        <v>46350</v>
      </c>
      <c r="MU5" s="10">
        <v>46351</v>
      </c>
      <c r="MV5" s="10">
        <v>46352</v>
      </c>
      <c r="MW5" s="10">
        <v>46353</v>
      </c>
      <c r="MX5" s="10">
        <v>46354</v>
      </c>
      <c r="MY5" s="10">
        <v>46355</v>
      </c>
      <c r="MZ5" s="10">
        <v>46356</v>
      </c>
      <c r="NA5" s="10">
        <v>46357</v>
      </c>
      <c r="NB5" s="10">
        <v>46358</v>
      </c>
      <c r="NC5" s="10">
        <v>46359</v>
      </c>
      <c r="ND5" s="10">
        <v>46360</v>
      </c>
      <c r="NE5" s="10">
        <v>46361</v>
      </c>
      <c r="NF5" s="10">
        <v>46362</v>
      </c>
      <c r="NG5" s="10">
        <v>46363</v>
      </c>
      <c r="NH5" s="10">
        <v>46364</v>
      </c>
      <c r="NI5" s="10">
        <v>46365</v>
      </c>
      <c r="NJ5" s="10">
        <v>46366</v>
      </c>
      <c r="NK5" s="10">
        <v>46367</v>
      </c>
      <c r="NL5" s="10">
        <v>46368</v>
      </c>
      <c r="NM5" s="10">
        <v>46369</v>
      </c>
      <c r="NN5" s="10">
        <v>46370</v>
      </c>
      <c r="NO5" s="10">
        <v>46371</v>
      </c>
      <c r="NP5" s="10">
        <v>46372</v>
      </c>
      <c r="NQ5" s="10">
        <v>46373</v>
      </c>
      <c r="NR5" s="10">
        <v>46374</v>
      </c>
      <c r="NS5" s="10">
        <v>46375</v>
      </c>
      <c r="NT5" s="10">
        <v>46376</v>
      </c>
      <c r="NU5" s="10">
        <v>46377</v>
      </c>
      <c r="NV5" s="10">
        <v>46378</v>
      </c>
      <c r="NW5" s="10">
        <v>46379</v>
      </c>
      <c r="NX5" s="10">
        <v>46380</v>
      </c>
      <c r="NY5" s="10">
        <v>46381</v>
      </c>
      <c r="NZ5" s="10">
        <v>46382</v>
      </c>
      <c r="OA5" s="10">
        <v>46383</v>
      </c>
      <c r="OB5" s="10">
        <v>46384</v>
      </c>
      <c r="OC5" s="10">
        <v>46385</v>
      </c>
      <c r="OD5" s="10">
        <v>46386</v>
      </c>
      <c r="OE5" s="10">
        <v>46387</v>
      </c>
    </row>
    <row r="6" spans="1:395" s="21" customFormat="1">
      <c r="A6" s="205"/>
      <c r="B6" s="206"/>
      <c r="C6" s="206"/>
      <c r="D6" s="206"/>
      <c r="E6" s="11" t="e" cm="1">
        <f t="array" aca="1" ref="E6" ca="1">SUMPRODUCT($G$6:$AD$6*IFERROR(MONTH(DATEVALUE($G$3:$AD$3&amp;" 2026"))&lt;=MONTH(DATEVALUE('Project status sheet'!$L$33&amp;" 2026")),0))</f>
        <v>#VALUE!</v>
      </c>
      <c r="F6" s="11" cm="1">
        <f t="array" ref="F6">SUMPRODUCT($H$7:$AD$7*IFERROR(MONTH(DATEVALUE($G$3:$AC$3&amp;" 2025"))&lt;=MONTH(DATEVALUE('Project status sheet'!$L$33&amp;" 2025")),0))</f>
        <v>0</v>
      </c>
      <c r="G6" s="29" t="e" cm="1">
        <f t="array" aca="1" ref="G6" ca="1">SUMPRODUCT(--(TEXT($AE$5:$OE$5,"mmm")=PROPER(G$3)), --($AE$5:$OE$5&gt;=$E$1),--(WEEKDAY($AE$5:$OE$5,2)&lt;6), --(ISNA(MATCH($AE$5:$OE$5,PublicHolidays,0))),IFERROR(IF(ISNUMBER(SEARCH("L",$AE$6:$OE$6)),IF(ISNUMBER($AE$7:$OE$7), 0.5, 0),1),1))*8.5</f>
        <v>#VALUE!</v>
      </c>
      <c r="H6" s="28" cm="1">
        <f t="array" ref="H6">SUMPRODUCT(--(TEXT($AE$5:$OE$5,"mmm")=PROPER(G$3)),IFERROR(IF(ISNUMBER(SEARCH("L",$AE$6:$OE$6)),IF(ISNUMBER($AE$7:$OE$7), 0.5, 1),0),0))</f>
        <v>0</v>
      </c>
      <c r="I6" s="29" t="e" cm="1">
        <f t="array" aca="1" ref="I6" ca="1">SUMPRODUCT(--(TEXT($AE$5:$OE$5,"mmm")=PROPER(I$3)), --($AE$5:$OE$5&gt;=$E$1),--(WEEKDAY($AE$5:$OE$5,2)&lt;6), --(ISNA(MATCH($AE$5:$OE$5,PublicHolidays,0))),IFERROR(IF(ISNUMBER(SEARCH("L",$AE$6:$OE$6)),IF(ISNUMBER($AE$7:$OE$7), 0.5, 0),1),1))*8.5</f>
        <v>#VALUE!</v>
      </c>
      <c r="J6" s="28" cm="1">
        <f t="array" ref="J6">SUMPRODUCT(--(TEXT($AE$5:$OE$5,"mmm")=PROPER(I$3)),IFERROR(IF(ISNUMBER(SEARCH("L",$AE$6:$OE$6)),IF(ISNUMBER($AE$7:$OE$7), 0.5, 1),0),0))</f>
        <v>0</v>
      </c>
      <c r="K6" s="29" t="e" cm="1">
        <f t="array" aca="1" ref="K6" ca="1">SUMPRODUCT(--(TEXT($AE$5:$OE$5,"mmm")=PROPER(K$3)), --($AE$5:$OE$5&gt;=$E$1),--(WEEKDAY($AE$5:$OE$5,2)&lt;6), --(ISNA(MATCH($AE$5:$OE$5,PublicHolidays,0))),IFERROR(IF(ISNUMBER(SEARCH("L",$AE$6:$OE$6)),IF(ISNUMBER($AE$7:$OE$7), 0.5, 0),1),1))*8.5</f>
        <v>#VALUE!</v>
      </c>
      <c r="L6" s="28" cm="1">
        <f t="array" ref="L6">SUMPRODUCT(--(TEXT($AE$5:$OE$5,"mmm")=PROPER(K$3)),IFERROR(IF(ISNUMBER(SEARCH("L",$AE$6:$OE$6)),IF(ISNUMBER($AE$7:$OE$7), 0.5, 1),0),0))</f>
        <v>0</v>
      </c>
      <c r="M6" s="29" t="e" cm="1">
        <f t="array" aca="1" ref="M6" ca="1">SUMPRODUCT(--(TEXT($AE$5:$OE$5,"mmm")=PROPER(M$3)), --($AE$5:$OE$5&gt;=$E$1),--(WEEKDAY($AE$5:$OE$5,2)&lt;6), --(ISNA(MATCH($AE$5:$OE$5,PublicHolidays,0))),IFERROR(IF(ISNUMBER(SEARCH("L",$AE$6:$OE$6)),IF(ISNUMBER($AE$7:$OE$7), 0.5, 0),1),1))*8.5</f>
        <v>#VALUE!</v>
      </c>
      <c r="N6" s="28" cm="1">
        <f t="array" ref="N6">SUMPRODUCT(--(TEXT($AE$5:$OE$5,"mmm")=PROPER(M$3)),IFERROR(IF(ISNUMBER(SEARCH("L",$AE$6:$OE$6)),IF(ISNUMBER($AE$7:$OE$7), 0.5, 1),0),0))</f>
        <v>0</v>
      </c>
      <c r="O6" s="29" t="e" cm="1">
        <f t="array" aca="1" ref="O6" ca="1">SUMPRODUCT(--(TEXT($AE$5:$OE$5,"mmm")=PROPER(O$3)), --($AE$5:$OE$5&gt;=$E$1),--(WEEKDAY($AE$5:$OE$5,2)&lt;6), --(ISNA(MATCH($AE$5:$OE$5,PublicHolidays,0))),IFERROR(IF(ISNUMBER(SEARCH("L",$AE$6:$OE$6)),IF(ISNUMBER($AE$7:$OE$7), 0.5, 0),1),1))*8.5</f>
        <v>#VALUE!</v>
      </c>
      <c r="P6" s="28" cm="1">
        <f t="array" ref="P6">SUMPRODUCT(--(TEXT($AE$5:$OE$5,"mmm")=PROPER(O$3)),IFERROR(IF(ISNUMBER(SEARCH("L",$AE$6:$OE$6)),IF(ISNUMBER($AE$7:$OE$7), 0.5, 1),0),0))</f>
        <v>0</v>
      </c>
      <c r="Q6" s="29" t="e" cm="1">
        <f t="array" aca="1" ref="Q6" ca="1">SUMPRODUCT(--(TEXT($AE$5:$OE$5,"mmm")=PROPER(Q$3)), --($AE$5:$OE$5&gt;=$E$1),--(WEEKDAY($AE$5:$OE$5,2)&lt;6), --(ISNA(MATCH($AE$5:$OE$5,PublicHolidays,0))),IFERROR(IF(ISNUMBER(SEARCH("L",$AE$6:$OE$6)),IF(ISNUMBER($AE$7:$OE$7), 0.5, 0),1),1))*8.5</f>
        <v>#VALUE!</v>
      </c>
      <c r="R6" s="28" cm="1">
        <f t="array" ref="R6">SUMPRODUCT(--(TEXT($AE$5:$OE$5,"mmm")=PROPER(Q$3)),IFERROR(IF(ISNUMBER(SEARCH("L",$AE$6:$OE$6)),IF(ISNUMBER($AE$7:$OE$7), 0.5, 1),0),0))</f>
        <v>0</v>
      </c>
      <c r="S6" s="29" t="e" cm="1">
        <f t="array" aca="1" ref="S6" ca="1">SUMPRODUCT(--(TEXT($AE$5:$OE$5,"mmm")=PROPER(S$3)), --($AE$5:$OE$5&gt;=$E$1),--(WEEKDAY($AE$5:$OE$5,2)&lt;6), --(ISNA(MATCH($AE$5:$OE$5,PublicHolidays,0))),IFERROR(IF(ISNUMBER(SEARCH("L",$AE$6:$OE$6)),IF(ISNUMBER($AE$7:$OE$7), 0.5, 0),1),1))*8.5</f>
        <v>#VALUE!</v>
      </c>
      <c r="T6" s="28" cm="1">
        <f t="array" ref="T6">SUMPRODUCT(--(TEXT($AE$5:$OE$5,"mmm")=PROPER(S$3)),IFERROR(IF(ISNUMBER(SEARCH("L",$AE$6:$OE$6)),IF(ISNUMBER($AE$7:$OE$7), 0.5, 1),0),0))</f>
        <v>0</v>
      </c>
      <c r="U6" s="29" t="e" cm="1">
        <f t="array" aca="1" ref="U6" ca="1">SUMPRODUCT(--(TEXT($AE$5:$OE$5,"mmm")=PROPER(U$3)), --($AE$5:$OE$5&gt;=$E$1),--(WEEKDAY($AE$5:$OE$5,2)&lt;6), --(ISNA(MATCH($AE$5:$OE$5,PublicHolidays,0))),IFERROR(IF(ISNUMBER(SEARCH("L",$AE$6:$OE$6)),IF(ISNUMBER($AE$7:$OE$7), 0.5, 0),1),1))*8.5</f>
        <v>#VALUE!</v>
      </c>
      <c r="V6" s="28" cm="1">
        <f t="array" ref="V6">SUMPRODUCT(--(TEXT($AE$5:$OE$5,"mmm")=PROPER(U$3)),IFERROR(IF(ISNUMBER(SEARCH("L",$AE$6:$OE$6)),IF(ISNUMBER($AE$7:$OE$7), 0.5, 1),0),0))</f>
        <v>0</v>
      </c>
      <c r="W6" s="29" t="e" cm="1">
        <f t="array" aca="1" ref="W6" ca="1">SUMPRODUCT(--(TEXT($AE$5:$OE$5,"mmm")=PROPER(W$3)), --($AE$5:$OE$5&gt;=$E$1),--(WEEKDAY($AE$5:$OE$5,2)&lt;6), --(ISNA(MATCH($AE$5:$OE$5,PublicHolidays,0))),IFERROR(IF(ISNUMBER(SEARCH("L",$AE$6:$OE$6)),IF(ISNUMBER($AE$7:$OE$7), 0.5, 0),1),1))*8.5</f>
        <v>#VALUE!</v>
      </c>
      <c r="X6" s="28" cm="1">
        <f t="array" ref="X6">SUMPRODUCT(--(TEXT($AE$5:$OE$5,"mmm")=PROPER(W$3)),IFERROR(IF(ISNUMBER(SEARCH("L",$AE$6:$OE$6)),IF(ISNUMBER($AE$7:$OE$7), 0.5, 1),0),0))</f>
        <v>0</v>
      </c>
      <c r="Y6" s="29" t="e" cm="1">
        <f t="array" aca="1" ref="Y6" ca="1">SUMPRODUCT(--(TEXT($AE$5:$OE$5,"mmm")=PROPER(Y$3)), --($AE$5:$OE$5&gt;=$E$1),--(WEEKDAY($AE$5:$OE$5,2)&lt;6), --(ISNA(MATCH($AE$5:$OE$5,PublicHolidays,0))),IFERROR(IF(ISNUMBER(SEARCH("L",$AE$6:$OE$6)),IF(ISNUMBER($AE$7:$OE$7), 0.5, 0),1),1))*8.5</f>
        <v>#VALUE!</v>
      </c>
      <c r="Z6" s="28" cm="1">
        <f t="array" ref="Z6">SUMPRODUCT(--(TEXT($AE$5:$OE$5,"mmm")=PROPER(Y$3)),IFERROR(IF(ISNUMBER(SEARCH("L",$AE$6:$OE$6)),IF(ISNUMBER($AE$7:$OE$7), 0.5, 1),0),0))</f>
        <v>0</v>
      </c>
      <c r="AA6" s="29" t="e" cm="1">
        <f t="array" aca="1" ref="AA6" ca="1">SUMPRODUCT(--(TEXT($AE$5:$OE$5,"mmm")=PROPER(AA$3)), --($AE$5:$OE$5&gt;=$E$1),--(WEEKDAY($AE$5:$OE$5,2)&lt;6), --(ISNA(MATCH($AE$5:$OE$5,PublicHolidays,0))),IFERROR(IF(ISNUMBER(SEARCH("L",$AE$6:$OE$6)),IF(ISNUMBER($AE$7:$OE$7), 0.5, 0),1),1))*8.5</f>
        <v>#VALUE!</v>
      </c>
      <c r="AB6" s="28" cm="1">
        <f t="array" ref="AB6">SUMPRODUCT(--(TEXT($AE$5:$OE$5,"mmm")=PROPER(AA$3)),IFERROR(IF(ISNUMBER(SEARCH("L",$AE$6:$OE$6)),IF(ISNUMBER($AE$7:$OE$7), 0.5, 1),0),0))</f>
        <v>0</v>
      </c>
      <c r="AC6" s="29" t="e" cm="1">
        <f t="array" aca="1" ref="AC6" ca="1">SUMPRODUCT(--(TEXT($AE$5:$OE$5,"mmm")=PROPER(AC$3)), --($AE$5:$OE$5&gt;=$E$1),--(WEEKDAY($AE$5:$OE$5,2)&lt;6), --(ISNA(MATCH($AE$5:$OE$5,PublicHolidays,0))),IFERROR(IF(ISNUMBER(SEARCH("L",$AE$6:$OE$6)),IF(ISNUMBER($AE$7:$OE$7), 0.5, 0),1),1))*8.5</f>
        <v>#VALUE!</v>
      </c>
      <c r="AD6" s="28" cm="1">
        <f t="array" ref="AD6">SUMPRODUCT(--(TEXT($AE$5:$OE$5,"mmm")=PROPER(AC$3)),IFERROR(IF(ISNUMBER(SEARCH("L",$AE$6:$OE$6)),IF(ISNUMBER($AE$7:$OE$7), 0.5, 1),0),0))</f>
        <v>0</v>
      </c>
      <c r="AE6" s="118"/>
      <c r="AF6" s="118"/>
      <c r="AG6" s="118"/>
      <c r="AH6" s="118"/>
      <c r="AI6" s="118"/>
      <c r="AJ6" s="118"/>
      <c r="AK6" s="118"/>
      <c r="AL6" s="118"/>
      <c r="AM6" s="118"/>
      <c r="AN6" s="118"/>
      <c r="AO6" s="118"/>
      <c r="AP6" s="118"/>
      <c r="AQ6" s="118"/>
      <c r="AR6" s="118"/>
      <c r="AS6" s="118"/>
      <c r="AT6" s="118"/>
      <c r="AU6" s="118"/>
      <c r="AV6" s="118"/>
      <c r="AW6" s="118"/>
      <c r="AX6" s="118"/>
      <c r="AY6" s="118"/>
      <c r="AZ6" s="118"/>
      <c r="BA6" s="118"/>
      <c r="BB6" s="118"/>
      <c r="BC6" s="118"/>
      <c r="BD6" s="118"/>
      <c r="BE6" s="118"/>
      <c r="BF6" s="118"/>
      <c r="BG6" s="118"/>
      <c r="BH6" s="118"/>
      <c r="BI6" s="118"/>
      <c r="BJ6" s="118"/>
      <c r="BK6" s="118"/>
      <c r="BL6" s="118"/>
      <c r="BM6" s="118"/>
      <c r="BN6" s="118"/>
      <c r="BO6" s="118"/>
      <c r="BP6" s="118"/>
      <c r="BQ6" s="118"/>
      <c r="BR6" s="118"/>
      <c r="BS6" s="118"/>
      <c r="BT6" s="118"/>
      <c r="BU6" s="118"/>
      <c r="BV6" s="118"/>
      <c r="BW6" s="118"/>
      <c r="BX6" s="118"/>
      <c r="BY6" s="118"/>
      <c r="BZ6" s="118"/>
      <c r="CA6" s="118"/>
      <c r="CB6" s="118"/>
      <c r="CC6" s="118"/>
      <c r="CD6" s="118"/>
      <c r="CE6" s="118"/>
      <c r="CF6" s="118"/>
      <c r="CG6" s="118"/>
      <c r="CH6" s="118"/>
      <c r="CI6" s="118"/>
      <c r="CJ6" s="118"/>
      <c r="CK6" s="118"/>
      <c r="CL6" s="118"/>
      <c r="CM6" s="118"/>
      <c r="CN6" s="118"/>
      <c r="CO6" s="118"/>
      <c r="CP6" s="118"/>
      <c r="CQ6" s="118"/>
      <c r="CR6" s="118"/>
      <c r="CS6" s="118"/>
      <c r="CT6" s="118"/>
      <c r="CU6" s="118"/>
      <c r="CV6" s="118"/>
      <c r="CW6" s="118"/>
      <c r="CX6" s="118"/>
      <c r="CY6" s="118"/>
      <c r="CZ6" s="118"/>
      <c r="DA6" s="118"/>
      <c r="DB6" s="118"/>
      <c r="DC6" s="118"/>
      <c r="DD6" s="118"/>
      <c r="DE6" s="118"/>
      <c r="DF6" s="118"/>
      <c r="DG6" s="118"/>
      <c r="DH6" s="118"/>
      <c r="DI6" s="118"/>
      <c r="DJ6" s="118"/>
      <c r="DK6" s="118"/>
      <c r="DL6" s="118"/>
      <c r="DM6" s="118"/>
      <c r="DN6" s="118"/>
      <c r="DO6" s="118"/>
      <c r="DP6" s="118"/>
      <c r="DQ6" s="118"/>
      <c r="DR6" s="118"/>
      <c r="DS6" s="118"/>
      <c r="DT6" s="118"/>
      <c r="DU6" s="118"/>
      <c r="DV6" s="118"/>
      <c r="DW6" s="118"/>
      <c r="DX6" s="118"/>
      <c r="DY6" s="118"/>
      <c r="DZ6" s="118"/>
      <c r="EA6" s="118"/>
      <c r="EB6" s="118"/>
      <c r="EC6" s="118"/>
      <c r="ED6" s="118"/>
      <c r="EE6" s="118"/>
      <c r="EF6" s="118"/>
      <c r="EG6" s="118"/>
      <c r="EH6" s="118"/>
      <c r="EI6" s="118"/>
      <c r="EJ6" s="118"/>
      <c r="EK6" s="118"/>
      <c r="EL6" s="118"/>
      <c r="EM6" s="118"/>
      <c r="EN6" s="118"/>
      <c r="EO6" s="118"/>
      <c r="EP6" s="118"/>
      <c r="EQ6" s="118"/>
      <c r="ER6" s="118"/>
      <c r="ES6" s="118"/>
      <c r="ET6" s="118"/>
      <c r="EU6" s="118"/>
      <c r="EV6" s="118"/>
      <c r="EW6" s="118"/>
      <c r="EX6" s="118"/>
      <c r="EY6" s="118"/>
      <c r="EZ6" s="118"/>
      <c r="FA6" s="118"/>
      <c r="FB6" s="118"/>
      <c r="FC6" s="118"/>
      <c r="FD6" s="118"/>
      <c r="FE6" s="118"/>
      <c r="FF6" s="118"/>
      <c r="FG6" s="118"/>
      <c r="FH6" s="118"/>
      <c r="FI6" s="118"/>
      <c r="FJ6" s="118"/>
      <c r="FK6" s="118"/>
      <c r="FL6" s="118"/>
      <c r="FM6" s="118"/>
      <c r="FN6" s="118"/>
      <c r="FO6" s="118"/>
      <c r="FP6" s="118"/>
      <c r="FQ6" s="118"/>
      <c r="FR6" s="118"/>
      <c r="FS6" s="118"/>
      <c r="FT6" s="118"/>
      <c r="FU6" s="118"/>
      <c r="FV6" s="118"/>
      <c r="FW6" s="118"/>
      <c r="FX6" s="118"/>
      <c r="FY6" s="118"/>
      <c r="FZ6" s="118"/>
      <c r="GA6" s="118"/>
      <c r="GB6" s="118"/>
      <c r="GC6" s="118"/>
      <c r="GD6" s="118"/>
      <c r="GE6" s="118"/>
      <c r="GF6" s="118"/>
      <c r="GG6" s="118"/>
      <c r="GH6" s="118"/>
      <c r="GI6" s="118"/>
      <c r="GJ6" s="118"/>
      <c r="GK6" s="118"/>
      <c r="GL6" s="118"/>
      <c r="GM6" s="118"/>
      <c r="GN6" s="118"/>
      <c r="GO6" s="118"/>
      <c r="GP6" s="118"/>
      <c r="GQ6" s="118"/>
      <c r="GR6" s="118"/>
      <c r="GS6" s="118"/>
      <c r="GT6" s="118"/>
      <c r="GU6" s="118"/>
      <c r="GV6" s="118"/>
      <c r="GW6" s="118"/>
      <c r="GX6" s="118"/>
      <c r="GY6" s="118"/>
      <c r="GZ6" s="118"/>
      <c r="HA6" s="118"/>
      <c r="HB6" s="118"/>
      <c r="HC6" s="118"/>
      <c r="HD6" s="118"/>
      <c r="HE6" s="118"/>
      <c r="HF6" s="118"/>
      <c r="HG6" s="118"/>
      <c r="HH6" s="118"/>
      <c r="HI6" s="118"/>
      <c r="HJ6" s="118"/>
      <c r="HK6" s="118"/>
      <c r="HL6" s="118"/>
      <c r="HM6" s="118"/>
      <c r="HN6" s="118"/>
      <c r="HO6" s="118"/>
      <c r="HP6" s="118"/>
      <c r="HQ6" s="118"/>
      <c r="HR6" s="118"/>
      <c r="HS6" s="118"/>
      <c r="HT6" s="118"/>
      <c r="HU6" s="118"/>
      <c r="HV6" s="118"/>
      <c r="HW6" s="118"/>
      <c r="HX6" s="118"/>
      <c r="HY6" s="118"/>
      <c r="HZ6" s="118"/>
      <c r="IA6" s="118"/>
      <c r="IB6" s="118"/>
      <c r="IC6" s="118"/>
      <c r="ID6" s="118"/>
      <c r="IE6" s="118"/>
      <c r="IF6" s="118"/>
      <c r="IG6" s="118"/>
      <c r="IH6" s="118"/>
      <c r="II6" s="118"/>
      <c r="IJ6" s="118"/>
      <c r="IK6" s="118"/>
      <c r="IL6" s="118"/>
      <c r="IM6" s="118"/>
      <c r="IN6" s="118"/>
      <c r="IO6" s="118"/>
      <c r="IP6" s="118"/>
      <c r="IQ6" s="118"/>
      <c r="IR6" s="118"/>
      <c r="IS6" s="118"/>
      <c r="IT6" s="118"/>
      <c r="IU6" s="118"/>
      <c r="IV6" s="118"/>
      <c r="IW6" s="118"/>
      <c r="IX6" s="118"/>
      <c r="IY6" s="118"/>
      <c r="IZ6" s="118"/>
      <c r="JA6" s="118"/>
      <c r="JB6" s="118"/>
      <c r="JC6" s="118"/>
      <c r="JD6" s="118"/>
      <c r="JE6" s="118"/>
      <c r="JF6" s="118"/>
      <c r="JG6" s="118"/>
      <c r="JH6" s="118"/>
      <c r="JI6" s="118"/>
      <c r="JJ6" s="118"/>
      <c r="JK6" s="118"/>
      <c r="JL6" s="118"/>
      <c r="JM6" s="118"/>
      <c r="JN6" s="118"/>
      <c r="JO6" s="118"/>
      <c r="JP6" s="118"/>
      <c r="JQ6" s="118"/>
      <c r="JR6" s="118"/>
      <c r="JS6" s="118"/>
      <c r="JT6" s="118"/>
      <c r="JU6" s="118"/>
      <c r="JV6" s="118"/>
      <c r="JW6" s="118"/>
      <c r="JX6" s="118"/>
      <c r="JY6" s="118"/>
      <c r="JZ6" s="118"/>
      <c r="KA6" s="118"/>
      <c r="KB6" s="118"/>
      <c r="KC6" s="118"/>
      <c r="KD6" s="118"/>
      <c r="KE6" s="118"/>
      <c r="KF6" s="118"/>
      <c r="KG6" s="118"/>
      <c r="KH6" s="118"/>
      <c r="KI6" s="118"/>
      <c r="KJ6" s="118"/>
      <c r="KK6" s="118"/>
      <c r="KL6" s="118"/>
      <c r="KM6" s="118"/>
      <c r="KN6" s="118"/>
      <c r="KO6" s="118"/>
      <c r="KP6" s="118"/>
      <c r="KQ6" s="118"/>
      <c r="KR6" s="118"/>
      <c r="KS6" s="118"/>
      <c r="KT6" s="118"/>
      <c r="KU6" s="118"/>
      <c r="KV6" s="118"/>
      <c r="KW6" s="118"/>
      <c r="KX6" s="118"/>
      <c r="KY6" s="118"/>
      <c r="KZ6" s="118"/>
      <c r="LA6" s="118"/>
      <c r="LB6" s="118"/>
      <c r="LC6" s="118"/>
      <c r="LD6" s="118"/>
      <c r="LE6" s="118"/>
      <c r="LF6" s="118"/>
      <c r="LG6" s="118"/>
      <c r="LH6" s="118"/>
      <c r="LI6" s="118"/>
      <c r="LJ6" s="118"/>
      <c r="LK6" s="118"/>
      <c r="LL6" s="118"/>
      <c r="LM6" s="118"/>
      <c r="LN6" s="118"/>
      <c r="LO6" s="118"/>
      <c r="LP6" s="118"/>
      <c r="LQ6" s="118"/>
      <c r="LR6" s="118"/>
      <c r="LS6" s="118"/>
      <c r="LT6" s="118"/>
      <c r="LU6" s="118"/>
      <c r="LV6" s="118"/>
      <c r="LW6" s="118"/>
      <c r="LX6" s="118"/>
      <c r="LY6" s="118"/>
      <c r="LZ6" s="118"/>
      <c r="MA6" s="118"/>
      <c r="MB6" s="118"/>
      <c r="MC6" s="118"/>
      <c r="MD6" s="118"/>
      <c r="ME6" s="118"/>
      <c r="MF6" s="118"/>
      <c r="MG6" s="118"/>
      <c r="MH6" s="118"/>
      <c r="MI6" s="118"/>
      <c r="MJ6" s="118"/>
      <c r="MK6" s="118"/>
      <c r="ML6" s="118"/>
      <c r="MM6" s="118"/>
      <c r="MN6" s="118"/>
      <c r="MO6" s="118"/>
      <c r="MP6" s="118"/>
      <c r="MQ6" s="118"/>
      <c r="MR6" s="118"/>
      <c r="MS6" s="118"/>
      <c r="MT6" s="118"/>
      <c r="MU6" s="118"/>
      <c r="MV6" s="118"/>
      <c r="MW6" s="118"/>
      <c r="MX6" s="118"/>
      <c r="MY6" s="118"/>
      <c r="MZ6" s="118"/>
      <c r="NA6" s="118"/>
      <c r="NB6" s="118"/>
      <c r="NC6" s="118"/>
      <c r="ND6" s="118"/>
      <c r="NE6" s="118"/>
      <c r="NF6" s="118"/>
      <c r="NG6" s="118"/>
      <c r="NH6" s="118"/>
      <c r="NI6" s="118"/>
      <c r="NJ6" s="118"/>
      <c r="NK6" s="118"/>
      <c r="NL6" s="118"/>
      <c r="NM6" s="118"/>
      <c r="NN6" s="118"/>
      <c r="NO6" s="118"/>
      <c r="NP6" s="118"/>
      <c r="NQ6" s="118"/>
      <c r="NR6" s="118"/>
      <c r="NS6" s="118"/>
      <c r="NT6" s="118"/>
      <c r="NU6" s="118"/>
      <c r="NV6" s="118"/>
      <c r="NW6" s="118"/>
      <c r="NX6" s="118"/>
      <c r="NY6" s="118"/>
      <c r="NZ6" s="118"/>
      <c r="OA6" s="118"/>
      <c r="OB6" s="118"/>
      <c r="OC6" s="118"/>
      <c r="OD6" s="118"/>
      <c r="OE6" s="119"/>
    </row>
    <row r="7" spans="1:395">
      <c r="A7" s="205"/>
      <c r="B7" s="206"/>
      <c r="C7" s="206"/>
      <c r="D7" s="206"/>
      <c r="E7" s="12">
        <f t="shared" ref="E7:AD7" si="6">SUM(E$8:E$149)</f>
        <v>70</v>
      </c>
      <c r="F7" s="12">
        <f t="shared" si="6"/>
        <v>95</v>
      </c>
      <c r="G7" s="13">
        <f t="shared" si="6"/>
        <v>0</v>
      </c>
      <c r="H7" s="13">
        <f t="shared" si="6"/>
        <v>0</v>
      </c>
      <c r="I7" s="13">
        <f t="shared" si="6"/>
        <v>0</v>
      </c>
      <c r="J7" s="13">
        <f t="shared" si="6"/>
        <v>0</v>
      </c>
      <c r="K7" s="13">
        <f t="shared" si="6"/>
        <v>0</v>
      </c>
      <c r="L7" s="13">
        <f t="shared" si="6"/>
        <v>0</v>
      </c>
      <c r="M7" s="13">
        <f t="shared" si="6"/>
        <v>0</v>
      </c>
      <c r="N7" s="13">
        <f t="shared" si="6"/>
        <v>95</v>
      </c>
      <c r="O7" s="13">
        <f t="shared" si="6"/>
        <v>0</v>
      </c>
      <c r="P7" s="13">
        <f t="shared" si="6"/>
        <v>0</v>
      </c>
      <c r="Q7" s="13">
        <f t="shared" si="6"/>
        <v>0</v>
      </c>
      <c r="R7" s="13">
        <f t="shared" si="6"/>
        <v>0</v>
      </c>
      <c r="S7" s="13">
        <f t="shared" si="6"/>
        <v>0</v>
      </c>
      <c r="T7" s="13">
        <f t="shared" si="6"/>
        <v>0</v>
      </c>
      <c r="U7" s="13">
        <f t="shared" si="6"/>
        <v>0</v>
      </c>
      <c r="V7" s="13">
        <f t="shared" si="6"/>
        <v>0</v>
      </c>
      <c r="W7" s="13">
        <f t="shared" si="6"/>
        <v>0</v>
      </c>
      <c r="X7" s="13">
        <f t="shared" si="6"/>
        <v>0</v>
      </c>
      <c r="Y7" s="13">
        <f t="shared" si="6"/>
        <v>0</v>
      </c>
      <c r="Z7" s="13">
        <f t="shared" si="6"/>
        <v>0</v>
      </c>
      <c r="AA7" s="13">
        <f t="shared" si="6"/>
        <v>0</v>
      </c>
      <c r="AB7" s="13">
        <f t="shared" si="6"/>
        <v>0</v>
      </c>
      <c r="AC7" s="13">
        <f t="shared" si="6"/>
        <v>0</v>
      </c>
      <c r="AD7" s="13">
        <f t="shared" si="6"/>
        <v>0</v>
      </c>
      <c r="AE7" s="20" t="str">
        <f t="shared" ref="AE7:BJ7" si="7">IF(SUM(AE$8:AE$149), SUM(AE$8:AE$149), "")</f>
        <v/>
      </c>
      <c r="AF7" s="20" t="str">
        <f t="shared" si="7"/>
        <v/>
      </c>
      <c r="AG7" s="20" t="str">
        <f t="shared" si="7"/>
        <v/>
      </c>
      <c r="AH7" s="20" t="str">
        <f t="shared" si="7"/>
        <v/>
      </c>
      <c r="AI7" s="20" t="str">
        <f t="shared" si="7"/>
        <v/>
      </c>
      <c r="AJ7" s="20" t="str">
        <f t="shared" si="7"/>
        <v/>
      </c>
      <c r="AK7" s="20" t="str">
        <f t="shared" si="7"/>
        <v/>
      </c>
      <c r="AL7" s="20" t="str">
        <f t="shared" si="7"/>
        <v/>
      </c>
      <c r="AM7" s="20" t="str">
        <f t="shared" si="7"/>
        <v/>
      </c>
      <c r="AN7" s="20" t="str">
        <f t="shared" si="7"/>
        <v/>
      </c>
      <c r="AO7" s="20" t="str">
        <f t="shared" si="7"/>
        <v/>
      </c>
      <c r="AP7" s="20" t="str">
        <f t="shared" si="7"/>
        <v/>
      </c>
      <c r="AQ7" s="20" t="str">
        <f t="shared" si="7"/>
        <v/>
      </c>
      <c r="AR7" s="20" t="str">
        <f t="shared" si="7"/>
        <v/>
      </c>
      <c r="AS7" s="20" t="str">
        <f t="shared" si="7"/>
        <v/>
      </c>
      <c r="AT7" s="20" t="str">
        <f t="shared" si="7"/>
        <v/>
      </c>
      <c r="AU7" s="20" t="str">
        <f t="shared" si="7"/>
        <v/>
      </c>
      <c r="AV7" s="20" t="str">
        <f t="shared" si="7"/>
        <v/>
      </c>
      <c r="AW7" s="20" t="str">
        <f t="shared" si="7"/>
        <v/>
      </c>
      <c r="AX7" s="20" t="str">
        <f t="shared" si="7"/>
        <v/>
      </c>
      <c r="AY7" s="20" t="str">
        <f t="shared" si="7"/>
        <v/>
      </c>
      <c r="AZ7" s="20" t="str">
        <f t="shared" si="7"/>
        <v/>
      </c>
      <c r="BA7" s="20" t="str">
        <f t="shared" si="7"/>
        <v/>
      </c>
      <c r="BB7" s="20" t="str">
        <f t="shared" si="7"/>
        <v/>
      </c>
      <c r="BC7" s="20" t="str">
        <f t="shared" si="7"/>
        <v/>
      </c>
      <c r="BD7" s="20" t="str">
        <f t="shared" si="7"/>
        <v/>
      </c>
      <c r="BE7" s="20" t="str">
        <f t="shared" si="7"/>
        <v/>
      </c>
      <c r="BF7" s="20" t="str">
        <f t="shared" si="7"/>
        <v/>
      </c>
      <c r="BG7" s="20" t="str">
        <f t="shared" si="7"/>
        <v/>
      </c>
      <c r="BH7" s="20" t="str">
        <f t="shared" si="7"/>
        <v/>
      </c>
      <c r="BI7" s="20" t="str">
        <f t="shared" si="7"/>
        <v/>
      </c>
      <c r="BJ7" s="20" t="str">
        <f t="shared" si="7"/>
        <v/>
      </c>
      <c r="BK7" s="20" t="str">
        <f t="shared" ref="BK7:CT7" si="8">IF(SUM(BK$8:BK$149), SUM(BK$8:BK$149), "")</f>
        <v/>
      </c>
      <c r="BL7" s="20" t="str">
        <f t="shared" si="8"/>
        <v/>
      </c>
      <c r="BM7" s="20" t="str">
        <f t="shared" si="8"/>
        <v/>
      </c>
      <c r="BN7" s="20" t="str">
        <f t="shared" si="8"/>
        <v/>
      </c>
      <c r="BO7" s="20" t="str">
        <f t="shared" si="8"/>
        <v/>
      </c>
      <c r="BP7" s="20" t="str">
        <f t="shared" si="8"/>
        <v/>
      </c>
      <c r="BQ7" s="20" t="str">
        <f t="shared" si="8"/>
        <v/>
      </c>
      <c r="BR7" s="20" t="str">
        <f t="shared" si="8"/>
        <v/>
      </c>
      <c r="BS7" s="20" t="str">
        <f t="shared" si="8"/>
        <v/>
      </c>
      <c r="BT7" s="20" t="str">
        <f t="shared" si="8"/>
        <v/>
      </c>
      <c r="BU7" s="20" t="str">
        <f t="shared" si="8"/>
        <v/>
      </c>
      <c r="BV7" s="20" t="str">
        <f t="shared" si="8"/>
        <v/>
      </c>
      <c r="BW7" s="20" t="str">
        <f t="shared" si="8"/>
        <v/>
      </c>
      <c r="BX7" s="20" t="str">
        <f t="shared" si="8"/>
        <v/>
      </c>
      <c r="BY7" s="20" t="str">
        <f t="shared" si="8"/>
        <v/>
      </c>
      <c r="BZ7" s="20" t="str">
        <f t="shared" si="8"/>
        <v/>
      </c>
      <c r="CA7" s="20" t="str">
        <f t="shared" si="8"/>
        <v/>
      </c>
      <c r="CB7" s="20" t="str">
        <f t="shared" si="8"/>
        <v/>
      </c>
      <c r="CC7" s="20" t="str">
        <f t="shared" si="8"/>
        <v/>
      </c>
      <c r="CD7" s="20" t="str">
        <f t="shared" si="8"/>
        <v/>
      </c>
      <c r="CE7" s="20" t="str">
        <f t="shared" si="8"/>
        <v/>
      </c>
      <c r="CF7" s="20" t="str">
        <f t="shared" si="8"/>
        <v/>
      </c>
      <c r="CG7" s="20" t="str">
        <f t="shared" si="8"/>
        <v/>
      </c>
      <c r="CH7" s="20" t="str">
        <f t="shared" si="8"/>
        <v/>
      </c>
      <c r="CI7" s="20" t="str">
        <f t="shared" si="8"/>
        <v/>
      </c>
      <c r="CJ7" s="20" t="str">
        <f t="shared" si="8"/>
        <v/>
      </c>
      <c r="CK7" s="20" t="str">
        <f t="shared" si="8"/>
        <v/>
      </c>
      <c r="CL7" s="20" t="str">
        <f t="shared" si="8"/>
        <v/>
      </c>
      <c r="CM7" s="20" t="str">
        <f t="shared" si="8"/>
        <v/>
      </c>
      <c r="CN7" s="20" t="str">
        <f t="shared" si="8"/>
        <v/>
      </c>
      <c r="CO7" s="20" t="str">
        <f t="shared" si="8"/>
        <v/>
      </c>
      <c r="CP7" s="20" t="str">
        <f t="shared" si="8"/>
        <v/>
      </c>
      <c r="CQ7" s="20" t="str">
        <f t="shared" si="8"/>
        <v/>
      </c>
      <c r="CR7" s="20" t="str">
        <f t="shared" si="8"/>
        <v/>
      </c>
      <c r="CS7" s="20" t="str">
        <f t="shared" si="8"/>
        <v/>
      </c>
      <c r="CT7" s="20" t="str">
        <f t="shared" si="8"/>
        <v/>
      </c>
      <c r="CU7" s="20"/>
      <c r="CV7" s="20"/>
      <c r="CW7" s="20" t="str">
        <f>IF(SUM(CW$8:CW$149), SUM(CW$8:CW$149), "")</f>
        <v/>
      </c>
      <c r="CX7" s="20" t="str">
        <f>IF(SUM(CX$8:CX$149), SUM(CX$8:CX$149), "")</f>
        <v/>
      </c>
      <c r="CY7" s="20" t="str">
        <f>IF(SUM(CY$8:CY$149), SUM(CY$8:CY$149), "")</f>
        <v/>
      </c>
      <c r="CZ7" s="20" t="str">
        <f>IF(SUM(CZ$8:CZ$149), SUM(CZ$8:CZ$149), "")</f>
        <v/>
      </c>
      <c r="DA7" s="20"/>
      <c r="DB7" s="20"/>
      <c r="DC7" s="20"/>
      <c r="DD7" s="20"/>
      <c r="DE7" s="20"/>
      <c r="DF7" s="20" t="str">
        <f>IF(SUM(DF$8:DF$149), SUM(DF$8:DF$149), "")</f>
        <v/>
      </c>
      <c r="DG7" s="20" t="str">
        <f>IF(SUM(DG$8:DG$149), SUM(DG$8:DG$149), "")</f>
        <v/>
      </c>
      <c r="DH7" s="20"/>
      <c r="DI7" s="20"/>
      <c r="DJ7" s="20"/>
      <c r="DK7" s="20"/>
      <c r="DL7" s="20"/>
      <c r="DM7" s="20" t="str">
        <f>IF(SUM(DM$8:DM$149), SUM(DM$8:DM$149), "")</f>
        <v/>
      </c>
      <c r="DN7" s="20" t="str">
        <f>IF(SUM(DN$8:DN$149), SUM(DN$8:DN$149), "")</f>
        <v/>
      </c>
      <c r="DO7" s="20"/>
      <c r="DP7" s="20"/>
      <c r="DQ7" s="20"/>
      <c r="DR7" s="20"/>
      <c r="DS7" s="20">
        <f t="shared" ref="DS7:GD7" si="9">IF(SUM(DS$8:DS$149), SUM(DS$8:DS$149), "")</f>
        <v>9.5</v>
      </c>
      <c r="DT7" s="20" t="str">
        <f t="shared" si="9"/>
        <v/>
      </c>
      <c r="DU7" s="20" t="str">
        <f t="shared" si="9"/>
        <v/>
      </c>
      <c r="DV7" s="20">
        <f t="shared" si="9"/>
        <v>9.5</v>
      </c>
      <c r="DW7" s="20">
        <f t="shared" si="9"/>
        <v>9.5</v>
      </c>
      <c r="DX7" s="20">
        <f t="shared" si="9"/>
        <v>9.5</v>
      </c>
      <c r="DY7" s="20">
        <f t="shared" si="9"/>
        <v>9.5</v>
      </c>
      <c r="DZ7" s="20">
        <f t="shared" si="9"/>
        <v>9.5</v>
      </c>
      <c r="EA7" s="20" t="str">
        <f t="shared" si="9"/>
        <v/>
      </c>
      <c r="EB7" s="20" t="str">
        <f t="shared" si="9"/>
        <v/>
      </c>
      <c r="EC7" s="20" t="str">
        <f t="shared" si="9"/>
        <v/>
      </c>
      <c r="ED7" s="20" t="str">
        <f t="shared" si="9"/>
        <v/>
      </c>
      <c r="EE7" s="20">
        <f t="shared" si="9"/>
        <v>9.5</v>
      </c>
      <c r="EF7" s="20">
        <f t="shared" si="9"/>
        <v>9.5</v>
      </c>
      <c r="EG7" s="20" t="str">
        <f t="shared" si="9"/>
        <v/>
      </c>
      <c r="EH7" s="20" t="str">
        <f t="shared" si="9"/>
        <v/>
      </c>
      <c r="EI7" s="20" t="str">
        <f t="shared" si="9"/>
        <v/>
      </c>
      <c r="EJ7" s="20" t="str">
        <f t="shared" si="9"/>
        <v/>
      </c>
      <c r="EK7" s="20" t="str">
        <f t="shared" si="9"/>
        <v/>
      </c>
      <c r="EL7" s="20" t="str">
        <f t="shared" si="9"/>
        <v/>
      </c>
      <c r="EM7" s="20" t="str">
        <f t="shared" si="9"/>
        <v/>
      </c>
      <c r="EN7" s="20" t="str">
        <f t="shared" si="9"/>
        <v/>
      </c>
      <c r="EO7" s="20" t="str">
        <f t="shared" si="9"/>
        <v/>
      </c>
      <c r="EP7" s="20" t="str">
        <f t="shared" si="9"/>
        <v/>
      </c>
      <c r="EQ7" s="20" t="str">
        <f t="shared" si="9"/>
        <v/>
      </c>
      <c r="ER7" s="20" t="str">
        <f t="shared" si="9"/>
        <v/>
      </c>
      <c r="ES7" s="20" t="str">
        <f t="shared" si="9"/>
        <v/>
      </c>
      <c r="ET7" s="20" t="str">
        <f t="shared" si="9"/>
        <v/>
      </c>
      <c r="EU7" s="20" t="str">
        <f t="shared" si="9"/>
        <v/>
      </c>
      <c r="EV7" s="20" t="str">
        <f t="shared" si="9"/>
        <v/>
      </c>
      <c r="EW7" s="20" t="str">
        <f t="shared" si="9"/>
        <v/>
      </c>
      <c r="EX7" s="20" t="str">
        <f t="shared" si="9"/>
        <v/>
      </c>
      <c r="EY7" s="20" t="str">
        <f t="shared" si="9"/>
        <v/>
      </c>
      <c r="EZ7" s="20" t="str">
        <f t="shared" si="9"/>
        <v/>
      </c>
      <c r="FA7" s="20" t="str">
        <f t="shared" si="9"/>
        <v/>
      </c>
      <c r="FB7" s="20" t="str">
        <f t="shared" si="9"/>
        <v/>
      </c>
      <c r="FC7" s="20" t="str">
        <f t="shared" si="9"/>
        <v/>
      </c>
      <c r="FD7" s="20" t="str">
        <f t="shared" si="9"/>
        <v/>
      </c>
      <c r="FE7" s="20" t="str">
        <f t="shared" si="9"/>
        <v/>
      </c>
      <c r="FF7" s="20" t="str">
        <f t="shared" si="9"/>
        <v/>
      </c>
      <c r="FG7" s="20" t="str">
        <f t="shared" si="9"/>
        <v/>
      </c>
      <c r="FH7" s="20" t="str">
        <f t="shared" si="9"/>
        <v/>
      </c>
      <c r="FI7" s="20" t="str">
        <f t="shared" si="9"/>
        <v/>
      </c>
      <c r="FJ7" s="20" t="str">
        <f t="shared" si="9"/>
        <v/>
      </c>
      <c r="FK7" s="20" t="str">
        <f t="shared" si="9"/>
        <v/>
      </c>
      <c r="FL7" s="20" t="str">
        <f t="shared" si="9"/>
        <v/>
      </c>
      <c r="FM7" s="20" t="str">
        <f t="shared" si="9"/>
        <v/>
      </c>
      <c r="FN7" s="20" t="str">
        <f t="shared" si="9"/>
        <v/>
      </c>
      <c r="FO7" s="20" t="str">
        <f t="shared" si="9"/>
        <v/>
      </c>
      <c r="FP7" s="20" t="str">
        <f t="shared" si="9"/>
        <v/>
      </c>
      <c r="FQ7" s="20" t="str">
        <f t="shared" si="9"/>
        <v/>
      </c>
      <c r="FR7" s="20" t="str">
        <f t="shared" si="9"/>
        <v/>
      </c>
      <c r="FS7" s="20" t="str">
        <f t="shared" si="9"/>
        <v/>
      </c>
      <c r="FT7" s="20" t="str">
        <f t="shared" si="9"/>
        <v/>
      </c>
      <c r="FU7" s="20" t="str">
        <f t="shared" si="9"/>
        <v/>
      </c>
      <c r="FV7" s="20" t="str">
        <f t="shared" si="9"/>
        <v/>
      </c>
      <c r="FW7" s="20" t="str">
        <f t="shared" si="9"/>
        <v/>
      </c>
      <c r="FX7" s="20" t="str">
        <f t="shared" si="9"/>
        <v/>
      </c>
      <c r="FY7" s="20" t="str">
        <f t="shared" si="9"/>
        <v/>
      </c>
      <c r="FZ7" s="20" t="str">
        <f t="shared" si="9"/>
        <v/>
      </c>
      <c r="GA7" s="20" t="str">
        <f t="shared" si="9"/>
        <v/>
      </c>
      <c r="GB7" s="20" t="str">
        <f t="shared" si="9"/>
        <v/>
      </c>
      <c r="GC7" s="20" t="str">
        <f t="shared" si="9"/>
        <v/>
      </c>
      <c r="GD7" s="20" t="str">
        <f t="shared" si="9"/>
        <v/>
      </c>
      <c r="GE7" s="20" t="str">
        <f t="shared" ref="GE7:IP7" si="10">IF(SUM(GE$8:GE$149), SUM(GE$8:GE$149), "")</f>
        <v/>
      </c>
      <c r="GF7" s="20" t="str">
        <f t="shared" si="10"/>
        <v/>
      </c>
      <c r="GG7" s="20" t="str">
        <f t="shared" si="10"/>
        <v/>
      </c>
      <c r="GH7" s="20" t="str">
        <f t="shared" si="10"/>
        <v/>
      </c>
      <c r="GI7" s="20" t="str">
        <f t="shared" si="10"/>
        <v/>
      </c>
      <c r="GJ7" s="20" t="str">
        <f t="shared" si="10"/>
        <v/>
      </c>
      <c r="GK7" s="20" t="str">
        <f t="shared" si="10"/>
        <v/>
      </c>
      <c r="GL7" s="20" t="str">
        <f t="shared" si="10"/>
        <v/>
      </c>
      <c r="GM7" s="20" t="str">
        <f t="shared" si="10"/>
        <v/>
      </c>
      <c r="GN7" s="20" t="str">
        <f t="shared" si="10"/>
        <v/>
      </c>
      <c r="GO7" s="20" t="str">
        <f t="shared" si="10"/>
        <v/>
      </c>
      <c r="GP7" s="20" t="str">
        <f t="shared" si="10"/>
        <v/>
      </c>
      <c r="GQ7" s="20" t="str">
        <f t="shared" si="10"/>
        <v/>
      </c>
      <c r="GR7" s="20" t="str">
        <f t="shared" si="10"/>
        <v/>
      </c>
      <c r="GS7" s="20" t="str">
        <f t="shared" si="10"/>
        <v/>
      </c>
      <c r="GT7" s="20" t="str">
        <f t="shared" si="10"/>
        <v/>
      </c>
      <c r="GU7" s="20" t="str">
        <f t="shared" si="10"/>
        <v/>
      </c>
      <c r="GV7" s="20" t="str">
        <f t="shared" si="10"/>
        <v/>
      </c>
      <c r="GW7" s="20" t="str">
        <f t="shared" si="10"/>
        <v/>
      </c>
      <c r="GX7" s="20" t="str">
        <f t="shared" si="10"/>
        <v/>
      </c>
      <c r="GY7" s="20" t="str">
        <f t="shared" si="10"/>
        <v/>
      </c>
      <c r="GZ7" s="20" t="str">
        <f t="shared" si="10"/>
        <v/>
      </c>
      <c r="HA7" s="20" t="str">
        <f t="shared" si="10"/>
        <v/>
      </c>
      <c r="HB7" s="20" t="str">
        <f t="shared" si="10"/>
        <v/>
      </c>
      <c r="HC7" s="20" t="str">
        <f t="shared" si="10"/>
        <v/>
      </c>
      <c r="HD7" s="20" t="str">
        <f t="shared" si="10"/>
        <v/>
      </c>
      <c r="HE7" s="20" t="str">
        <f t="shared" si="10"/>
        <v/>
      </c>
      <c r="HF7" s="20" t="str">
        <f t="shared" si="10"/>
        <v/>
      </c>
      <c r="HG7" s="20" t="str">
        <f t="shared" si="10"/>
        <v/>
      </c>
      <c r="HH7" s="20" t="str">
        <f t="shared" si="10"/>
        <v/>
      </c>
      <c r="HI7" s="20" t="str">
        <f t="shared" si="10"/>
        <v/>
      </c>
      <c r="HJ7" s="20" t="str">
        <f t="shared" si="10"/>
        <v/>
      </c>
      <c r="HK7" s="20" t="str">
        <f t="shared" si="10"/>
        <v/>
      </c>
      <c r="HL7" s="20" t="str">
        <f t="shared" si="10"/>
        <v/>
      </c>
      <c r="HM7" s="20" t="str">
        <f t="shared" si="10"/>
        <v/>
      </c>
      <c r="HN7" s="20" t="str">
        <f t="shared" si="10"/>
        <v/>
      </c>
      <c r="HO7" s="20" t="str">
        <f t="shared" si="10"/>
        <v/>
      </c>
      <c r="HP7" s="20" t="str">
        <f t="shared" si="10"/>
        <v/>
      </c>
      <c r="HQ7" s="20" t="str">
        <f t="shared" si="10"/>
        <v/>
      </c>
      <c r="HR7" s="20" t="str">
        <f t="shared" si="10"/>
        <v/>
      </c>
      <c r="HS7" s="20" t="str">
        <f t="shared" si="10"/>
        <v/>
      </c>
      <c r="HT7" s="20" t="str">
        <f t="shared" si="10"/>
        <v/>
      </c>
      <c r="HU7" s="20" t="str">
        <f t="shared" si="10"/>
        <v/>
      </c>
      <c r="HV7" s="20" t="str">
        <f t="shared" si="10"/>
        <v/>
      </c>
      <c r="HW7" s="20" t="str">
        <f t="shared" si="10"/>
        <v/>
      </c>
      <c r="HX7" s="20" t="str">
        <f t="shared" si="10"/>
        <v/>
      </c>
      <c r="HY7" s="20" t="str">
        <f t="shared" si="10"/>
        <v/>
      </c>
      <c r="HZ7" s="20" t="str">
        <f t="shared" si="10"/>
        <v/>
      </c>
      <c r="IA7" s="20" t="str">
        <f t="shared" si="10"/>
        <v/>
      </c>
      <c r="IB7" s="20" t="str">
        <f t="shared" si="10"/>
        <v/>
      </c>
      <c r="IC7" s="20" t="str">
        <f t="shared" si="10"/>
        <v/>
      </c>
      <c r="ID7" s="20" t="str">
        <f t="shared" si="10"/>
        <v/>
      </c>
      <c r="IE7" s="20" t="str">
        <f t="shared" si="10"/>
        <v/>
      </c>
      <c r="IF7" s="20" t="str">
        <f t="shared" si="10"/>
        <v/>
      </c>
      <c r="IG7" s="20" t="str">
        <f t="shared" si="10"/>
        <v/>
      </c>
      <c r="IH7" s="20" t="str">
        <f t="shared" si="10"/>
        <v/>
      </c>
      <c r="II7" s="20" t="str">
        <f t="shared" si="10"/>
        <v/>
      </c>
      <c r="IJ7" s="20" t="str">
        <f t="shared" si="10"/>
        <v/>
      </c>
      <c r="IK7" s="20" t="str">
        <f t="shared" si="10"/>
        <v/>
      </c>
      <c r="IL7" s="20" t="str">
        <f t="shared" si="10"/>
        <v/>
      </c>
      <c r="IM7" s="20" t="str">
        <f t="shared" si="10"/>
        <v/>
      </c>
      <c r="IN7" s="20" t="str">
        <f t="shared" si="10"/>
        <v/>
      </c>
      <c r="IO7" s="20" t="str">
        <f t="shared" si="10"/>
        <v/>
      </c>
      <c r="IP7" s="20" t="str">
        <f t="shared" si="10"/>
        <v/>
      </c>
      <c r="IQ7" s="20" t="str">
        <f t="shared" ref="IQ7:LB7" si="11">IF(SUM(IQ$8:IQ$149), SUM(IQ$8:IQ$149), "")</f>
        <v/>
      </c>
      <c r="IR7" s="20" t="str">
        <f t="shared" si="11"/>
        <v/>
      </c>
      <c r="IS7" s="20" t="str">
        <f t="shared" si="11"/>
        <v/>
      </c>
      <c r="IT7" s="20" t="str">
        <f t="shared" si="11"/>
        <v/>
      </c>
      <c r="IU7" s="20" t="str">
        <f t="shared" si="11"/>
        <v/>
      </c>
      <c r="IV7" s="20" t="str">
        <f t="shared" si="11"/>
        <v/>
      </c>
      <c r="IW7" s="20" t="str">
        <f t="shared" si="11"/>
        <v/>
      </c>
      <c r="IX7" s="20" t="str">
        <f t="shared" si="11"/>
        <v/>
      </c>
      <c r="IY7" s="20" t="str">
        <f t="shared" si="11"/>
        <v/>
      </c>
      <c r="IZ7" s="20" t="str">
        <f t="shared" si="11"/>
        <v/>
      </c>
      <c r="JA7" s="20" t="str">
        <f t="shared" si="11"/>
        <v/>
      </c>
      <c r="JB7" s="20" t="str">
        <f t="shared" si="11"/>
        <v/>
      </c>
      <c r="JC7" s="20" t="str">
        <f t="shared" si="11"/>
        <v/>
      </c>
      <c r="JD7" s="20" t="str">
        <f t="shared" si="11"/>
        <v/>
      </c>
      <c r="JE7" s="20" t="str">
        <f t="shared" si="11"/>
        <v/>
      </c>
      <c r="JF7" s="20" t="str">
        <f t="shared" si="11"/>
        <v/>
      </c>
      <c r="JG7" s="20" t="str">
        <f t="shared" si="11"/>
        <v/>
      </c>
      <c r="JH7" s="20" t="str">
        <f t="shared" si="11"/>
        <v/>
      </c>
      <c r="JI7" s="20" t="str">
        <f t="shared" si="11"/>
        <v/>
      </c>
      <c r="JJ7" s="20" t="str">
        <f t="shared" si="11"/>
        <v/>
      </c>
      <c r="JK7" s="20" t="str">
        <f t="shared" si="11"/>
        <v/>
      </c>
      <c r="JL7" s="20" t="str">
        <f t="shared" si="11"/>
        <v/>
      </c>
      <c r="JM7" s="20" t="str">
        <f t="shared" si="11"/>
        <v/>
      </c>
      <c r="JN7" s="20" t="str">
        <f t="shared" si="11"/>
        <v/>
      </c>
      <c r="JO7" s="20" t="str">
        <f t="shared" si="11"/>
        <v/>
      </c>
      <c r="JP7" s="20" t="str">
        <f t="shared" si="11"/>
        <v/>
      </c>
      <c r="JQ7" s="20" t="str">
        <f t="shared" si="11"/>
        <v/>
      </c>
      <c r="JR7" s="20" t="str">
        <f t="shared" si="11"/>
        <v/>
      </c>
      <c r="JS7" s="20" t="str">
        <f t="shared" si="11"/>
        <v/>
      </c>
      <c r="JT7" s="20" t="str">
        <f t="shared" si="11"/>
        <v/>
      </c>
      <c r="JU7" s="20" t="str">
        <f t="shared" si="11"/>
        <v/>
      </c>
      <c r="JV7" s="20" t="str">
        <f t="shared" si="11"/>
        <v/>
      </c>
      <c r="JW7" s="20" t="str">
        <f t="shared" si="11"/>
        <v/>
      </c>
      <c r="JX7" s="20" t="str">
        <f t="shared" si="11"/>
        <v/>
      </c>
      <c r="JY7" s="20" t="str">
        <f t="shared" si="11"/>
        <v/>
      </c>
      <c r="JZ7" s="20" t="str">
        <f t="shared" si="11"/>
        <v/>
      </c>
      <c r="KA7" s="20" t="str">
        <f t="shared" si="11"/>
        <v/>
      </c>
      <c r="KB7" s="20" t="str">
        <f t="shared" si="11"/>
        <v/>
      </c>
      <c r="KC7" s="20" t="str">
        <f t="shared" si="11"/>
        <v/>
      </c>
      <c r="KD7" s="20" t="str">
        <f t="shared" si="11"/>
        <v/>
      </c>
      <c r="KE7" s="20" t="str">
        <f t="shared" si="11"/>
        <v/>
      </c>
      <c r="KF7" s="20" t="str">
        <f t="shared" si="11"/>
        <v/>
      </c>
      <c r="KG7" s="20" t="str">
        <f t="shared" si="11"/>
        <v/>
      </c>
      <c r="KH7" s="20" t="str">
        <f t="shared" si="11"/>
        <v/>
      </c>
      <c r="KI7" s="20" t="str">
        <f t="shared" si="11"/>
        <v/>
      </c>
      <c r="KJ7" s="20" t="str">
        <f t="shared" si="11"/>
        <v/>
      </c>
      <c r="KK7" s="20" t="str">
        <f t="shared" si="11"/>
        <v/>
      </c>
      <c r="KL7" s="20" t="str">
        <f t="shared" si="11"/>
        <v/>
      </c>
      <c r="KM7" s="20" t="str">
        <f t="shared" si="11"/>
        <v/>
      </c>
      <c r="KN7" s="20" t="str">
        <f t="shared" si="11"/>
        <v/>
      </c>
      <c r="KO7" s="20" t="str">
        <f t="shared" si="11"/>
        <v/>
      </c>
      <c r="KP7" s="20" t="str">
        <f t="shared" si="11"/>
        <v/>
      </c>
      <c r="KQ7" s="20" t="str">
        <f t="shared" si="11"/>
        <v/>
      </c>
      <c r="KR7" s="20" t="str">
        <f t="shared" si="11"/>
        <v/>
      </c>
      <c r="KS7" s="20" t="str">
        <f t="shared" si="11"/>
        <v/>
      </c>
      <c r="KT7" s="20" t="str">
        <f t="shared" si="11"/>
        <v/>
      </c>
      <c r="KU7" s="20" t="str">
        <f t="shared" si="11"/>
        <v/>
      </c>
      <c r="KV7" s="20" t="str">
        <f t="shared" si="11"/>
        <v/>
      </c>
      <c r="KW7" s="20" t="str">
        <f t="shared" si="11"/>
        <v/>
      </c>
      <c r="KX7" s="20" t="str">
        <f t="shared" si="11"/>
        <v/>
      </c>
      <c r="KY7" s="20" t="str">
        <f t="shared" si="11"/>
        <v/>
      </c>
      <c r="KZ7" s="20" t="str">
        <f t="shared" si="11"/>
        <v/>
      </c>
      <c r="LA7" s="20" t="str">
        <f t="shared" si="11"/>
        <v/>
      </c>
      <c r="LB7" s="20" t="str">
        <f t="shared" si="11"/>
        <v/>
      </c>
      <c r="LC7" s="20" t="str">
        <f t="shared" ref="LC7:NN7" si="12">IF(SUM(LC$8:LC$149), SUM(LC$8:LC$149), "")</f>
        <v/>
      </c>
      <c r="LD7" s="20" t="str">
        <f t="shared" si="12"/>
        <v/>
      </c>
      <c r="LE7" s="20" t="str">
        <f t="shared" si="12"/>
        <v/>
      </c>
      <c r="LF7" s="20" t="str">
        <f t="shared" si="12"/>
        <v/>
      </c>
      <c r="LG7" s="20" t="str">
        <f t="shared" si="12"/>
        <v/>
      </c>
      <c r="LH7" s="20" t="str">
        <f t="shared" si="12"/>
        <v/>
      </c>
      <c r="LI7" s="20" t="str">
        <f t="shared" si="12"/>
        <v/>
      </c>
      <c r="LJ7" s="20" t="str">
        <f t="shared" si="12"/>
        <v/>
      </c>
      <c r="LK7" s="20" t="str">
        <f t="shared" si="12"/>
        <v/>
      </c>
      <c r="LL7" s="20" t="str">
        <f t="shared" si="12"/>
        <v/>
      </c>
      <c r="LM7" s="20" t="str">
        <f t="shared" si="12"/>
        <v/>
      </c>
      <c r="LN7" s="20" t="str">
        <f t="shared" si="12"/>
        <v/>
      </c>
      <c r="LO7" s="20" t="str">
        <f t="shared" si="12"/>
        <v/>
      </c>
      <c r="LP7" s="20" t="str">
        <f t="shared" si="12"/>
        <v/>
      </c>
      <c r="LQ7" s="20" t="str">
        <f t="shared" si="12"/>
        <v/>
      </c>
      <c r="LR7" s="20" t="str">
        <f t="shared" si="12"/>
        <v/>
      </c>
      <c r="LS7" s="20" t="str">
        <f t="shared" si="12"/>
        <v/>
      </c>
      <c r="LT7" s="20" t="str">
        <f t="shared" si="12"/>
        <v/>
      </c>
      <c r="LU7" s="20" t="str">
        <f t="shared" si="12"/>
        <v/>
      </c>
      <c r="LV7" s="20" t="str">
        <f t="shared" si="12"/>
        <v/>
      </c>
      <c r="LW7" s="20" t="str">
        <f t="shared" si="12"/>
        <v/>
      </c>
      <c r="LX7" s="20" t="str">
        <f t="shared" si="12"/>
        <v/>
      </c>
      <c r="LY7" s="20" t="str">
        <f t="shared" si="12"/>
        <v/>
      </c>
      <c r="LZ7" s="20" t="str">
        <f t="shared" si="12"/>
        <v/>
      </c>
      <c r="MA7" s="20" t="str">
        <f t="shared" si="12"/>
        <v/>
      </c>
      <c r="MB7" s="20" t="str">
        <f t="shared" si="12"/>
        <v/>
      </c>
      <c r="MC7" s="20" t="str">
        <f t="shared" si="12"/>
        <v/>
      </c>
      <c r="MD7" s="20" t="str">
        <f t="shared" si="12"/>
        <v/>
      </c>
      <c r="ME7" s="20" t="str">
        <f t="shared" si="12"/>
        <v/>
      </c>
      <c r="MF7" s="20" t="str">
        <f t="shared" si="12"/>
        <v/>
      </c>
      <c r="MG7" s="20" t="str">
        <f t="shared" si="12"/>
        <v/>
      </c>
      <c r="MH7" s="20" t="str">
        <f t="shared" si="12"/>
        <v/>
      </c>
      <c r="MI7" s="20" t="str">
        <f t="shared" si="12"/>
        <v/>
      </c>
      <c r="MJ7" s="20" t="str">
        <f t="shared" si="12"/>
        <v/>
      </c>
      <c r="MK7" s="20" t="str">
        <f t="shared" si="12"/>
        <v/>
      </c>
      <c r="ML7" s="20" t="str">
        <f t="shared" si="12"/>
        <v/>
      </c>
      <c r="MM7" s="20" t="str">
        <f t="shared" si="12"/>
        <v/>
      </c>
      <c r="MN7" s="20" t="str">
        <f t="shared" si="12"/>
        <v/>
      </c>
      <c r="MO7" s="20" t="str">
        <f t="shared" si="12"/>
        <v/>
      </c>
      <c r="MP7" s="20" t="str">
        <f t="shared" si="12"/>
        <v/>
      </c>
      <c r="MQ7" s="20" t="str">
        <f t="shared" si="12"/>
        <v/>
      </c>
      <c r="MR7" s="20" t="str">
        <f t="shared" si="12"/>
        <v/>
      </c>
      <c r="MS7" s="20" t="str">
        <f t="shared" si="12"/>
        <v/>
      </c>
      <c r="MT7" s="20" t="str">
        <f t="shared" si="12"/>
        <v/>
      </c>
      <c r="MU7" s="20" t="str">
        <f t="shared" si="12"/>
        <v/>
      </c>
      <c r="MV7" s="20" t="str">
        <f t="shared" si="12"/>
        <v/>
      </c>
      <c r="MW7" s="20" t="str">
        <f t="shared" si="12"/>
        <v/>
      </c>
      <c r="MX7" s="20" t="str">
        <f t="shared" si="12"/>
        <v/>
      </c>
      <c r="MY7" s="20" t="str">
        <f t="shared" si="12"/>
        <v/>
      </c>
      <c r="MZ7" s="20" t="str">
        <f t="shared" si="12"/>
        <v/>
      </c>
      <c r="NA7" s="20" t="str">
        <f t="shared" si="12"/>
        <v/>
      </c>
      <c r="NB7" s="20" t="str">
        <f t="shared" si="12"/>
        <v/>
      </c>
      <c r="NC7" s="20" t="str">
        <f t="shared" si="12"/>
        <v/>
      </c>
      <c r="ND7" s="20" t="str">
        <f t="shared" si="12"/>
        <v/>
      </c>
      <c r="NE7" s="20" t="str">
        <f t="shared" si="12"/>
        <v/>
      </c>
      <c r="NF7" s="20" t="str">
        <f t="shared" si="12"/>
        <v/>
      </c>
      <c r="NG7" s="20" t="str">
        <f t="shared" si="12"/>
        <v/>
      </c>
      <c r="NH7" s="20" t="str">
        <f t="shared" si="12"/>
        <v/>
      </c>
      <c r="NI7" s="20" t="str">
        <f t="shared" si="12"/>
        <v/>
      </c>
      <c r="NJ7" s="20" t="str">
        <f t="shared" si="12"/>
        <v/>
      </c>
      <c r="NK7" s="20" t="str">
        <f t="shared" si="12"/>
        <v/>
      </c>
      <c r="NL7" s="20" t="str">
        <f t="shared" si="12"/>
        <v/>
      </c>
      <c r="NM7" s="20" t="str">
        <f t="shared" si="12"/>
        <v/>
      </c>
      <c r="NN7" s="20" t="str">
        <f t="shared" si="12"/>
        <v/>
      </c>
      <c r="NO7" s="20" t="str">
        <f t="shared" ref="NO7:OE7" si="13">IF(SUM(NO$8:NO$149), SUM(NO$8:NO$149), "")</f>
        <v/>
      </c>
      <c r="NP7" s="20" t="str">
        <f t="shared" si="13"/>
        <v/>
      </c>
      <c r="NQ7" s="20" t="str">
        <f t="shared" si="13"/>
        <v/>
      </c>
      <c r="NR7" s="20" t="str">
        <f t="shared" si="13"/>
        <v/>
      </c>
      <c r="NS7" s="20" t="str">
        <f t="shared" si="13"/>
        <v/>
      </c>
      <c r="NT7" s="20" t="str">
        <f t="shared" si="13"/>
        <v/>
      </c>
      <c r="NU7" s="20" t="str">
        <f t="shared" si="13"/>
        <v/>
      </c>
      <c r="NV7" s="20" t="str">
        <f t="shared" si="13"/>
        <v/>
      </c>
      <c r="NW7" s="20" t="str">
        <f t="shared" si="13"/>
        <v/>
      </c>
      <c r="NX7" s="20" t="str">
        <f t="shared" si="13"/>
        <v/>
      </c>
      <c r="NY7" s="20" t="str">
        <f t="shared" si="13"/>
        <v/>
      </c>
      <c r="NZ7" s="20" t="str">
        <f t="shared" si="13"/>
        <v/>
      </c>
      <c r="OA7" s="20" t="str">
        <f t="shared" si="13"/>
        <v/>
      </c>
      <c r="OB7" s="20" t="str">
        <f t="shared" si="13"/>
        <v/>
      </c>
      <c r="OC7" s="20" t="str">
        <f t="shared" si="13"/>
        <v/>
      </c>
      <c r="OD7" s="20" t="str">
        <f t="shared" si="13"/>
        <v/>
      </c>
      <c r="OE7" s="117" t="str">
        <f t="shared" si="13"/>
        <v/>
      </c>
    </row>
    <row r="8" spans="1:395">
      <c r="A8" s="31" t="s">
        <v>76</v>
      </c>
      <c r="B8" s="14" t="s">
        <v>77</v>
      </c>
      <c r="C8" s="15"/>
      <c r="D8" s="22"/>
      <c r="E8" s="16" t="str">
        <f>IF(SUM($G8,$I8,$K8,$M8,$O8,$Q8,$S8,$U8,$W8,$Y8,$AA8,$AC8), SUM($G8,$I8,$K8,$M8,$O8,$Q8,$S8,$U8,$W8,$Y8,$AA8,$AC8), "")</f>
        <v/>
      </c>
      <c r="F8" s="16">
        <f>SUM($H8,$J8,$L8,$N8,$P8,$R8,$T8,$V8,$X8,$Z8,$AB8,$AD8)</f>
        <v>0</v>
      </c>
      <c r="G8" s="13"/>
      <c r="H8" s="13" cm="1">
        <f t="array" ref="H8">SUMPRODUCT((TEXT($AE$5:$OE$5, "mmm")=LOWER(G$3))*$AE8:$OE8)</f>
        <v>0</v>
      </c>
      <c r="I8" s="13"/>
      <c r="J8" s="13" cm="1">
        <f t="array" ref="J8">SUMPRODUCT((TEXT($AE$5:$OE$5, "mmm")=LOWER(I$3))*$AE8:$OE8)</f>
        <v>0</v>
      </c>
      <c r="K8" s="13"/>
      <c r="L8" s="13" cm="1">
        <f t="array" ref="L8">SUMPRODUCT((TEXT($AE$5:$OE$5, "mmm")=LOWER(K$3))*$AE8:$OE8)</f>
        <v>0</v>
      </c>
      <c r="M8" s="13"/>
      <c r="N8" s="13" cm="1">
        <f t="array" ref="N8">SUMPRODUCT((TEXT($AE$5:$OE$5, "mmm")=LOWER(M$3))*$AE8:$OE8)</f>
        <v>0</v>
      </c>
      <c r="O8" s="13"/>
      <c r="P8" s="13" cm="1">
        <f t="array" ref="P8">SUMPRODUCT((TEXT($AE$5:$OE$5, "mmm")=LOWER(O$3))*$AE8:$OE8)</f>
        <v>0</v>
      </c>
      <c r="Q8" s="13"/>
      <c r="R8" s="13" cm="1">
        <f t="array" ref="R8">SUMPRODUCT((TEXT($AE$5:$OE$5, "mmm")=LOWER(Q$3))*$AE8:$OE8)</f>
        <v>0</v>
      </c>
      <c r="S8" s="13"/>
      <c r="T8" s="13" cm="1">
        <f t="array" ref="T8">SUMPRODUCT((TEXT($AE$5:$OE$5, "mmm")=LOWER(S$3))*$AE8:$OE8)</f>
        <v>0</v>
      </c>
      <c r="U8" s="13"/>
      <c r="V8" s="13" cm="1">
        <f t="array" ref="V8">SUMPRODUCT((TEXT($AE$5:$OE$5, "mmm")=LOWER(U$3))*$AE8:$OE8)</f>
        <v>0</v>
      </c>
      <c r="W8" s="13"/>
      <c r="X8" s="13" cm="1">
        <f t="array" ref="X8">SUMPRODUCT((TEXT($AE$5:$OE$5, "mmm")=LOWER(W$3))*$AE8:$OE8)</f>
        <v>0</v>
      </c>
      <c r="Y8" s="13"/>
      <c r="Z8" s="13" cm="1">
        <f t="array" ref="Z8">SUMPRODUCT((TEXT($AE$5:$OE$5, "mmm")=LOWER(Y$3))*$AE8:$OE8)</f>
        <v>0</v>
      </c>
      <c r="AA8" s="13"/>
      <c r="AB8" s="13" cm="1">
        <f t="array" ref="AB8">SUMPRODUCT((TEXT($AE$5:$OE$5, "mmm")=LOWER(AA$3))*$AE8:$OE8)</f>
        <v>0</v>
      </c>
      <c r="AC8" s="13"/>
      <c r="AD8" s="17" cm="1">
        <f t="array" ref="AD8">SUMPRODUCT((TEXT($AE$5:$OE$5, "mmm")=LOWER(AC$3))*$AE8:$OE8)</f>
        <v>0</v>
      </c>
      <c r="AE8" s="23"/>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BX8" s="24"/>
      <c r="BY8" s="24"/>
      <c r="BZ8" s="24"/>
      <c r="CA8" s="24"/>
      <c r="CB8" s="24"/>
      <c r="CC8" s="24"/>
      <c r="CD8" s="24"/>
      <c r="CE8" s="24"/>
      <c r="CF8" s="24"/>
      <c r="CG8" s="24"/>
      <c r="CH8" s="24"/>
      <c r="CI8" s="24"/>
      <c r="CJ8" s="24"/>
      <c r="CK8" s="24"/>
      <c r="CL8" s="24"/>
      <c r="CM8" s="24"/>
      <c r="CN8" s="24"/>
      <c r="CO8" s="24"/>
      <c r="CP8" s="24"/>
      <c r="CQ8" s="24"/>
      <c r="CR8" s="24"/>
      <c r="CS8" s="24"/>
      <c r="CT8" s="24"/>
      <c r="CU8" s="24"/>
      <c r="CV8" s="24"/>
      <c r="CW8" s="24"/>
      <c r="CX8" s="24"/>
      <c r="CY8" s="24"/>
      <c r="CZ8" s="24"/>
      <c r="DA8" s="24"/>
      <c r="DB8" s="24"/>
      <c r="DC8" s="24"/>
      <c r="DD8" s="24"/>
      <c r="DE8" s="24"/>
      <c r="DF8" s="24"/>
      <c r="DG8" s="24"/>
      <c r="DH8" s="24"/>
      <c r="DI8" s="24"/>
      <c r="DJ8" s="24"/>
      <c r="DK8" s="24"/>
      <c r="DL8" s="24"/>
      <c r="DM8" s="24"/>
      <c r="DN8" s="24"/>
      <c r="DO8" s="24"/>
      <c r="DP8" s="24"/>
      <c r="DQ8" s="24"/>
      <c r="DR8" s="24"/>
      <c r="DS8" s="24"/>
      <c r="DT8" s="24"/>
      <c r="DU8" s="24"/>
      <c r="DV8" s="24"/>
      <c r="DW8" s="24"/>
      <c r="DX8" s="24"/>
      <c r="DY8" s="24"/>
      <c r="DZ8" s="24"/>
      <c r="EA8" s="24"/>
      <c r="EB8" s="24"/>
      <c r="EC8" s="24"/>
      <c r="ED8" s="24"/>
      <c r="EE8" s="24"/>
      <c r="EF8" s="24"/>
      <c r="EG8" s="24"/>
      <c r="EH8" s="24"/>
      <c r="EI8" s="24"/>
      <c r="EJ8" s="24"/>
      <c r="EK8" s="24"/>
      <c r="EL8" s="24"/>
      <c r="EM8" s="24"/>
      <c r="EN8" s="24"/>
      <c r="EO8" s="24"/>
      <c r="EP8" s="24"/>
      <c r="EQ8" s="24"/>
      <c r="ER8" s="24"/>
      <c r="ES8" s="24"/>
      <c r="ET8" s="24"/>
      <c r="EU8" s="24"/>
      <c r="EV8" s="24"/>
      <c r="EW8" s="24"/>
      <c r="EX8" s="24"/>
      <c r="EY8" s="24"/>
      <c r="EZ8" s="24"/>
      <c r="FA8" s="24"/>
      <c r="FB8" s="24"/>
      <c r="FC8" s="24"/>
      <c r="FD8" s="24"/>
      <c r="FE8" s="24"/>
      <c r="FF8" s="24"/>
      <c r="FG8" s="24"/>
      <c r="FH8" s="24"/>
      <c r="FI8" s="24"/>
      <c r="FJ8" s="24"/>
      <c r="FK8" s="24"/>
      <c r="FL8" s="24"/>
      <c r="FM8" s="24"/>
      <c r="FN8" s="24"/>
      <c r="FO8" s="24"/>
      <c r="FP8" s="24"/>
      <c r="FQ8" s="24"/>
      <c r="FR8" s="24"/>
      <c r="FS8" s="24"/>
      <c r="FT8" s="24"/>
      <c r="FU8" s="24"/>
      <c r="FV8" s="24"/>
      <c r="FW8" s="24"/>
      <c r="FX8" s="24"/>
      <c r="FY8" s="24"/>
      <c r="FZ8" s="24"/>
      <c r="GA8" s="24"/>
      <c r="GB8" s="24"/>
      <c r="GC8" s="24"/>
      <c r="GD8" s="24"/>
      <c r="GE8" s="24"/>
      <c r="GF8" s="24"/>
      <c r="GG8" s="24"/>
      <c r="GH8" s="24"/>
      <c r="GI8" s="24"/>
      <c r="GJ8" s="24"/>
      <c r="GK8" s="24"/>
      <c r="GL8" s="24"/>
      <c r="GM8" s="24"/>
      <c r="GN8" s="24"/>
      <c r="GO8" s="24"/>
      <c r="GP8" s="24"/>
      <c r="GQ8" s="24"/>
      <c r="GR8" s="24"/>
      <c r="GS8" s="24"/>
      <c r="GT8" s="24"/>
      <c r="GU8" s="24"/>
      <c r="GV8" s="24"/>
      <c r="GW8" s="24"/>
      <c r="GX8" s="24"/>
      <c r="GY8" s="24"/>
      <c r="GZ8" s="24"/>
      <c r="HA8" s="24"/>
      <c r="HB8" s="24"/>
      <c r="HC8" s="24"/>
      <c r="HD8" s="24"/>
      <c r="HE8" s="24"/>
      <c r="HF8" s="24"/>
      <c r="HG8" s="24"/>
      <c r="HH8" s="24"/>
      <c r="HI8" s="24"/>
      <c r="HJ8" s="24"/>
      <c r="HK8" s="24"/>
      <c r="HL8" s="24"/>
      <c r="HM8" s="24"/>
      <c r="HN8" s="24"/>
      <c r="HO8" s="24"/>
      <c r="HP8" s="24"/>
      <c r="HQ8" s="24"/>
      <c r="HR8" s="24"/>
      <c r="HS8" s="24"/>
      <c r="HT8" s="24"/>
      <c r="HU8" s="24"/>
      <c r="HV8" s="24"/>
      <c r="HW8" s="24"/>
      <c r="HX8" s="24"/>
      <c r="HY8" s="24"/>
      <c r="HZ8" s="24"/>
      <c r="IA8" s="24"/>
      <c r="IB8" s="24"/>
      <c r="IC8" s="24"/>
      <c r="ID8" s="24"/>
      <c r="IE8" s="24"/>
      <c r="IF8" s="24"/>
      <c r="IG8" s="24"/>
      <c r="IH8" s="24"/>
      <c r="II8" s="24"/>
      <c r="IJ8" s="24"/>
      <c r="IK8" s="24"/>
      <c r="IL8" s="24"/>
      <c r="IM8" s="24"/>
      <c r="IN8" s="24"/>
      <c r="IO8" s="24"/>
      <c r="IP8" s="24"/>
      <c r="IQ8" s="24"/>
      <c r="IR8" s="24"/>
      <c r="IS8" s="24"/>
      <c r="IT8" s="24"/>
      <c r="IU8" s="24"/>
      <c r="IV8" s="24"/>
      <c r="IW8" s="24"/>
      <c r="IX8" s="24"/>
      <c r="IY8" s="24"/>
      <c r="IZ8" s="24"/>
      <c r="JA8" s="24"/>
      <c r="JB8" s="24"/>
      <c r="JC8" s="24"/>
      <c r="JD8" s="24"/>
      <c r="JE8" s="24"/>
      <c r="JF8" s="24"/>
      <c r="JG8" s="24"/>
      <c r="JH8" s="24"/>
      <c r="JI8" s="24"/>
      <c r="JJ8" s="24"/>
      <c r="JK8" s="24"/>
      <c r="JL8" s="24"/>
      <c r="JM8" s="24"/>
      <c r="JN8" s="24"/>
      <c r="JO8" s="24"/>
      <c r="JP8" s="24"/>
      <c r="JQ8" s="24"/>
      <c r="JR8" s="24"/>
      <c r="JS8" s="24"/>
      <c r="JT8" s="24"/>
      <c r="JU8" s="24"/>
      <c r="JV8" s="24"/>
      <c r="JW8" s="24"/>
      <c r="JX8" s="24"/>
      <c r="JY8" s="24"/>
      <c r="JZ8" s="24"/>
      <c r="KA8" s="24"/>
      <c r="KB8" s="24"/>
      <c r="KC8" s="24"/>
      <c r="KD8" s="24"/>
      <c r="KE8" s="24"/>
      <c r="KF8" s="24"/>
      <c r="KG8" s="24"/>
      <c r="KH8" s="24"/>
      <c r="KI8" s="24"/>
      <c r="KJ8" s="24"/>
      <c r="KK8" s="24"/>
      <c r="KL8" s="24"/>
      <c r="KM8" s="24"/>
      <c r="KN8" s="24"/>
      <c r="KO8" s="24"/>
      <c r="KP8" s="24"/>
      <c r="KQ8" s="24"/>
      <c r="KR8" s="24"/>
      <c r="KS8" s="24"/>
      <c r="KT8" s="24"/>
      <c r="KU8" s="24"/>
      <c r="KV8" s="24"/>
      <c r="KW8" s="24"/>
      <c r="KX8" s="24"/>
      <c r="KY8" s="24"/>
      <c r="KZ8" s="24"/>
      <c r="LA8" s="24"/>
      <c r="LB8" s="24"/>
      <c r="LC8" s="24"/>
      <c r="LD8" s="24"/>
      <c r="LE8" s="24"/>
      <c r="LF8" s="24"/>
      <c r="LG8" s="24"/>
      <c r="LH8" s="24"/>
      <c r="LI8" s="24"/>
      <c r="LJ8" s="24"/>
      <c r="LK8" s="24"/>
      <c r="LL8" s="24"/>
      <c r="LM8" s="24"/>
      <c r="LN8" s="24"/>
      <c r="LO8" s="24"/>
      <c r="LP8" s="24"/>
      <c r="LQ8" s="24"/>
      <c r="LR8" s="24"/>
      <c r="LS8" s="24"/>
      <c r="LT8" s="24"/>
      <c r="LU8" s="24"/>
      <c r="LV8" s="24"/>
      <c r="LW8" s="24"/>
      <c r="LX8" s="24"/>
      <c r="LY8" s="24"/>
      <c r="LZ8" s="24"/>
      <c r="MA8" s="24"/>
      <c r="MB8" s="24"/>
      <c r="MC8" s="24"/>
      <c r="MD8" s="24"/>
      <c r="ME8" s="24"/>
      <c r="MF8" s="24"/>
      <c r="MG8" s="24"/>
      <c r="MH8" s="24"/>
      <c r="MI8" s="24"/>
      <c r="MJ8" s="24"/>
      <c r="MK8" s="24"/>
      <c r="ML8" s="24"/>
      <c r="MM8" s="24"/>
      <c r="MN8" s="24"/>
      <c r="MO8" s="24"/>
      <c r="MP8" s="24"/>
      <c r="MQ8" s="24"/>
      <c r="MR8" s="24"/>
      <c r="MS8" s="24"/>
      <c r="MT8" s="24"/>
      <c r="MU8" s="24"/>
      <c r="MV8" s="24"/>
      <c r="MW8" s="24"/>
      <c r="MX8" s="24"/>
      <c r="MY8" s="24"/>
      <c r="MZ8" s="24"/>
      <c r="NA8" s="24"/>
      <c r="NB8" s="24"/>
      <c r="NC8" s="24"/>
      <c r="ND8" s="24"/>
      <c r="NE8" s="24"/>
      <c r="NF8" s="24"/>
      <c r="NG8" s="24"/>
      <c r="NH8" s="24"/>
      <c r="NI8" s="24"/>
      <c r="NJ8" s="24"/>
      <c r="NK8" s="24"/>
      <c r="NL8" s="24"/>
      <c r="NM8" s="24"/>
      <c r="NN8" s="24"/>
      <c r="NO8" s="24"/>
      <c r="NP8" s="24"/>
      <c r="NQ8" s="24"/>
      <c r="NR8" s="24"/>
      <c r="NS8" s="24"/>
      <c r="NT8" s="24"/>
      <c r="NU8" s="24"/>
      <c r="NV8" s="24"/>
      <c r="NW8" s="24"/>
      <c r="NX8" s="24"/>
      <c r="NY8" s="24"/>
      <c r="NZ8" s="24"/>
      <c r="OA8" s="24"/>
      <c r="OB8" s="24"/>
      <c r="OC8" s="24"/>
      <c r="OD8" s="24"/>
      <c r="OE8" s="46"/>
    </row>
    <row r="9" spans="1:395">
      <c r="A9" s="31" t="s">
        <v>78</v>
      </c>
      <c r="B9" s="18" t="s">
        <v>79</v>
      </c>
      <c r="C9" s="19"/>
      <c r="D9" s="4"/>
      <c r="E9" s="16" t="str">
        <f t="shared" ref="E9:E11" si="14">IF(SUM($G9,$I9,$K9,$M9,$O9,$Q9,$S9,$U9,$W9,$Y9,$AA9,$AC9), SUM($G9,$I9,$K9,$M9,$O9,$Q9,$S9,$U9,$W9,$Y9,$AA9,$AC9), "")</f>
        <v/>
      </c>
      <c r="F9" s="16">
        <f t="shared" ref="F9:F15" si="15">SUM($H9,$J9,$L9,$N9,$P9,$R9,$T9,$V9,$X9,$Z9,$AB9,$AD9)</f>
        <v>0</v>
      </c>
      <c r="G9" s="13"/>
      <c r="H9" s="13" cm="1">
        <f t="array" ref="H9">SUMPRODUCT((TEXT($AE$5:$OE$5, "mmm")=LOWER(G$3))*$AE9:$OE9)</f>
        <v>0</v>
      </c>
      <c r="I9" s="13"/>
      <c r="J9" s="13" cm="1">
        <f t="array" ref="J9">SUMPRODUCT((TEXT($AE$5:$OE$5, "mmm")=LOWER(I$3))*$AE9:$OE9)</f>
        <v>0</v>
      </c>
      <c r="K9" s="13"/>
      <c r="L9" s="13" cm="1">
        <f t="array" ref="L9">SUMPRODUCT((TEXT($AE$5:$OE$5, "mmm")=LOWER(K$3))*$AE9:$OE9)</f>
        <v>0</v>
      </c>
      <c r="M9" s="13"/>
      <c r="N9" s="13" cm="1">
        <f t="array" ref="N9">SUMPRODUCT((TEXT($AE$5:$OE$5, "mmm")=LOWER(M$3))*$AE9:$OE9)</f>
        <v>0</v>
      </c>
      <c r="O9" s="13"/>
      <c r="P9" s="13" cm="1">
        <f t="array" ref="P9">SUMPRODUCT((TEXT($AE$5:$OE$5, "mmm")=LOWER(O$3))*$AE9:$OE9)</f>
        <v>0</v>
      </c>
      <c r="Q9" s="13"/>
      <c r="R9" s="13" cm="1">
        <f t="array" ref="R9">SUMPRODUCT((TEXT($AE$5:$OE$5, "mmm")=LOWER(Q$3))*$AE9:$OE9)</f>
        <v>0</v>
      </c>
      <c r="S9" s="13"/>
      <c r="T9" s="13" cm="1">
        <f t="array" ref="T9">SUMPRODUCT((TEXT($AE$5:$OE$5, "mmm")=LOWER(S$3))*$AE9:$OE9)</f>
        <v>0</v>
      </c>
      <c r="U9" s="13"/>
      <c r="V9" s="13" cm="1">
        <f t="array" ref="V9">SUMPRODUCT((TEXT($AE$5:$OE$5, "mmm")=LOWER(U$3))*$AE9:$OE9)</f>
        <v>0</v>
      </c>
      <c r="W9" s="13"/>
      <c r="X9" s="13" cm="1">
        <f t="array" ref="X9">SUMPRODUCT((TEXT($AE$5:$OE$5, "mmm")=LOWER(W$3))*$AE9:$OE9)</f>
        <v>0</v>
      </c>
      <c r="Y9" s="13"/>
      <c r="Z9" s="13" cm="1">
        <f t="array" ref="Z9">SUMPRODUCT((TEXT($AE$5:$OE$5, "mmm")=LOWER(Y$3))*$AE9:$OE9)</f>
        <v>0</v>
      </c>
      <c r="AA9" s="13"/>
      <c r="AB9" s="13" cm="1">
        <f t="array" ref="AB9">SUMPRODUCT((TEXT($AE$5:$OE$5, "mmm")=LOWER(AA$3))*$AE9:$OE9)</f>
        <v>0</v>
      </c>
      <c r="AC9" s="13"/>
      <c r="AD9" s="17" cm="1">
        <f t="array" ref="AD9">SUMPRODUCT((TEXT($AE$5:$OE$5, "mmm")=LOWER(AC$3))*$AE9:$OE9)</f>
        <v>0</v>
      </c>
      <c r="AE9" s="25"/>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c r="CA9" s="24"/>
      <c r="CB9" s="24"/>
      <c r="CC9" s="24"/>
      <c r="CD9" s="24"/>
      <c r="CE9" s="24"/>
      <c r="CF9" s="24"/>
      <c r="CG9" s="24"/>
      <c r="CH9" s="24"/>
      <c r="CI9" s="24"/>
      <c r="CJ9" s="24"/>
      <c r="CK9" s="24"/>
      <c r="CL9" s="24"/>
      <c r="CM9" s="24"/>
      <c r="CN9" s="24"/>
      <c r="CO9" s="24"/>
      <c r="CP9" s="24"/>
      <c r="CQ9" s="24"/>
      <c r="CR9" s="24"/>
      <c r="CS9" s="24"/>
      <c r="CT9" s="24"/>
      <c r="CU9" s="24"/>
      <c r="CV9" s="24"/>
      <c r="CW9" s="24"/>
      <c r="CX9" s="24"/>
      <c r="CY9" s="24"/>
      <c r="CZ9" s="24"/>
      <c r="DA9" s="24"/>
      <c r="DB9" s="24"/>
      <c r="DC9" s="24"/>
      <c r="DD9" s="24"/>
      <c r="DE9" s="24"/>
      <c r="DF9" s="24"/>
      <c r="DG9" s="24"/>
      <c r="DH9" s="24"/>
      <c r="DI9" s="24"/>
      <c r="DJ9" s="24"/>
      <c r="DK9" s="24"/>
      <c r="DL9" s="24"/>
      <c r="DM9" s="24"/>
      <c r="DN9" s="24"/>
      <c r="DO9" s="24"/>
      <c r="DP9" s="24"/>
      <c r="DQ9" s="24"/>
      <c r="DR9" s="24"/>
      <c r="DS9" s="24"/>
      <c r="DT9" s="24"/>
      <c r="DU9" s="24"/>
      <c r="DV9" s="24"/>
      <c r="DW9" s="24"/>
      <c r="DX9" s="24"/>
      <c r="DY9" s="24"/>
      <c r="DZ9" s="24"/>
      <c r="EA9" s="24"/>
      <c r="EB9" s="24"/>
      <c r="EC9" s="24"/>
      <c r="ED9" s="24"/>
      <c r="EE9" s="24"/>
      <c r="EF9" s="24"/>
      <c r="EG9" s="24"/>
      <c r="EH9" s="24"/>
      <c r="EI9" s="24"/>
      <c r="EJ9" s="24"/>
      <c r="EK9" s="24"/>
      <c r="EL9" s="24"/>
      <c r="EM9" s="24"/>
      <c r="EN9" s="24"/>
      <c r="EO9" s="24"/>
      <c r="EP9" s="24"/>
      <c r="EQ9" s="24"/>
      <c r="ER9" s="24"/>
      <c r="ES9" s="24"/>
      <c r="ET9" s="24"/>
      <c r="EU9" s="24"/>
      <c r="EV9" s="24"/>
      <c r="EW9" s="24"/>
      <c r="EX9" s="24"/>
      <c r="EY9" s="24"/>
      <c r="EZ9" s="24"/>
      <c r="FA9" s="24"/>
      <c r="FB9" s="24"/>
      <c r="FC9" s="24"/>
      <c r="FD9" s="24"/>
      <c r="FE9" s="24"/>
      <c r="FF9" s="24"/>
      <c r="FG9" s="24"/>
      <c r="FH9" s="24"/>
      <c r="FI9" s="24"/>
      <c r="FJ9" s="24"/>
      <c r="FK9" s="24"/>
      <c r="FL9" s="24"/>
      <c r="FM9" s="24"/>
      <c r="FN9" s="24"/>
      <c r="FO9" s="24"/>
      <c r="FP9" s="24"/>
      <c r="FQ9" s="24"/>
      <c r="FR9" s="24"/>
      <c r="FS9" s="24"/>
      <c r="FT9" s="24"/>
      <c r="FU9" s="24"/>
      <c r="FV9" s="24"/>
      <c r="FW9" s="24"/>
      <c r="FX9" s="24"/>
      <c r="FY9" s="24"/>
      <c r="FZ9" s="24"/>
      <c r="GA9" s="24"/>
      <c r="GB9" s="24"/>
      <c r="GC9" s="24"/>
      <c r="GD9" s="24"/>
      <c r="GE9" s="24"/>
      <c r="GF9" s="24"/>
      <c r="GG9" s="24"/>
      <c r="GH9" s="24"/>
      <c r="GI9" s="24"/>
      <c r="GJ9" s="24"/>
      <c r="GK9" s="24"/>
      <c r="GL9" s="24"/>
      <c r="GM9" s="24"/>
      <c r="GN9" s="24"/>
      <c r="GO9" s="24"/>
      <c r="GP9" s="24"/>
      <c r="GQ9" s="24"/>
      <c r="GR9" s="24"/>
      <c r="GS9" s="24"/>
      <c r="GT9" s="24"/>
      <c r="GU9" s="24"/>
      <c r="GV9" s="24"/>
      <c r="GW9" s="24"/>
      <c r="GX9" s="24"/>
      <c r="GY9" s="24"/>
      <c r="GZ9" s="24"/>
      <c r="HA9" s="24"/>
      <c r="HB9" s="24"/>
      <c r="HC9" s="24"/>
      <c r="HD9" s="24"/>
      <c r="HE9" s="24"/>
      <c r="HF9" s="24"/>
      <c r="HG9" s="24"/>
      <c r="HH9" s="24"/>
      <c r="HI9" s="24"/>
      <c r="HJ9" s="24"/>
      <c r="HK9" s="24"/>
      <c r="HL9" s="24"/>
      <c r="HM9" s="24"/>
      <c r="HN9" s="24"/>
      <c r="HO9" s="24"/>
      <c r="HP9" s="24"/>
      <c r="HQ9" s="24"/>
      <c r="HR9" s="24"/>
      <c r="HS9" s="24"/>
      <c r="HT9" s="24"/>
      <c r="HU9" s="24"/>
      <c r="HV9" s="24"/>
      <c r="HW9" s="24"/>
      <c r="HX9" s="24"/>
      <c r="HY9" s="24"/>
      <c r="HZ9" s="24"/>
      <c r="IA9" s="24"/>
      <c r="IB9" s="24"/>
      <c r="IC9" s="24"/>
      <c r="ID9" s="24"/>
      <c r="IE9" s="24"/>
      <c r="IF9" s="24"/>
      <c r="IG9" s="24"/>
      <c r="IH9" s="24"/>
      <c r="II9" s="24"/>
      <c r="IJ9" s="24"/>
      <c r="IK9" s="24"/>
      <c r="IL9" s="24"/>
      <c r="IM9" s="24"/>
      <c r="IN9" s="24"/>
      <c r="IO9" s="24"/>
      <c r="IP9" s="24"/>
      <c r="IQ9" s="24"/>
      <c r="IR9" s="24"/>
      <c r="IS9" s="24"/>
      <c r="IT9" s="24"/>
      <c r="IU9" s="24"/>
      <c r="IV9" s="24"/>
      <c r="IW9" s="24"/>
      <c r="IX9" s="24"/>
      <c r="IY9" s="24"/>
      <c r="IZ9" s="24"/>
      <c r="JA9" s="24"/>
      <c r="JB9" s="24"/>
      <c r="JC9" s="24"/>
      <c r="JD9" s="24"/>
      <c r="JE9" s="24"/>
      <c r="JF9" s="24"/>
      <c r="JG9" s="24"/>
      <c r="JH9" s="24"/>
      <c r="JI9" s="24"/>
      <c r="JJ9" s="24"/>
      <c r="JK9" s="24"/>
      <c r="JL9" s="24"/>
      <c r="JM9" s="24"/>
      <c r="JN9" s="24"/>
      <c r="JO9" s="24"/>
      <c r="JP9" s="24"/>
      <c r="JQ9" s="24"/>
      <c r="JR9" s="24"/>
      <c r="JS9" s="24"/>
      <c r="JT9" s="24"/>
      <c r="JU9" s="24"/>
      <c r="JV9" s="24"/>
      <c r="JW9" s="24"/>
      <c r="JX9" s="24"/>
      <c r="JY9" s="24"/>
      <c r="JZ9" s="24"/>
      <c r="KA9" s="24"/>
      <c r="KB9" s="24"/>
      <c r="KC9" s="24"/>
      <c r="KD9" s="24"/>
      <c r="KE9" s="24"/>
      <c r="KF9" s="24"/>
      <c r="KG9" s="24"/>
      <c r="KH9" s="24"/>
      <c r="KI9" s="24"/>
      <c r="KJ9" s="24"/>
      <c r="KK9" s="24"/>
      <c r="KL9" s="24"/>
      <c r="KM9" s="24"/>
      <c r="KN9" s="24"/>
      <c r="KO9" s="24"/>
      <c r="KP9" s="24"/>
      <c r="KQ9" s="24"/>
      <c r="KR9" s="24"/>
      <c r="KS9" s="24"/>
      <c r="KT9" s="24"/>
      <c r="KU9" s="24"/>
      <c r="KV9" s="24"/>
      <c r="KW9" s="24"/>
      <c r="KX9" s="24"/>
      <c r="KY9" s="24"/>
      <c r="KZ9" s="24"/>
      <c r="LA9" s="24"/>
      <c r="LB9" s="24"/>
      <c r="LC9" s="24"/>
      <c r="LD9" s="24"/>
      <c r="LE9" s="24"/>
      <c r="LF9" s="24"/>
      <c r="LG9" s="24"/>
      <c r="LH9" s="24"/>
      <c r="LI9" s="24"/>
      <c r="LJ9" s="24"/>
      <c r="LK9" s="24"/>
      <c r="LL9" s="24"/>
      <c r="LM9" s="24"/>
      <c r="LN9" s="24"/>
      <c r="LO9" s="24"/>
      <c r="LP9" s="24"/>
      <c r="LQ9" s="24"/>
      <c r="LR9" s="24"/>
      <c r="LS9" s="24"/>
      <c r="LT9" s="24"/>
      <c r="LU9" s="24"/>
      <c r="LV9" s="24"/>
      <c r="LW9" s="24"/>
      <c r="LX9" s="24"/>
      <c r="LY9" s="24"/>
      <c r="LZ9" s="24"/>
      <c r="MA9" s="24"/>
      <c r="MB9" s="24"/>
      <c r="MC9" s="24"/>
      <c r="MD9" s="24"/>
      <c r="ME9" s="24"/>
      <c r="MF9" s="24"/>
      <c r="MG9" s="24"/>
      <c r="MH9" s="24"/>
      <c r="MI9" s="24"/>
      <c r="MJ9" s="24"/>
      <c r="MK9" s="24"/>
      <c r="ML9" s="24"/>
      <c r="MM9" s="24"/>
      <c r="MN9" s="24"/>
      <c r="MO9" s="24"/>
      <c r="MP9" s="24"/>
      <c r="MQ9" s="24"/>
      <c r="MR9" s="24"/>
      <c r="MS9" s="24"/>
      <c r="MT9" s="24"/>
      <c r="MU9" s="24"/>
      <c r="MV9" s="24"/>
      <c r="MW9" s="24"/>
      <c r="MX9" s="24"/>
      <c r="MY9" s="24"/>
      <c r="MZ9" s="24"/>
      <c r="NA9" s="24"/>
      <c r="NB9" s="24"/>
      <c r="NC9" s="24"/>
      <c r="ND9" s="24"/>
      <c r="NE9" s="24"/>
      <c r="NF9" s="24"/>
      <c r="NG9" s="24"/>
      <c r="NH9" s="24"/>
      <c r="NI9" s="24"/>
      <c r="NJ9" s="24"/>
      <c r="NK9" s="24"/>
      <c r="NL9" s="24"/>
      <c r="NM9" s="24"/>
      <c r="NN9" s="24"/>
      <c r="NO9" s="24"/>
      <c r="NP9" s="24"/>
      <c r="NQ9" s="24"/>
      <c r="NR9" s="24"/>
      <c r="NS9" s="24"/>
      <c r="NT9" s="24"/>
      <c r="NU9" s="24"/>
      <c r="NV9" s="24"/>
      <c r="NW9" s="24"/>
      <c r="NX9" s="24"/>
      <c r="NY9" s="24"/>
      <c r="NZ9" s="24"/>
      <c r="OA9" s="24"/>
      <c r="OB9" s="24"/>
      <c r="OC9" s="24"/>
      <c r="OD9" s="24"/>
      <c r="OE9" s="46"/>
    </row>
    <row r="10" spans="1:395">
      <c r="A10" s="32" t="s">
        <v>80</v>
      </c>
      <c r="B10" s="18" t="s">
        <v>81</v>
      </c>
      <c r="C10" s="19"/>
      <c r="D10" s="4"/>
      <c r="E10" s="16" t="str">
        <f t="shared" si="14"/>
        <v/>
      </c>
      <c r="F10" s="16">
        <f t="shared" si="15"/>
        <v>0</v>
      </c>
      <c r="G10" s="13"/>
      <c r="H10" s="13" cm="1">
        <f t="array" ref="H10">SUMPRODUCT((TEXT($AE$5:$OE$5, "mmm")=LOWER(G$3))*$AE10:$OE10)</f>
        <v>0</v>
      </c>
      <c r="I10" s="13"/>
      <c r="J10" s="13" cm="1">
        <f t="array" ref="J10">SUMPRODUCT((TEXT($AE$5:$OE$5, "mmm")=LOWER(I$3))*$AE10:$OE10)</f>
        <v>0</v>
      </c>
      <c r="K10" s="13"/>
      <c r="L10" s="13" cm="1">
        <f t="array" ref="L10">SUMPRODUCT((TEXT($AE$5:$OE$5, "mmm")=LOWER(K$3))*$AE10:$OE10)</f>
        <v>0</v>
      </c>
      <c r="M10" s="13"/>
      <c r="N10" s="13" cm="1">
        <f t="array" ref="N10">SUMPRODUCT((TEXT($AE$5:$OE$5, "mmm")=LOWER(M$3))*$AE10:$OE10)</f>
        <v>0</v>
      </c>
      <c r="O10" s="13"/>
      <c r="P10" s="13" cm="1">
        <f t="array" ref="P10">SUMPRODUCT((TEXT($AE$5:$OE$5, "mmm")=LOWER(O$3))*$AE10:$OE10)</f>
        <v>0</v>
      </c>
      <c r="Q10" s="13"/>
      <c r="R10" s="13" cm="1">
        <f t="array" ref="R10">SUMPRODUCT((TEXT($AE$5:$OE$5, "mmm")=LOWER(Q$3))*$AE10:$OE10)</f>
        <v>0</v>
      </c>
      <c r="S10" s="13"/>
      <c r="T10" s="13" cm="1">
        <f t="array" ref="T10">SUMPRODUCT((TEXT($AE$5:$OE$5, "mmm")=LOWER(S$3))*$AE10:$OE10)</f>
        <v>0</v>
      </c>
      <c r="U10" s="13"/>
      <c r="V10" s="13" cm="1">
        <f t="array" ref="V10">SUMPRODUCT((TEXT($AE$5:$OE$5, "mmm")=LOWER(U$3))*$AE10:$OE10)</f>
        <v>0</v>
      </c>
      <c r="W10" s="13"/>
      <c r="X10" s="13" cm="1">
        <f t="array" ref="X10">SUMPRODUCT((TEXT($AE$5:$OE$5, "mmm")=LOWER(W$3))*$AE10:$OE10)</f>
        <v>0</v>
      </c>
      <c r="Y10" s="13"/>
      <c r="Z10" s="13" cm="1">
        <f t="array" ref="Z10">SUMPRODUCT((TEXT($AE$5:$OE$5, "mmm")=LOWER(Y$3))*$AE10:$OE10)</f>
        <v>0</v>
      </c>
      <c r="AA10" s="13"/>
      <c r="AB10" s="13" cm="1">
        <f t="array" ref="AB10">SUMPRODUCT((TEXT($AE$5:$OE$5, "mmm")=LOWER(AA$3))*$AE10:$OE10)</f>
        <v>0</v>
      </c>
      <c r="AC10" s="13"/>
      <c r="AD10" s="17" cm="1">
        <f t="array" ref="AD10">SUMPRODUCT((TEXT($AE$5:$OE$5, "mmm")=LOWER(AC$3))*$AE10:$OE10)</f>
        <v>0</v>
      </c>
      <c r="AE10" s="23"/>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BX10" s="24"/>
      <c r="BY10" s="24"/>
      <c r="BZ10" s="24"/>
      <c r="CA10" s="24"/>
      <c r="CB10" s="24"/>
      <c r="CC10" s="24"/>
      <c r="CD10" s="24"/>
      <c r="CE10" s="24"/>
      <c r="CF10" s="24"/>
      <c r="CG10" s="24"/>
      <c r="CH10" s="24"/>
      <c r="CI10" s="24"/>
      <c r="CJ10" s="24"/>
      <c r="CK10" s="24"/>
      <c r="CL10" s="24"/>
      <c r="CM10" s="24"/>
      <c r="CN10" s="24"/>
      <c r="CO10" s="24"/>
      <c r="CP10" s="24"/>
      <c r="CQ10" s="24"/>
      <c r="CR10" s="24"/>
      <c r="CS10" s="24"/>
      <c r="CT10" s="24"/>
      <c r="CU10" s="24"/>
      <c r="CV10" s="24"/>
      <c r="CW10" s="24"/>
      <c r="CX10" s="24"/>
      <c r="CY10" s="24"/>
      <c r="CZ10" s="24"/>
      <c r="DA10" s="24"/>
      <c r="DB10" s="24"/>
      <c r="DC10" s="24"/>
      <c r="DD10" s="24"/>
      <c r="DE10" s="24"/>
      <c r="DF10" s="24"/>
      <c r="DG10" s="24"/>
      <c r="DH10" s="24"/>
      <c r="DI10" s="24"/>
      <c r="DJ10" s="24"/>
      <c r="DK10" s="24"/>
      <c r="DL10" s="24"/>
      <c r="DM10" s="24"/>
      <c r="DN10" s="24"/>
      <c r="DO10" s="24"/>
      <c r="DP10" s="24"/>
      <c r="DQ10" s="24"/>
      <c r="DR10" s="24"/>
      <c r="DS10" s="24"/>
      <c r="DT10" s="24"/>
      <c r="DU10" s="24"/>
      <c r="DV10" s="24"/>
      <c r="DW10" s="24"/>
      <c r="DX10" s="24"/>
      <c r="DY10" s="24"/>
      <c r="DZ10" s="24"/>
      <c r="EA10" s="24"/>
      <c r="EB10" s="24"/>
      <c r="EC10" s="24"/>
      <c r="ED10" s="24"/>
      <c r="EE10" s="24"/>
      <c r="EF10" s="24"/>
      <c r="EG10" s="24"/>
      <c r="EH10" s="24"/>
      <c r="EI10" s="24"/>
      <c r="EJ10" s="24"/>
      <c r="EK10" s="24"/>
      <c r="EL10" s="24"/>
      <c r="EM10" s="24"/>
      <c r="EN10" s="24"/>
      <c r="EO10" s="24"/>
      <c r="EP10" s="24"/>
      <c r="EQ10" s="24"/>
      <c r="ER10" s="24"/>
      <c r="ES10" s="24"/>
      <c r="ET10" s="24"/>
      <c r="EU10" s="24"/>
      <c r="EV10" s="24"/>
      <c r="EW10" s="24"/>
      <c r="EX10" s="24"/>
      <c r="EY10" s="24"/>
      <c r="EZ10" s="24"/>
      <c r="FA10" s="24"/>
      <c r="FB10" s="24"/>
      <c r="FC10" s="24"/>
      <c r="FD10" s="24"/>
      <c r="FE10" s="24"/>
      <c r="FF10" s="24"/>
      <c r="FG10" s="24"/>
      <c r="FH10" s="24"/>
      <c r="FI10" s="24"/>
      <c r="FJ10" s="24"/>
      <c r="FK10" s="24"/>
      <c r="FL10" s="24"/>
      <c r="FM10" s="24"/>
      <c r="FN10" s="24"/>
      <c r="FO10" s="24"/>
      <c r="FP10" s="24"/>
      <c r="FQ10" s="24"/>
      <c r="FR10" s="24"/>
      <c r="FS10" s="24"/>
      <c r="FT10" s="24"/>
      <c r="FU10" s="24"/>
      <c r="FV10" s="24"/>
      <c r="FW10" s="24"/>
      <c r="FX10" s="24"/>
      <c r="FY10" s="24"/>
      <c r="FZ10" s="24"/>
      <c r="GA10" s="24"/>
      <c r="GB10" s="24"/>
      <c r="GC10" s="24"/>
      <c r="GD10" s="24"/>
      <c r="GE10" s="24"/>
      <c r="GF10" s="24"/>
      <c r="GG10" s="24"/>
      <c r="GH10" s="24"/>
      <c r="GI10" s="24"/>
      <c r="GJ10" s="24"/>
      <c r="GK10" s="24"/>
      <c r="GL10" s="24"/>
      <c r="GM10" s="24"/>
      <c r="GN10" s="24"/>
      <c r="GO10" s="24"/>
      <c r="GP10" s="24"/>
      <c r="GQ10" s="24"/>
      <c r="GR10" s="24"/>
      <c r="GS10" s="24"/>
      <c r="GT10" s="24"/>
      <c r="GU10" s="24"/>
      <c r="GV10" s="24"/>
      <c r="GW10" s="24"/>
      <c r="GX10" s="24"/>
      <c r="GY10" s="24"/>
      <c r="GZ10" s="24"/>
      <c r="HA10" s="24"/>
      <c r="HB10" s="24"/>
      <c r="HC10" s="24"/>
      <c r="HD10" s="24"/>
      <c r="HE10" s="24"/>
      <c r="HF10" s="24"/>
      <c r="HG10" s="24"/>
      <c r="HH10" s="24"/>
      <c r="HI10" s="24"/>
      <c r="HJ10" s="24"/>
      <c r="HK10" s="24"/>
      <c r="HL10" s="24"/>
      <c r="HM10" s="24"/>
      <c r="HN10" s="24"/>
      <c r="HO10" s="24"/>
      <c r="HP10" s="24"/>
      <c r="HQ10" s="24"/>
      <c r="HR10" s="24"/>
      <c r="HS10" s="24"/>
      <c r="HT10" s="24"/>
      <c r="HU10" s="24"/>
      <c r="HV10" s="24"/>
      <c r="HW10" s="24"/>
      <c r="HX10" s="24"/>
      <c r="HY10" s="24"/>
      <c r="HZ10" s="24"/>
      <c r="IA10" s="24"/>
      <c r="IB10" s="24"/>
      <c r="IC10" s="24"/>
      <c r="ID10" s="24"/>
      <c r="IE10" s="24"/>
      <c r="IF10" s="24"/>
      <c r="IG10" s="24"/>
      <c r="IH10" s="24"/>
      <c r="II10" s="24"/>
      <c r="IJ10" s="24"/>
      <c r="IK10" s="24"/>
      <c r="IL10" s="24"/>
      <c r="IM10" s="24"/>
      <c r="IN10" s="24"/>
      <c r="IO10" s="24"/>
      <c r="IP10" s="24"/>
      <c r="IQ10" s="24"/>
      <c r="IR10" s="24"/>
      <c r="IS10" s="24"/>
      <c r="IT10" s="24"/>
      <c r="IU10" s="24"/>
      <c r="IV10" s="24"/>
      <c r="IW10" s="24"/>
      <c r="IX10" s="24"/>
      <c r="IY10" s="24"/>
      <c r="IZ10" s="24"/>
      <c r="JA10" s="24"/>
      <c r="JB10" s="24"/>
      <c r="JC10" s="24"/>
      <c r="JD10" s="24"/>
      <c r="JE10" s="24"/>
      <c r="JF10" s="24"/>
      <c r="JG10" s="24"/>
      <c r="JH10" s="24"/>
      <c r="JI10" s="24"/>
      <c r="JJ10" s="24"/>
      <c r="JK10" s="24"/>
      <c r="JL10" s="24"/>
      <c r="JM10" s="24"/>
      <c r="JN10" s="24"/>
      <c r="JO10" s="24"/>
      <c r="JP10" s="24"/>
      <c r="JQ10" s="24"/>
      <c r="JR10" s="24"/>
      <c r="JS10" s="24"/>
      <c r="JT10" s="24"/>
      <c r="JU10" s="24"/>
      <c r="JV10" s="24"/>
      <c r="JW10" s="24"/>
      <c r="JX10" s="24"/>
      <c r="JY10" s="24"/>
      <c r="JZ10" s="24"/>
      <c r="KA10" s="24"/>
      <c r="KB10" s="24"/>
      <c r="KC10" s="24"/>
      <c r="KD10" s="24"/>
      <c r="KE10" s="24"/>
      <c r="KF10" s="24"/>
      <c r="KG10" s="24"/>
      <c r="KH10" s="24"/>
      <c r="KI10" s="24"/>
      <c r="KJ10" s="24"/>
      <c r="KK10" s="24"/>
      <c r="KL10" s="24"/>
      <c r="KM10" s="24"/>
      <c r="KN10" s="24"/>
      <c r="KO10" s="24"/>
      <c r="KP10" s="24"/>
      <c r="KQ10" s="24"/>
      <c r="KR10" s="24"/>
      <c r="KS10" s="24"/>
      <c r="KT10" s="24"/>
      <c r="KU10" s="24"/>
      <c r="KV10" s="24"/>
      <c r="KW10" s="24"/>
      <c r="KX10" s="24"/>
      <c r="KY10" s="24"/>
      <c r="KZ10" s="24"/>
      <c r="LA10" s="24"/>
      <c r="LB10" s="24"/>
      <c r="LC10" s="24"/>
      <c r="LD10" s="24"/>
      <c r="LE10" s="24"/>
      <c r="LF10" s="24"/>
      <c r="LG10" s="24"/>
      <c r="LH10" s="24"/>
      <c r="LI10" s="24"/>
      <c r="LJ10" s="24"/>
      <c r="LK10" s="24"/>
      <c r="LL10" s="24"/>
      <c r="LM10" s="24"/>
      <c r="LN10" s="24"/>
      <c r="LO10" s="24"/>
      <c r="LP10" s="24"/>
      <c r="LQ10" s="24"/>
      <c r="LR10" s="24"/>
      <c r="LS10" s="24"/>
      <c r="LT10" s="24"/>
      <c r="LU10" s="24"/>
      <c r="LV10" s="24"/>
      <c r="LW10" s="24"/>
      <c r="LX10" s="24"/>
      <c r="LY10" s="24"/>
      <c r="LZ10" s="24"/>
      <c r="MA10" s="24"/>
      <c r="MB10" s="24"/>
      <c r="MC10" s="24"/>
      <c r="MD10" s="24"/>
      <c r="ME10" s="24"/>
      <c r="MF10" s="24"/>
      <c r="MG10" s="24"/>
      <c r="MH10" s="24"/>
      <c r="MI10" s="24"/>
      <c r="MJ10" s="24"/>
      <c r="MK10" s="24"/>
      <c r="ML10" s="24"/>
      <c r="MM10" s="24"/>
      <c r="MN10" s="24"/>
      <c r="MO10" s="24"/>
      <c r="MP10" s="24"/>
      <c r="MQ10" s="24"/>
      <c r="MR10" s="24"/>
      <c r="MS10" s="24"/>
      <c r="MT10" s="24"/>
      <c r="MU10" s="24"/>
      <c r="MV10" s="24"/>
      <c r="MW10" s="24"/>
      <c r="MX10" s="24"/>
      <c r="MY10" s="24"/>
      <c r="MZ10" s="24"/>
      <c r="NA10" s="24"/>
      <c r="NB10" s="24"/>
      <c r="NC10" s="24"/>
      <c r="ND10" s="24"/>
      <c r="NE10" s="24"/>
      <c r="NF10" s="24"/>
      <c r="NG10" s="24"/>
      <c r="NH10" s="24"/>
      <c r="NI10" s="24"/>
      <c r="NJ10" s="24"/>
      <c r="NK10" s="24"/>
      <c r="NL10" s="24"/>
      <c r="NM10" s="24"/>
      <c r="NN10" s="24"/>
      <c r="NO10" s="24"/>
      <c r="NP10" s="24"/>
      <c r="NQ10" s="24"/>
      <c r="NR10" s="24"/>
      <c r="NS10" s="24"/>
      <c r="NT10" s="24"/>
      <c r="NU10" s="24"/>
      <c r="NV10" s="24"/>
      <c r="NW10" s="24"/>
      <c r="NX10" s="24"/>
      <c r="NY10" s="24"/>
      <c r="NZ10" s="24"/>
      <c r="OA10" s="24"/>
      <c r="OB10" s="24"/>
      <c r="OC10" s="24"/>
      <c r="OD10" s="24"/>
      <c r="OE10" s="46"/>
    </row>
    <row r="11" spans="1:395">
      <c r="A11" s="32" t="s">
        <v>82</v>
      </c>
      <c r="B11" s="18" t="s">
        <v>83</v>
      </c>
      <c r="C11" s="19"/>
      <c r="D11" s="4"/>
      <c r="E11" s="16" t="str">
        <f t="shared" si="14"/>
        <v/>
      </c>
      <c r="F11" s="16">
        <f t="shared" si="15"/>
        <v>0</v>
      </c>
      <c r="G11" s="13"/>
      <c r="H11" s="13" cm="1">
        <f t="array" ref="H11">SUMPRODUCT((TEXT($AE$5:$OE$5, "mmm")=LOWER(G$3))*$AE11:$OE11)</f>
        <v>0</v>
      </c>
      <c r="I11" s="13"/>
      <c r="J11" s="13" cm="1">
        <f t="array" ref="J11">SUMPRODUCT((TEXT($AE$5:$OE$5, "mmm")=LOWER(I$3))*$AE11:$OE11)</f>
        <v>0</v>
      </c>
      <c r="K11" s="13"/>
      <c r="L11" s="13" cm="1">
        <f t="array" ref="L11">SUMPRODUCT((TEXT($AE$5:$OE$5, "mmm")=LOWER(K$3))*$AE11:$OE11)</f>
        <v>0</v>
      </c>
      <c r="M11" s="13"/>
      <c r="N11" s="13" cm="1">
        <f t="array" ref="N11">SUMPRODUCT((TEXT($AE$5:$OE$5, "mmm")=LOWER(M$3))*$AE11:$OE11)</f>
        <v>0</v>
      </c>
      <c r="O11" s="13"/>
      <c r="P11" s="13" cm="1">
        <f t="array" ref="P11">SUMPRODUCT((TEXT($AE$5:$OE$5, "mmm")=LOWER(O$3))*$AE11:$OE11)</f>
        <v>0</v>
      </c>
      <c r="Q11" s="13"/>
      <c r="R11" s="13" cm="1">
        <f t="array" ref="R11">SUMPRODUCT((TEXT($AE$5:$OE$5, "mmm")=LOWER(Q$3))*$AE11:$OE11)</f>
        <v>0</v>
      </c>
      <c r="S11" s="13"/>
      <c r="T11" s="13" cm="1">
        <f t="array" ref="T11">SUMPRODUCT((TEXT($AE$5:$OE$5, "mmm")=LOWER(S$3))*$AE11:$OE11)</f>
        <v>0</v>
      </c>
      <c r="U11" s="13"/>
      <c r="V11" s="13" cm="1">
        <f t="array" ref="V11">SUMPRODUCT((TEXT($AE$5:$OE$5, "mmm")=LOWER(U$3))*$AE11:$OE11)</f>
        <v>0</v>
      </c>
      <c r="W11" s="13"/>
      <c r="X11" s="13" cm="1">
        <f t="array" ref="X11">SUMPRODUCT((TEXT($AE$5:$OE$5, "mmm")=LOWER(W$3))*$AE11:$OE11)</f>
        <v>0</v>
      </c>
      <c r="Y11" s="13"/>
      <c r="Z11" s="13" cm="1">
        <f t="array" ref="Z11">SUMPRODUCT((TEXT($AE$5:$OE$5, "mmm")=LOWER(Y$3))*$AE11:$OE11)</f>
        <v>0</v>
      </c>
      <c r="AA11" s="13"/>
      <c r="AB11" s="13" cm="1">
        <f t="array" ref="AB11">SUMPRODUCT((TEXT($AE$5:$OE$5, "mmm")=LOWER(AA$3))*$AE11:$OE11)</f>
        <v>0</v>
      </c>
      <c r="AC11" s="13"/>
      <c r="AD11" s="17" cm="1">
        <f t="array" ref="AD11">SUMPRODUCT((TEXT($AE$5:$OE$5, "mmm")=LOWER(AC$3))*$AE11:$OE11)</f>
        <v>0</v>
      </c>
      <c r="AE11" s="23"/>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46"/>
    </row>
    <row r="12" spans="1:395">
      <c r="A12" s="32" t="s">
        <v>84</v>
      </c>
      <c r="B12" s="18" t="s">
        <v>85</v>
      </c>
      <c r="C12" s="19"/>
      <c r="D12" s="4"/>
      <c r="E12" s="16">
        <v>40</v>
      </c>
      <c r="F12" s="16">
        <f t="shared" si="15"/>
        <v>38</v>
      </c>
      <c r="G12" s="13"/>
      <c r="H12" s="13" cm="1">
        <f t="array" ref="H12">SUMPRODUCT((TEXT($AE$5:$OE$5, "mmm")=LOWER(G$3))*$AE12:$OE12)</f>
        <v>0</v>
      </c>
      <c r="I12" s="13"/>
      <c r="J12" s="13" cm="1">
        <f t="array" ref="J12">SUMPRODUCT((TEXT($AE$5:$OE$5, "mmm")=LOWER(I$3))*$AE12:$OE12)</f>
        <v>0</v>
      </c>
      <c r="K12" s="13"/>
      <c r="L12" s="13" cm="1">
        <f t="array" ref="L12">SUMPRODUCT((TEXT($AE$5:$OE$5, "mmm")=LOWER(K$3))*$AE12:$OE12)</f>
        <v>0</v>
      </c>
      <c r="M12" s="13"/>
      <c r="N12" s="13" cm="1">
        <f t="array" ref="N12">SUMPRODUCT((TEXT($AE$5:$OE$5, "mmm")=LOWER(M$3))*$AE12:$OE12)</f>
        <v>38</v>
      </c>
      <c r="O12" s="13"/>
      <c r="P12" s="13" cm="1">
        <f t="array" ref="P12">SUMPRODUCT((TEXT($AE$5:$OE$5, "mmm")=LOWER(O$3))*$AE12:$OE12)</f>
        <v>0</v>
      </c>
      <c r="Q12" s="13"/>
      <c r="R12" s="13" cm="1">
        <f t="array" ref="R12">SUMPRODUCT((TEXT($AE$5:$OE$5, "mmm")=LOWER(Q$3))*$AE12:$OE12)</f>
        <v>0</v>
      </c>
      <c r="S12" s="13"/>
      <c r="T12" s="13" cm="1">
        <f t="array" ref="T12">SUMPRODUCT((TEXT($AE$5:$OE$5, "mmm")=LOWER(S$3))*$AE12:$OE12)</f>
        <v>0</v>
      </c>
      <c r="U12" s="13"/>
      <c r="V12" s="13" cm="1">
        <f t="array" ref="V12">SUMPRODUCT((TEXT($AE$5:$OE$5, "mmm")=LOWER(U$3))*$AE12:$OE12)</f>
        <v>0</v>
      </c>
      <c r="W12" s="13"/>
      <c r="X12" s="13" cm="1">
        <f t="array" ref="X12">SUMPRODUCT((TEXT($AE$5:$OE$5, "mmm")=LOWER(W$3))*$AE12:$OE12)</f>
        <v>0</v>
      </c>
      <c r="Y12" s="13"/>
      <c r="Z12" s="13" cm="1">
        <f t="array" ref="Z12">SUMPRODUCT((TEXT($AE$5:$OE$5, "mmm")=LOWER(Y$3))*$AE12:$OE12)</f>
        <v>0</v>
      </c>
      <c r="AA12" s="13"/>
      <c r="AB12" s="13" cm="1">
        <f t="array" ref="AB12">SUMPRODUCT((TEXT($AE$5:$OE$5, "mmm")=LOWER(AA$3))*$AE12:$OE12)</f>
        <v>0</v>
      </c>
      <c r="AC12" s="13"/>
      <c r="AD12" s="17" cm="1">
        <f t="array" ref="AD12">SUMPRODUCT((TEXT($AE$5:$OE$5, "mmm")=LOWER(AC$3))*$AE12:$OE12)</f>
        <v>0</v>
      </c>
      <c r="AE12" s="23"/>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c r="CD12" s="24"/>
      <c r="CE12" s="24"/>
      <c r="CF12" s="24"/>
      <c r="CG12" s="24"/>
      <c r="CH12" s="24"/>
      <c r="CI12" s="24"/>
      <c r="CJ12" s="24"/>
      <c r="CK12" s="24"/>
      <c r="CL12" s="24"/>
      <c r="CM12" s="24"/>
      <c r="CN12" s="24"/>
      <c r="CO12" s="24"/>
      <c r="CP12" s="24"/>
      <c r="CQ12" s="24"/>
      <c r="CR12" s="24"/>
      <c r="CS12" s="24"/>
      <c r="CT12" s="24"/>
      <c r="CU12" s="24"/>
      <c r="CV12" s="24"/>
      <c r="CW12" s="24"/>
      <c r="CX12" s="24"/>
      <c r="CY12" s="24"/>
      <c r="CZ12" s="24"/>
      <c r="DA12" s="24"/>
      <c r="DB12" s="24"/>
      <c r="DC12" s="24"/>
      <c r="DD12" s="24"/>
      <c r="DE12" s="24"/>
      <c r="DF12" s="24"/>
      <c r="DG12" s="24"/>
      <c r="DH12" s="24"/>
      <c r="DI12" s="24"/>
      <c r="DJ12" s="24"/>
      <c r="DK12" s="24"/>
      <c r="DL12" s="24"/>
      <c r="DM12" s="24"/>
      <c r="DN12" s="24"/>
      <c r="DO12" s="24"/>
      <c r="DP12" s="24"/>
      <c r="DQ12" s="24">
        <v>9.5</v>
      </c>
      <c r="DR12" s="24">
        <v>9.5</v>
      </c>
      <c r="DS12" s="24">
        <v>9.5</v>
      </c>
      <c r="DT12" s="24"/>
      <c r="DU12" s="24"/>
      <c r="DV12" s="24">
        <v>9.5</v>
      </c>
      <c r="DW12" s="24"/>
      <c r="DX12" s="24"/>
      <c r="DY12" s="24"/>
      <c r="DZ12" s="24"/>
      <c r="EA12" s="24"/>
      <c r="EB12" s="24"/>
      <c r="EC12" s="24"/>
      <c r="ED12" s="24"/>
      <c r="EE12" s="24"/>
      <c r="EF12" s="24"/>
      <c r="EG12" s="24"/>
      <c r="EH12" s="24"/>
      <c r="EI12" s="24"/>
      <c r="EJ12" s="24"/>
      <c r="EK12" s="24"/>
      <c r="EL12" s="24"/>
      <c r="EM12" s="24"/>
      <c r="EN12" s="24"/>
      <c r="EO12" s="24"/>
      <c r="EP12" s="24"/>
      <c r="EQ12" s="24"/>
      <c r="ER12" s="24"/>
      <c r="ES12" s="24"/>
      <c r="ET12" s="24"/>
      <c r="EU12" s="24"/>
      <c r="EV12" s="24"/>
      <c r="EW12" s="24"/>
      <c r="EX12" s="24"/>
      <c r="EY12" s="24"/>
      <c r="EZ12" s="24"/>
      <c r="FA12" s="24"/>
      <c r="FB12" s="24"/>
      <c r="FC12" s="24"/>
      <c r="FD12" s="24"/>
      <c r="FE12" s="24"/>
      <c r="FF12" s="24"/>
      <c r="FG12" s="24"/>
      <c r="FH12" s="24"/>
      <c r="FI12" s="24"/>
      <c r="FJ12" s="24"/>
      <c r="FK12" s="24"/>
      <c r="FL12" s="24"/>
      <c r="FM12" s="24"/>
      <c r="FN12" s="24"/>
      <c r="FO12" s="24"/>
      <c r="FP12" s="24"/>
      <c r="FQ12" s="24"/>
      <c r="FR12" s="24"/>
      <c r="FS12" s="24"/>
      <c r="FT12" s="24"/>
      <c r="FU12" s="24"/>
      <c r="FV12" s="24"/>
      <c r="FW12" s="24"/>
      <c r="FX12" s="24"/>
      <c r="FY12" s="24"/>
      <c r="FZ12" s="24"/>
      <c r="GA12" s="24"/>
      <c r="GB12" s="24"/>
      <c r="GC12" s="24"/>
      <c r="GD12" s="24"/>
      <c r="GE12" s="24"/>
      <c r="GF12" s="24"/>
      <c r="GG12" s="24"/>
      <c r="GH12" s="24"/>
      <c r="GI12" s="24"/>
      <c r="GJ12" s="24"/>
      <c r="GK12" s="24"/>
      <c r="GL12" s="24"/>
      <c r="GM12" s="24"/>
      <c r="GN12" s="24"/>
      <c r="GO12" s="24"/>
      <c r="GP12" s="24"/>
      <c r="GQ12" s="24"/>
      <c r="GR12" s="24"/>
      <c r="GS12" s="24"/>
      <c r="GT12" s="24"/>
      <c r="GU12" s="24"/>
      <c r="GV12" s="24"/>
      <c r="GW12" s="24"/>
      <c r="GX12" s="24"/>
      <c r="GY12" s="24"/>
      <c r="GZ12" s="24"/>
      <c r="HA12" s="24"/>
      <c r="HB12" s="24"/>
      <c r="HC12" s="24"/>
      <c r="HD12" s="24"/>
      <c r="HE12" s="24"/>
      <c r="HF12" s="24"/>
      <c r="HG12" s="24"/>
      <c r="HH12" s="24"/>
      <c r="HI12" s="24"/>
      <c r="HJ12" s="24"/>
      <c r="HK12" s="24"/>
      <c r="HL12" s="24"/>
      <c r="HM12" s="24"/>
      <c r="HN12" s="24"/>
      <c r="HO12" s="24"/>
      <c r="HP12" s="24"/>
      <c r="HQ12" s="24"/>
      <c r="HR12" s="24"/>
      <c r="HS12" s="24"/>
      <c r="HT12" s="24"/>
      <c r="HU12" s="24"/>
      <c r="HV12" s="24"/>
      <c r="HW12" s="24"/>
      <c r="HX12" s="24"/>
      <c r="HY12" s="24"/>
      <c r="HZ12" s="24"/>
      <c r="IA12" s="24"/>
      <c r="IB12" s="24"/>
      <c r="IC12" s="24"/>
      <c r="ID12" s="24"/>
      <c r="IE12" s="24"/>
      <c r="IF12" s="24"/>
      <c r="IG12" s="24"/>
      <c r="IH12" s="24"/>
      <c r="II12" s="24"/>
      <c r="IJ12" s="24"/>
      <c r="IK12" s="24"/>
      <c r="IL12" s="24"/>
      <c r="IM12" s="24"/>
      <c r="IN12" s="24"/>
      <c r="IO12" s="24"/>
      <c r="IP12" s="24"/>
      <c r="IQ12" s="24"/>
      <c r="IR12" s="24"/>
      <c r="IS12" s="24"/>
      <c r="IT12" s="24"/>
      <c r="IU12" s="24"/>
      <c r="IV12" s="24"/>
      <c r="IW12" s="24"/>
      <c r="IX12" s="24"/>
      <c r="IY12" s="24"/>
      <c r="IZ12" s="24"/>
      <c r="JA12" s="24"/>
      <c r="JB12" s="24"/>
      <c r="JC12" s="24"/>
      <c r="JD12" s="24"/>
      <c r="JE12" s="24"/>
      <c r="JF12" s="24"/>
      <c r="JG12" s="24"/>
      <c r="JH12" s="24"/>
      <c r="JI12" s="24"/>
      <c r="JJ12" s="24"/>
      <c r="JK12" s="24"/>
      <c r="JL12" s="24"/>
      <c r="JM12" s="24"/>
      <c r="JN12" s="24"/>
      <c r="JO12" s="24"/>
      <c r="JP12" s="24"/>
      <c r="JQ12" s="24"/>
      <c r="JR12" s="24"/>
      <c r="JS12" s="24"/>
      <c r="JT12" s="24"/>
      <c r="JU12" s="24"/>
      <c r="JV12" s="24"/>
      <c r="JW12" s="24"/>
      <c r="JX12" s="24"/>
      <c r="JY12" s="24"/>
      <c r="JZ12" s="24"/>
      <c r="KA12" s="24"/>
      <c r="KB12" s="24"/>
      <c r="KC12" s="24"/>
      <c r="KD12" s="24"/>
      <c r="KE12" s="24"/>
      <c r="KF12" s="24"/>
      <c r="KG12" s="24"/>
      <c r="KH12" s="24"/>
      <c r="KI12" s="24"/>
      <c r="KJ12" s="24"/>
      <c r="KK12" s="24"/>
      <c r="KL12" s="24"/>
      <c r="KM12" s="24"/>
      <c r="KN12" s="24"/>
      <c r="KO12" s="24"/>
      <c r="KP12" s="24"/>
      <c r="KQ12" s="24"/>
      <c r="KR12" s="24"/>
      <c r="KS12" s="24"/>
      <c r="KT12" s="24"/>
      <c r="KU12" s="24"/>
      <c r="KV12" s="24"/>
      <c r="KW12" s="24"/>
      <c r="KX12" s="24"/>
      <c r="KY12" s="24"/>
      <c r="KZ12" s="24"/>
      <c r="LA12" s="24"/>
      <c r="LB12" s="24"/>
      <c r="LC12" s="24"/>
      <c r="LD12" s="24"/>
      <c r="LE12" s="24"/>
      <c r="LF12" s="24"/>
      <c r="LG12" s="24"/>
      <c r="LH12" s="24"/>
      <c r="LI12" s="24"/>
      <c r="LJ12" s="24"/>
      <c r="LK12" s="24"/>
      <c r="LL12" s="24"/>
      <c r="LM12" s="24"/>
      <c r="LN12" s="24"/>
      <c r="LO12" s="24"/>
      <c r="LP12" s="24"/>
      <c r="LQ12" s="24"/>
      <c r="LR12" s="24"/>
      <c r="LS12" s="24"/>
      <c r="LT12" s="24"/>
      <c r="LU12" s="24"/>
      <c r="LV12" s="24"/>
      <c r="LW12" s="24"/>
      <c r="LX12" s="24"/>
      <c r="LY12" s="24"/>
      <c r="LZ12" s="24"/>
      <c r="MA12" s="24"/>
      <c r="MB12" s="24"/>
      <c r="MC12" s="24"/>
      <c r="MD12" s="24"/>
      <c r="ME12" s="24"/>
      <c r="MF12" s="24"/>
      <c r="MG12" s="24"/>
      <c r="MH12" s="24"/>
      <c r="MI12" s="24"/>
      <c r="MJ12" s="24"/>
      <c r="MK12" s="24"/>
      <c r="ML12" s="24"/>
      <c r="MM12" s="24"/>
      <c r="MN12" s="24"/>
      <c r="MO12" s="24"/>
      <c r="MP12" s="24"/>
      <c r="MQ12" s="24"/>
      <c r="MR12" s="24"/>
      <c r="MS12" s="24"/>
      <c r="MT12" s="24"/>
      <c r="MU12" s="24"/>
      <c r="MV12" s="24"/>
      <c r="MW12" s="24"/>
      <c r="MX12" s="24"/>
      <c r="MY12" s="24"/>
      <c r="MZ12" s="24"/>
      <c r="NA12" s="24"/>
      <c r="NB12" s="24"/>
      <c r="NC12" s="24"/>
      <c r="ND12" s="24"/>
      <c r="NE12" s="24"/>
      <c r="NF12" s="24"/>
      <c r="NG12" s="24"/>
      <c r="NH12" s="24"/>
      <c r="NI12" s="24"/>
      <c r="NJ12" s="24"/>
      <c r="NK12" s="24"/>
      <c r="NL12" s="24"/>
      <c r="NM12" s="24"/>
      <c r="NN12" s="24"/>
      <c r="NO12" s="24"/>
      <c r="NP12" s="24"/>
      <c r="NQ12" s="24"/>
      <c r="NR12" s="24"/>
      <c r="NS12" s="24"/>
      <c r="NT12" s="24"/>
      <c r="NU12" s="24"/>
      <c r="NV12" s="24"/>
      <c r="NW12" s="24"/>
      <c r="NX12" s="24"/>
      <c r="NY12" s="24"/>
      <c r="NZ12" s="24"/>
      <c r="OA12" s="24"/>
      <c r="OB12" s="24"/>
      <c r="OC12" s="24"/>
      <c r="OD12" s="24"/>
      <c r="OE12" s="46"/>
    </row>
    <row r="13" spans="1:395">
      <c r="A13" s="32" t="s">
        <v>80</v>
      </c>
      <c r="B13" s="18" t="s">
        <v>86</v>
      </c>
      <c r="C13" s="19"/>
      <c r="D13" s="4"/>
      <c r="E13" s="16" t="str">
        <f t="shared" ref="E13" si="16">IF(SUM($G13,$I13,$K13,$M13,$O13,$Q13,$S13,$U13,$W13,$Y13,$AA13,$AC13), SUM($G13,$I13,$K13,$M13,$O13,$Q13,$S13,$U13,$W13,$Y13,$AA13,$AC13), "")</f>
        <v/>
      </c>
      <c r="F13" s="16">
        <f t="shared" si="15"/>
        <v>0</v>
      </c>
      <c r="G13" s="13"/>
      <c r="H13" s="13" cm="1">
        <f t="array" ref="H13">SUMPRODUCT((TEXT($AE$5:$OE$5, "mmm")=LOWER(G$3))*$AE13:$OE13)</f>
        <v>0</v>
      </c>
      <c r="I13" s="13"/>
      <c r="J13" s="13" cm="1">
        <f t="array" ref="J13">SUMPRODUCT((TEXT($AE$5:$OE$5, "mmm")=LOWER(I$3))*$AE13:$OE13)</f>
        <v>0</v>
      </c>
      <c r="K13" s="13"/>
      <c r="L13" s="13" cm="1">
        <f t="array" ref="L13">SUMPRODUCT((TEXT($AE$5:$OE$5, "mmm")=LOWER(K$3))*$AE13:$OE13)</f>
        <v>0</v>
      </c>
      <c r="M13" s="13"/>
      <c r="N13" s="13" cm="1">
        <f t="array" ref="N13">SUMPRODUCT((TEXT($AE$5:$OE$5, "mmm")=LOWER(M$3))*$AE13:$OE13)</f>
        <v>0</v>
      </c>
      <c r="O13" s="13"/>
      <c r="P13" s="13" cm="1">
        <f t="array" ref="P13">SUMPRODUCT((TEXT($AE$5:$OE$5, "mmm")=LOWER(O$3))*$AE13:$OE13)</f>
        <v>0</v>
      </c>
      <c r="Q13" s="13"/>
      <c r="R13" s="13" cm="1">
        <f t="array" ref="R13">SUMPRODUCT((TEXT($AE$5:$OE$5, "mmm")=LOWER(Q$3))*$AE13:$OE13)</f>
        <v>0</v>
      </c>
      <c r="S13" s="13"/>
      <c r="T13" s="13" cm="1">
        <f t="array" ref="T13">SUMPRODUCT((TEXT($AE$5:$OE$5, "mmm")=LOWER(S$3))*$AE13:$OE13)</f>
        <v>0</v>
      </c>
      <c r="U13" s="13"/>
      <c r="V13" s="13" cm="1">
        <f t="array" ref="V13">SUMPRODUCT((TEXT($AE$5:$OE$5, "mmm")=LOWER(U$3))*$AE13:$OE13)</f>
        <v>0</v>
      </c>
      <c r="W13" s="13"/>
      <c r="X13" s="13" cm="1">
        <f t="array" ref="X13">SUMPRODUCT((TEXT($AE$5:$OE$5, "mmm")=LOWER(W$3))*$AE13:$OE13)</f>
        <v>0</v>
      </c>
      <c r="Y13" s="13"/>
      <c r="Z13" s="13" cm="1">
        <f t="array" ref="Z13">SUMPRODUCT((TEXT($AE$5:$OE$5, "mmm")=LOWER(Y$3))*$AE13:$OE13)</f>
        <v>0</v>
      </c>
      <c r="AA13" s="13"/>
      <c r="AB13" s="13" cm="1">
        <f t="array" ref="AB13">SUMPRODUCT((TEXT($AE$5:$OE$5, "mmm")=LOWER(AA$3))*$AE13:$OE13)</f>
        <v>0</v>
      </c>
      <c r="AC13" s="13"/>
      <c r="AD13" s="17" cm="1">
        <f t="array" ref="AD13">SUMPRODUCT((TEXT($AE$5:$OE$5, "mmm")=LOWER(AC$3))*$AE13:$OE13)</f>
        <v>0</v>
      </c>
      <c r="AE13" s="23"/>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c r="CD13" s="24"/>
      <c r="CE13" s="24"/>
      <c r="CF13" s="24"/>
      <c r="CG13" s="24"/>
      <c r="CH13" s="24"/>
      <c r="CI13" s="24"/>
      <c r="CJ13" s="24"/>
      <c r="CK13" s="24"/>
      <c r="CL13" s="24"/>
      <c r="CM13" s="24"/>
      <c r="CN13" s="24"/>
      <c r="CO13" s="24"/>
      <c r="CP13" s="24"/>
      <c r="CQ13" s="24"/>
      <c r="CR13" s="24"/>
      <c r="CS13" s="24"/>
      <c r="CT13" s="24"/>
      <c r="CU13" s="24"/>
      <c r="CV13" s="24"/>
      <c r="CW13" s="24"/>
      <c r="CX13" s="24"/>
      <c r="CY13" s="24"/>
      <c r="CZ13" s="24"/>
      <c r="DA13" s="24"/>
      <c r="DB13" s="24"/>
      <c r="DC13" s="24"/>
      <c r="DD13" s="24"/>
      <c r="DE13" s="24"/>
      <c r="DF13" s="24"/>
      <c r="DG13" s="24"/>
      <c r="DH13" s="24"/>
      <c r="DI13" s="24"/>
      <c r="DJ13" s="24"/>
      <c r="DK13" s="24"/>
      <c r="DL13" s="24"/>
      <c r="DM13" s="24"/>
      <c r="DN13" s="24"/>
      <c r="DO13" s="24"/>
      <c r="DP13" s="24"/>
      <c r="DQ13" s="24"/>
      <c r="DR13" s="24"/>
      <c r="DS13" s="24"/>
      <c r="DT13" s="24"/>
      <c r="DU13" s="24"/>
      <c r="DV13" s="24"/>
      <c r="DW13" s="24"/>
      <c r="DX13" s="24"/>
      <c r="DY13" s="24"/>
      <c r="DZ13" s="24"/>
      <c r="EA13" s="24"/>
      <c r="EB13" s="24"/>
      <c r="EC13" s="24"/>
      <c r="ED13" s="24"/>
      <c r="EE13" s="24"/>
      <c r="EF13" s="24"/>
      <c r="EG13" s="24"/>
      <c r="EH13" s="24"/>
      <c r="EI13" s="24"/>
      <c r="EJ13" s="24"/>
      <c r="EK13" s="24"/>
      <c r="EL13" s="24"/>
      <c r="EM13" s="24"/>
      <c r="EN13" s="24"/>
      <c r="EO13" s="24"/>
      <c r="EP13" s="24"/>
      <c r="EQ13" s="24"/>
      <c r="ER13" s="24"/>
      <c r="ES13" s="24"/>
      <c r="ET13" s="24"/>
      <c r="EU13" s="24"/>
      <c r="EV13" s="24"/>
      <c r="EW13" s="24"/>
      <c r="EX13" s="24"/>
      <c r="EY13" s="24"/>
      <c r="EZ13" s="24"/>
      <c r="FA13" s="24"/>
      <c r="FB13" s="24"/>
      <c r="FC13" s="24"/>
      <c r="FD13" s="24"/>
      <c r="FE13" s="24"/>
      <c r="FF13" s="24"/>
      <c r="FG13" s="24"/>
      <c r="FH13" s="24"/>
      <c r="FI13" s="24"/>
      <c r="FJ13" s="24"/>
      <c r="FK13" s="24"/>
      <c r="FL13" s="24"/>
      <c r="FM13" s="24"/>
      <c r="FN13" s="24"/>
      <c r="FO13" s="24"/>
      <c r="FP13" s="24"/>
      <c r="FQ13" s="24"/>
      <c r="FR13" s="24"/>
      <c r="FS13" s="24"/>
      <c r="FT13" s="24"/>
      <c r="FU13" s="24"/>
      <c r="FV13" s="24"/>
      <c r="FW13" s="24"/>
      <c r="FX13" s="24"/>
      <c r="FY13" s="24"/>
      <c r="FZ13" s="24"/>
      <c r="GA13" s="24"/>
      <c r="GB13" s="24"/>
      <c r="GC13" s="24"/>
      <c r="GD13" s="24"/>
      <c r="GE13" s="24"/>
      <c r="GF13" s="24"/>
      <c r="GG13" s="24"/>
      <c r="GH13" s="24"/>
      <c r="GI13" s="24"/>
      <c r="GJ13" s="24"/>
      <c r="GK13" s="24"/>
      <c r="GL13" s="24"/>
      <c r="GM13" s="24"/>
      <c r="GN13" s="24"/>
      <c r="GO13" s="24"/>
      <c r="GP13" s="24"/>
      <c r="GQ13" s="24"/>
      <c r="GR13" s="24"/>
      <c r="GS13" s="24"/>
      <c r="GT13" s="24"/>
      <c r="GU13" s="24"/>
      <c r="GV13" s="24"/>
      <c r="GW13" s="24"/>
      <c r="GX13" s="24"/>
      <c r="GY13" s="24"/>
      <c r="GZ13" s="24"/>
      <c r="HA13" s="24"/>
      <c r="HB13" s="24"/>
      <c r="HC13" s="24"/>
      <c r="HD13" s="24"/>
      <c r="HE13" s="24"/>
      <c r="HF13" s="24"/>
      <c r="HG13" s="24"/>
      <c r="HH13" s="24"/>
      <c r="HI13" s="24"/>
      <c r="HJ13" s="24"/>
      <c r="HK13" s="24"/>
      <c r="HL13" s="24"/>
      <c r="HM13" s="24"/>
      <c r="HN13" s="24"/>
      <c r="HO13" s="24"/>
      <c r="HP13" s="24"/>
      <c r="HQ13" s="24"/>
      <c r="HR13" s="24"/>
      <c r="HS13" s="24"/>
      <c r="HT13" s="24"/>
      <c r="HU13" s="24"/>
      <c r="HV13" s="24"/>
      <c r="HW13" s="24"/>
      <c r="HX13" s="24"/>
      <c r="HY13" s="24"/>
      <c r="HZ13" s="24"/>
      <c r="IA13" s="24"/>
      <c r="IB13" s="24"/>
      <c r="IC13" s="24"/>
      <c r="ID13" s="24"/>
      <c r="IE13" s="24"/>
      <c r="IF13" s="24"/>
      <c r="IG13" s="24"/>
      <c r="IH13" s="24"/>
      <c r="II13" s="24"/>
      <c r="IJ13" s="24"/>
      <c r="IK13" s="24"/>
      <c r="IL13" s="24"/>
      <c r="IM13" s="24"/>
      <c r="IN13" s="24"/>
      <c r="IO13" s="24"/>
      <c r="IP13" s="24"/>
      <c r="IQ13" s="24"/>
      <c r="IR13" s="24"/>
      <c r="IS13" s="24"/>
      <c r="IT13" s="24"/>
      <c r="IU13" s="24"/>
      <c r="IV13" s="24"/>
      <c r="IW13" s="24"/>
      <c r="IX13" s="24"/>
      <c r="IY13" s="24"/>
      <c r="IZ13" s="24"/>
      <c r="JA13" s="24"/>
      <c r="JB13" s="24"/>
      <c r="JC13" s="24"/>
      <c r="JD13" s="24"/>
      <c r="JE13" s="24"/>
      <c r="JF13" s="24"/>
      <c r="JG13" s="24"/>
      <c r="JH13" s="24"/>
      <c r="JI13" s="24"/>
      <c r="JJ13" s="24"/>
      <c r="JK13" s="24"/>
      <c r="JL13" s="24"/>
      <c r="JM13" s="24"/>
      <c r="JN13" s="24"/>
      <c r="JO13" s="24"/>
      <c r="JP13" s="24"/>
      <c r="JQ13" s="24"/>
      <c r="JR13" s="24"/>
      <c r="JS13" s="24"/>
      <c r="JT13" s="24"/>
      <c r="JU13" s="24"/>
      <c r="JV13" s="24"/>
      <c r="JW13" s="24"/>
      <c r="JX13" s="24"/>
      <c r="JY13" s="24"/>
      <c r="JZ13" s="24"/>
      <c r="KA13" s="24"/>
      <c r="KB13" s="24"/>
      <c r="KC13" s="24"/>
      <c r="KD13" s="24"/>
      <c r="KE13" s="24"/>
      <c r="KF13" s="24"/>
      <c r="KG13" s="24"/>
      <c r="KH13" s="24"/>
      <c r="KI13" s="24"/>
      <c r="KJ13" s="24"/>
      <c r="KK13" s="24"/>
      <c r="KL13" s="24"/>
      <c r="KM13" s="24"/>
      <c r="KN13" s="24"/>
      <c r="KO13" s="24"/>
      <c r="KP13" s="24"/>
      <c r="KQ13" s="24"/>
      <c r="KR13" s="24"/>
      <c r="KS13" s="24"/>
      <c r="KT13" s="24"/>
      <c r="KU13" s="24"/>
      <c r="KV13" s="24"/>
      <c r="KW13" s="24"/>
      <c r="KX13" s="24"/>
      <c r="KY13" s="24"/>
      <c r="KZ13" s="24"/>
      <c r="LA13" s="24"/>
      <c r="LB13" s="24"/>
      <c r="LC13" s="24"/>
      <c r="LD13" s="24"/>
      <c r="LE13" s="24"/>
      <c r="LF13" s="24"/>
      <c r="LG13" s="24"/>
      <c r="LH13" s="24"/>
      <c r="LI13" s="24"/>
      <c r="LJ13" s="24"/>
      <c r="LK13" s="24"/>
      <c r="LL13" s="24"/>
      <c r="LM13" s="24"/>
      <c r="LN13" s="24"/>
      <c r="LO13" s="24"/>
      <c r="LP13" s="24"/>
      <c r="LQ13" s="24"/>
      <c r="LR13" s="24"/>
      <c r="LS13" s="24"/>
      <c r="LT13" s="24"/>
      <c r="LU13" s="24"/>
      <c r="LV13" s="24"/>
      <c r="LW13" s="24"/>
      <c r="LX13" s="24"/>
      <c r="LY13" s="24"/>
      <c r="LZ13" s="24"/>
      <c r="MA13" s="24"/>
      <c r="MB13" s="24"/>
      <c r="MC13" s="24"/>
      <c r="MD13" s="24"/>
      <c r="ME13" s="24"/>
      <c r="MF13" s="24"/>
      <c r="MG13" s="24"/>
      <c r="MH13" s="24"/>
      <c r="MI13" s="24"/>
      <c r="MJ13" s="24"/>
      <c r="MK13" s="24"/>
      <c r="ML13" s="24"/>
      <c r="MM13" s="24"/>
      <c r="MN13" s="24"/>
      <c r="MO13" s="24"/>
      <c r="MP13" s="24"/>
      <c r="MQ13" s="24"/>
      <c r="MR13" s="24"/>
      <c r="MS13" s="24"/>
      <c r="MT13" s="24"/>
      <c r="MU13" s="24"/>
      <c r="MV13" s="24"/>
      <c r="MW13" s="24"/>
      <c r="MX13" s="24"/>
      <c r="MY13" s="24"/>
      <c r="MZ13" s="24"/>
      <c r="NA13" s="24"/>
      <c r="NB13" s="24"/>
      <c r="NC13" s="24"/>
      <c r="ND13" s="24"/>
      <c r="NE13" s="24"/>
      <c r="NF13" s="24"/>
      <c r="NG13" s="24"/>
      <c r="NH13" s="24"/>
      <c r="NI13" s="24"/>
      <c r="NJ13" s="24"/>
      <c r="NK13" s="24"/>
      <c r="NL13" s="24"/>
      <c r="NM13" s="24"/>
      <c r="NN13" s="24"/>
      <c r="NO13" s="24"/>
      <c r="NP13" s="24"/>
      <c r="NQ13" s="24"/>
      <c r="NR13" s="24"/>
      <c r="NS13" s="24"/>
      <c r="NT13" s="24"/>
      <c r="NU13" s="24"/>
      <c r="NV13" s="24"/>
      <c r="NW13" s="24"/>
      <c r="NX13" s="24"/>
      <c r="NY13" s="24"/>
      <c r="NZ13" s="24"/>
      <c r="OA13" s="24"/>
      <c r="OB13" s="24"/>
      <c r="OC13" s="24"/>
      <c r="OD13" s="24"/>
      <c r="OE13" s="46"/>
    </row>
    <row r="14" spans="1:395" s="1" customFormat="1" ht="39" customHeight="1">
      <c r="A14" s="33">
        <v>1</v>
      </c>
      <c r="B14" s="27" t="s">
        <v>53</v>
      </c>
      <c r="C14" s="2" t="str">
        <f>IF(ISBLANK($B14),"",_xlfn.XLOOKUP($B14,Task_No,Project!$C$3:$C$144,"INVALID TASK"))</f>
        <v>Setup Dotnet development environment</v>
      </c>
      <c r="D14" s="27" t="s">
        <v>87</v>
      </c>
      <c r="E14" s="7">
        <v>30</v>
      </c>
      <c r="F14" s="16">
        <f t="shared" si="15"/>
        <v>21</v>
      </c>
      <c r="G14" s="34"/>
      <c r="H14" s="34" cm="1">
        <f t="array" ref="H14">IF($C14="","",SUMPRODUCT((TEXT($AE$5:$OE$5, "mmm")=LOWER(G$3))*$AE14:$OE14))</f>
        <v>0</v>
      </c>
      <c r="I14" s="34"/>
      <c r="J14" s="34" cm="1">
        <f t="array" ref="J14">IF($C14="","",SUMPRODUCT((TEXT($AE$5:$OE$5, "mmm")=LOWER(I$3))*$AE14:$OE14))</f>
        <v>0</v>
      </c>
      <c r="K14" s="34"/>
      <c r="L14" s="34"/>
      <c r="M14" s="34"/>
      <c r="N14" s="34" cm="1">
        <f t="array" ref="N14">IF($C14="","",SUMPRODUCT((TEXT($AE$5:$OE$5, "mmm")=LOWER(M$3))*$AE14:$OE14))</f>
        <v>21</v>
      </c>
      <c r="O14" s="34"/>
      <c r="P14" s="34" cm="1">
        <f t="array" ref="P14">IF($C14="","",SUMPRODUCT((TEXT($AE$5:$OE$5, "mmm")=LOWER(O$3))*$AE14:$OE14))</f>
        <v>0</v>
      </c>
      <c r="Q14" s="34"/>
      <c r="R14" s="34" cm="1">
        <f t="array" ref="R14">IF($C14="","",SUMPRODUCT((TEXT($AE$5:$OE$5, "mmm")=LOWER(Q$3))*$AE14:$OE14))</f>
        <v>0</v>
      </c>
      <c r="S14" s="34"/>
      <c r="T14" s="34" cm="1">
        <f t="array" ref="T14">IF($C14="","",SUMPRODUCT((TEXT($AE$5:$OE$5, "mmm")=LOWER(S$3))*$AE14:$OE14))</f>
        <v>0</v>
      </c>
      <c r="U14" s="34"/>
      <c r="V14" s="34" cm="1">
        <f t="array" ref="V14">IF($C14="","",SUMPRODUCT((TEXT($AE$5:$OE$5, "mmm")=LOWER(U$3))*$AE14:$OE14))</f>
        <v>0</v>
      </c>
      <c r="W14" s="34"/>
      <c r="X14" s="34" cm="1">
        <f t="array" ref="X14">IF($C14="","",SUMPRODUCT((TEXT($AE$5:$OE$5, "mmm")=LOWER(W$3))*$AE14:$OE14))</f>
        <v>0</v>
      </c>
      <c r="Y14" s="34"/>
      <c r="Z14" s="34" cm="1">
        <f t="array" ref="Z14">IF($C14="","",SUMPRODUCT((TEXT($AE$5:$OE$5, "mmm")=LOWER(Y$3))*$AE14:$OE14))</f>
        <v>0</v>
      </c>
      <c r="AA14" s="34"/>
      <c r="AB14" s="34" cm="1">
        <f t="array" ref="AB14">IF($C14="","",SUMPRODUCT((TEXT($AE$5:$OE$5, "mmm")=LOWER(AA$3))*$AE14:$OE14))</f>
        <v>0</v>
      </c>
      <c r="AC14" s="34"/>
      <c r="AD14" s="34" cm="1">
        <f t="array" ref="AD14">IF($C14="","",SUMPRODUCT((TEXT($AE$5:$OE$5, "mmm")=LOWER(AC$3))*$AE14:$OE14))</f>
        <v>0</v>
      </c>
      <c r="AE14" s="47"/>
      <c r="AF14" s="47"/>
      <c r="AG14" s="47"/>
      <c r="AH14" s="47"/>
      <c r="AI14" s="47"/>
      <c r="AJ14" s="47"/>
      <c r="AK14" s="47"/>
      <c r="AL14" s="47"/>
      <c r="AM14" s="47"/>
      <c r="AN14" s="47"/>
      <c r="AO14" s="47"/>
      <c r="AP14" s="47"/>
      <c r="AQ14" s="47"/>
      <c r="AR14" s="47"/>
      <c r="AS14" s="47"/>
      <c r="AT14" s="47"/>
      <c r="AU14" s="47"/>
      <c r="AV14" s="47"/>
      <c r="AW14" s="47"/>
      <c r="AX14" s="47"/>
      <c r="AY14" s="47"/>
      <c r="AZ14" s="47"/>
      <c r="BA14" s="47"/>
      <c r="BB14" s="47"/>
      <c r="BC14" s="47"/>
      <c r="BD14" s="47"/>
      <c r="BE14" s="47"/>
      <c r="BF14" s="47"/>
      <c r="BG14" s="47"/>
      <c r="BH14" s="47"/>
      <c r="BI14" s="47"/>
      <c r="BJ14" s="47"/>
      <c r="BK14" s="47"/>
      <c r="BL14" s="47"/>
      <c r="BM14" s="47"/>
      <c r="BN14" s="47"/>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47"/>
      <c r="CR14" s="47"/>
      <c r="CS14" s="47"/>
      <c r="CT14" s="47"/>
      <c r="CU14" s="47"/>
      <c r="CV14" s="47"/>
      <c r="CW14" s="47"/>
      <c r="CX14" s="47"/>
      <c r="CY14" s="47"/>
      <c r="CZ14" s="47"/>
      <c r="DA14" s="47"/>
      <c r="DB14" s="47"/>
      <c r="DC14" s="47"/>
      <c r="DD14" s="47"/>
      <c r="DE14" s="47"/>
      <c r="DF14" s="47"/>
      <c r="DG14" s="47"/>
      <c r="DH14" s="47"/>
      <c r="DI14" s="47"/>
      <c r="DJ14" s="47"/>
      <c r="DK14" s="47"/>
      <c r="DL14" s="47"/>
      <c r="DM14" s="47"/>
      <c r="DN14" s="47"/>
      <c r="DO14" s="47"/>
      <c r="DP14" s="47"/>
      <c r="DQ14" s="47"/>
      <c r="DR14" s="47"/>
      <c r="DS14" s="47"/>
      <c r="DT14" s="47"/>
      <c r="DU14" s="47"/>
      <c r="DV14" s="47"/>
      <c r="DW14" s="47">
        <v>9.5</v>
      </c>
      <c r="DX14" s="47"/>
      <c r="DY14" s="47"/>
      <c r="DZ14" s="47"/>
      <c r="EA14" s="47"/>
      <c r="EB14" s="47"/>
      <c r="EC14" s="47"/>
      <c r="ED14" s="47"/>
      <c r="EE14" s="47">
        <v>6.5</v>
      </c>
      <c r="EF14" s="47">
        <v>5</v>
      </c>
      <c r="EG14" s="47"/>
      <c r="EH14" s="47"/>
      <c r="EI14" s="47"/>
      <c r="EJ14" s="47"/>
      <c r="EK14" s="47"/>
      <c r="EL14" s="47"/>
      <c r="EM14" s="47"/>
      <c r="EN14" s="47"/>
      <c r="EO14" s="47"/>
      <c r="EP14" s="47"/>
      <c r="EQ14" s="47"/>
      <c r="ER14" s="47"/>
      <c r="ES14" s="47"/>
      <c r="ET14" s="47"/>
      <c r="EU14" s="47"/>
      <c r="EV14" s="47"/>
      <c r="EW14" s="47"/>
      <c r="EX14" s="47"/>
      <c r="EY14" s="47"/>
      <c r="EZ14" s="47"/>
      <c r="FA14" s="47"/>
      <c r="FB14" s="47"/>
      <c r="FC14" s="47"/>
      <c r="FD14" s="47"/>
      <c r="FE14" s="47"/>
      <c r="FF14" s="47"/>
      <c r="FG14" s="47"/>
      <c r="FH14" s="47"/>
      <c r="FI14" s="47"/>
      <c r="FJ14" s="47"/>
      <c r="FK14" s="47"/>
      <c r="FL14" s="47"/>
      <c r="FM14" s="47"/>
      <c r="FN14" s="47"/>
      <c r="FO14" s="47"/>
      <c r="FP14" s="47"/>
      <c r="FQ14" s="47"/>
      <c r="FR14" s="47"/>
      <c r="FS14" s="47"/>
      <c r="FT14" s="47"/>
      <c r="FU14" s="47"/>
      <c r="FV14" s="47"/>
      <c r="FW14" s="47"/>
      <c r="FX14" s="47"/>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HZ14" s="47"/>
      <c r="IA14" s="47"/>
      <c r="IB14" s="47"/>
      <c r="IC14" s="47"/>
      <c r="ID14" s="47"/>
      <c r="IE14" s="47"/>
      <c r="IF14" s="47"/>
      <c r="IG14" s="47"/>
      <c r="IH14" s="47"/>
      <c r="II14" s="47"/>
      <c r="IJ14" s="47"/>
      <c r="IK14" s="47"/>
      <c r="IL14" s="47"/>
      <c r="IM14" s="47"/>
      <c r="IN14" s="47"/>
      <c r="IO14" s="47"/>
      <c r="IP14" s="47"/>
      <c r="IQ14" s="47"/>
      <c r="IR14" s="47"/>
      <c r="IS14" s="47"/>
      <c r="IT14" s="47"/>
      <c r="IU14" s="47"/>
      <c r="IV14" s="47"/>
      <c r="IW14" s="47"/>
      <c r="IX14" s="47"/>
      <c r="IY14" s="47"/>
      <c r="IZ14" s="47"/>
      <c r="JA14" s="47"/>
      <c r="JB14" s="47"/>
      <c r="JC14" s="47"/>
      <c r="JD14" s="47"/>
      <c r="JE14" s="47"/>
      <c r="JF14" s="47"/>
      <c r="JG14" s="47"/>
      <c r="JH14" s="47"/>
      <c r="JI14" s="47"/>
      <c r="JJ14" s="47"/>
      <c r="JK14" s="47"/>
      <c r="JL14" s="47"/>
      <c r="JM14" s="47"/>
      <c r="JN14" s="47"/>
      <c r="JO14" s="47"/>
      <c r="JP14" s="47"/>
      <c r="JQ14" s="47"/>
      <c r="JR14" s="47"/>
      <c r="JS14" s="47"/>
      <c r="JT14" s="47"/>
      <c r="JU14" s="47"/>
      <c r="JV14" s="47"/>
      <c r="JW14" s="47"/>
      <c r="JX14" s="47"/>
      <c r="JY14" s="47"/>
      <c r="JZ14" s="47"/>
      <c r="KA14" s="47"/>
      <c r="KB14" s="47"/>
      <c r="KC14" s="47"/>
      <c r="KD14" s="47"/>
      <c r="KE14" s="47"/>
      <c r="KF14" s="47"/>
      <c r="KG14" s="47"/>
      <c r="KH14" s="47"/>
      <c r="KI14" s="47"/>
      <c r="KJ14" s="47"/>
      <c r="KK14" s="47"/>
      <c r="KL14" s="47"/>
      <c r="KM14" s="47"/>
      <c r="KN14" s="47"/>
      <c r="KO14" s="47"/>
      <c r="KP14" s="47"/>
      <c r="KQ14" s="47"/>
      <c r="KR14" s="47"/>
      <c r="KS14" s="47"/>
      <c r="KT14" s="47"/>
      <c r="KU14" s="47"/>
      <c r="KV14" s="47"/>
      <c r="KW14" s="47"/>
      <c r="KX14" s="47"/>
      <c r="KY14" s="47"/>
      <c r="KZ14" s="47"/>
      <c r="LA14" s="47"/>
      <c r="LB14" s="47"/>
      <c r="LC14" s="47"/>
      <c r="LD14" s="47"/>
      <c r="LE14" s="47"/>
      <c r="LF14" s="47"/>
      <c r="LG14" s="47"/>
      <c r="LH14" s="47"/>
      <c r="LI14" s="47"/>
      <c r="LJ14" s="47"/>
      <c r="LK14" s="47"/>
      <c r="LL14" s="47"/>
      <c r="LM14" s="47"/>
      <c r="LN14" s="47"/>
      <c r="LO14" s="47"/>
      <c r="LP14" s="47"/>
      <c r="LQ14" s="47"/>
      <c r="LR14" s="47"/>
      <c r="LS14" s="47"/>
      <c r="LT14" s="47"/>
      <c r="LU14" s="47"/>
      <c r="LV14" s="47"/>
      <c r="LW14" s="47"/>
      <c r="LX14" s="47"/>
      <c r="LY14" s="47"/>
      <c r="LZ14" s="47"/>
      <c r="MA14" s="47"/>
      <c r="MB14" s="47"/>
      <c r="MC14" s="47"/>
      <c r="MD14" s="47"/>
      <c r="ME14" s="47"/>
      <c r="MF14" s="47"/>
      <c r="MG14" s="47"/>
      <c r="MH14" s="47"/>
      <c r="MI14" s="47"/>
      <c r="MJ14" s="47"/>
      <c r="MK14" s="47"/>
      <c r="ML14" s="47"/>
      <c r="MM14" s="47"/>
      <c r="MN14" s="47"/>
      <c r="MO14" s="47"/>
      <c r="MP14" s="47"/>
      <c r="MQ14" s="47"/>
      <c r="MR14" s="47"/>
      <c r="MS14" s="47"/>
      <c r="MT14" s="47"/>
      <c r="MU14" s="47"/>
      <c r="MV14" s="47"/>
      <c r="MW14" s="47"/>
      <c r="MX14" s="47"/>
      <c r="MY14" s="47"/>
      <c r="MZ14" s="47"/>
      <c r="NA14" s="47"/>
      <c r="NB14" s="47"/>
      <c r="NC14" s="47"/>
      <c r="ND14" s="47"/>
      <c r="NE14" s="47"/>
      <c r="NF14" s="47"/>
      <c r="NG14" s="47"/>
      <c r="NH14" s="47"/>
      <c r="NI14" s="47"/>
      <c r="NJ14" s="47"/>
      <c r="NK14" s="47"/>
      <c r="NL14" s="47"/>
      <c r="NM14" s="47"/>
      <c r="NN14" s="47"/>
      <c r="NO14" s="47"/>
      <c r="NP14" s="47"/>
      <c r="NQ14" s="47"/>
      <c r="NR14" s="47"/>
      <c r="NS14" s="47"/>
      <c r="NT14" s="47"/>
      <c r="NU14" s="47"/>
      <c r="NV14" s="47"/>
      <c r="NW14" s="47"/>
      <c r="NX14" s="47"/>
      <c r="NY14" s="47"/>
      <c r="NZ14" s="47"/>
      <c r="OA14" s="47"/>
      <c r="OB14" s="47"/>
      <c r="OC14" s="47"/>
      <c r="OD14" s="47"/>
      <c r="OE14" s="48"/>
    </row>
    <row r="15" spans="1:395" s="1" customFormat="1" ht="39" customHeight="1">
      <c r="A15" s="33">
        <v>1</v>
      </c>
      <c r="B15" s="27" t="s">
        <v>55</v>
      </c>
      <c r="C15" s="2" t="str">
        <f>IF(ISBLANK($B15),"",_xlfn.XLOOKUP($B15,Task_No,Project!$C$3:$C$144,"INVALID TASK"))</f>
        <v>SprintaIOT console application development</v>
      </c>
      <c r="D15" s="27" t="s">
        <v>87</v>
      </c>
      <c r="E15" s="7"/>
      <c r="F15" s="16">
        <f t="shared" si="15"/>
        <v>36</v>
      </c>
      <c r="G15" s="34"/>
      <c r="H15" s="34" cm="1">
        <f t="array" ref="H15">IF($C15="","",SUMPRODUCT((TEXT($AE$5:$OE$5, "mmm")=LOWER(G$3))*$AE15:$OE15))</f>
        <v>0</v>
      </c>
      <c r="I15" s="34"/>
      <c r="J15" s="34" cm="1">
        <f t="array" ref="J15">IF($C15="","",SUMPRODUCT((TEXT($AE$5:$OE$5, "mmm")=LOWER(I$3))*$AE15:$OE15))</f>
        <v>0</v>
      </c>
      <c r="K15" s="34"/>
      <c r="L15" s="34"/>
      <c r="M15" s="34"/>
      <c r="N15" s="34" cm="1">
        <f t="array" ref="N15">IF($C15="","",SUMPRODUCT((TEXT($AE$5:$OE$5, "mmm")=LOWER(M$3))*$AE15:$OE15))</f>
        <v>36</v>
      </c>
      <c r="O15" s="34"/>
      <c r="P15" s="34" cm="1">
        <f t="array" ref="P15">IF($C15="","",SUMPRODUCT((TEXT($AE$5:$OE$5, "mmm")=LOWER(O$3))*$AE15:$OE15))</f>
        <v>0</v>
      </c>
      <c r="Q15" s="34"/>
      <c r="R15" s="34" cm="1">
        <f t="array" ref="R15">IF($C15="","",SUMPRODUCT((TEXT($AE$5:$OE$5, "mmm")=LOWER(Q$3))*$AE15:$OE15))</f>
        <v>0</v>
      </c>
      <c r="S15" s="34"/>
      <c r="T15" s="34" cm="1">
        <f t="array" ref="T15">IF($C15="","",SUMPRODUCT((TEXT($AE$5:$OE$5, "mmm")=LOWER(S$3))*$AE15:$OE15))</f>
        <v>0</v>
      </c>
      <c r="U15" s="34"/>
      <c r="V15" s="34" cm="1">
        <f t="array" ref="V15">IF($C15="","",SUMPRODUCT((TEXT($AE$5:$OE$5, "mmm")=LOWER(U$3))*$AE15:$OE15))</f>
        <v>0</v>
      </c>
      <c r="W15" s="34"/>
      <c r="X15" s="34" cm="1">
        <f t="array" ref="X15">IF($C15="","",SUMPRODUCT((TEXT($AE$5:$OE$5, "mmm")=LOWER(W$3))*$AE15:$OE15))</f>
        <v>0</v>
      </c>
      <c r="Y15" s="34"/>
      <c r="Z15" s="34" cm="1">
        <f t="array" ref="Z15">IF($C15="","",SUMPRODUCT((TEXT($AE$5:$OE$5, "mmm")=LOWER(Y$3))*$AE15:$OE15))</f>
        <v>0</v>
      </c>
      <c r="AA15" s="34"/>
      <c r="AB15" s="34" cm="1">
        <f t="array" ref="AB15">IF($C15="","",SUMPRODUCT((TEXT($AE$5:$OE$5, "mmm")=LOWER(AA$3))*$AE15:$OE15))</f>
        <v>0</v>
      </c>
      <c r="AC15" s="34"/>
      <c r="AD15" s="34" cm="1">
        <f t="array" ref="AD15">IF($C15="","",SUMPRODUCT((TEXT($AE$5:$OE$5, "mmm")=LOWER(AC$3))*$AE15:$OE15))</f>
        <v>0</v>
      </c>
      <c r="AE15" s="47"/>
      <c r="AF15" s="47"/>
      <c r="AG15" s="47"/>
      <c r="AH15" s="47"/>
      <c r="AI15" s="47"/>
      <c r="AJ15" s="47"/>
      <c r="AK15" s="47"/>
      <c r="AL15" s="47"/>
      <c r="AM15" s="47"/>
      <c r="AN15" s="47"/>
      <c r="AO15" s="47"/>
      <c r="AP15" s="47"/>
      <c r="AQ15" s="47"/>
      <c r="AR15" s="47"/>
      <c r="AS15" s="47"/>
      <c r="AT15" s="47"/>
      <c r="AU15" s="47"/>
      <c r="AV15" s="47"/>
      <c r="AW15" s="47"/>
      <c r="AX15" s="47"/>
      <c r="AY15" s="47"/>
      <c r="AZ15" s="47"/>
      <c r="BA15" s="47"/>
      <c r="BB15" s="47"/>
      <c r="BC15" s="47"/>
      <c r="BD15" s="47"/>
      <c r="BE15" s="47"/>
      <c r="BF15" s="47"/>
      <c r="BG15" s="47"/>
      <c r="BH15" s="47"/>
      <c r="BI15" s="47"/>
      <c r="BJ15" s="47"/>
      <c r="BK15" s="47"/>
      <c r="BL15" s="47"/>
      <c r="BM15" s="47"/>
      <c r="BN15" s="47"/>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47"/>
      <c r="CR15" s="47"/>
      <c r="CS15" s="47"/>
      <c r="CT15" s="47"/>
      <c r="CU15" s="47"/>
      <c r="CV15" s="47"/>
      <c r="CW15" s="47"/>
      <c r="CX15" s="47"/>
      <c r="CY15" s="47"/>
      <c r="CZ15" s="47"/>
      <c r="DA15" s="47"/>
      <c r="DB15" s="47"/>
      <c r="DC15" s="47"/>
      <c r="DD15" s="47"/>
      <c r="DE15" s="47"/>
      <c r="DF15" s="47"/>
      <c r="DG15" s="47"/>
      <c r="DH15" s="47"/>
      <c r="DI15" s="47"/>
      <c r="DJ15" s="47"/>
      <c r="DK15" s="47"/>
      <c r="DL15" s="47"/>
      <c r="DM15" s="47"/>
      <c r="DN15" s="47"/>
      <c r="DO15" s="47"/>
      <c r="DP15" s="47"/>
      <c r="DQ15" s="47"/>
      <c r="DR15" s="47"/>
      <c r="DS15" s="47"/>
      <c r="DT15" s="47"/>
      <c r="DU15" s="47"/>
      <c r="DV15" s="47"/>
      <c r="DW15" s="47"/>
      <c r="DX15" s="47">
        <v>9.5</v>
      </c>
      <c r="DY15" s="47">
        <v>9.5</v>
      </c>
      <c r="DZ15" s="47">
        <v>9.5</v>
      </c>
      <c r="EA15" s="47"/>
      <c r="EB15" s="47"/>
      <c r="EC15" s="47"/>
      <c r="ED15" s="47"/>
      <c r="EE15" s="47">
        <v>3</v>
      </c>
      <c r="EF15" s="47">
        <v>4.5</v>
      </c>
      <c r="EG15" s="47"/>
      <c r="EH15" s="47"/>
      <c r="EI15" s="47"/>
      <c r="EJ15" s="47"/>
      <c r="EK15" s="47"/>
      <c r="EL15" s="47"/>
      <c r="EM15" s="47"/>
      <c r="EN15" s="47"/>
      <c r="EO15" s="47"/>
      <c r="EP15" s="47"/>
      <c r="EQ15" s="47"/>
      <c r="ER15" s="47"/>
      <c r="ES15" s="47"/>
      <c r="ET15" s="47"/>
      <c r="EU15" s="47"/>
      <c r="EV15" s="47"/>
      <c r="EW15" s="47"/>
      <c r="EX15" s="47"/>
      <c r="EY15" s="47"/>
      <c r="EZ15" s="47"/>
      <c r="FA15" s="47"/>
      <c r="FB15" s="47"/>
      <c r="FC15" s="47"/>
      <c r="FD15" s="47"/>
      <c r="FE15" s="47"/>
      <c r="FF15" s="47"/>
      <c r="FG15" s="47"/>
      <c r="FH15" s="47"/>
      <c r="FI15" s="47"/>
      <c r="FJ15" s="47"/>
      <c r="FK15" s="47"/>
      <c r="FL15" s="47"/>
      <c r="FM15" s="47"/>
      <c r="FN15" s="47"/>
      <c r="FO15" s="47"/>
      <c r="FP15" s="47"/>
      <c r="FQ15" s="47"/>
      <c r="FR15" s="47"/>
      <c r="FS15" s="47"/>
      <c r="FT15" s="47"/>
      <c r="FU15" s="47"/>
      <c r="FV15" s="47"/>
      <c r="FW15" s="47"/>
      <c r="FX15" s="47"/>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HZ15" s="47"/>
      <c r="IA15" s="47"/>
      <c r="IB15" s="47"/>
      <c r="IC15" s="47"/>
      <c r="ID15" s="47"/>
      <c r="IE15" s="47"/>
      <c r="IF15" s="47"/>
      <c r="IG15" s="47"/>
      <c r="IH15" s="47"/>
      <c r="II15" s="47"/>
      <c r="IJ15" s="47"/>
      <c r="IK15" s="47"/>
      <c r="IL15" s="47"/>
      <c r="IM15" s="47"/>
      <c r="IN15" s="47"/>
      <c r="IO15" s="47"/>
      <c r="IP15" s="47"/>
      <c r="IQ15" s="47"/>
      <c r="IR15" s="47"/>
      <c r="IS15" s="47"/>
      <c r="IT15" s="47"/>
      <c r="IU15" s="47"/>
      <c r="IV15" s="47"/>
      <c r="IW15" s="47"/>
      <c r="IX15" s="47"/>
      <c r="IY15" s="47"/>
      <c r="IZ15" s="47"/>
      <c r="JA15" s="47"/>
      <c r="JB15" s="47"/>
      <c r="JC15" s="47"/>
      <c r="JD15" s="47"/>
      <c r="JE15" s="47"/>
      <c r="JF15" s="47"/>
      <c r="JG15" s="47"/>
      <c r="JH15" s="47"/>
      <c r="JI15" s="47"/>
      <c r="JJ15" s="47"/>
      <c r="JK15" s="47"/>
      <c r="JL15" s="47"/>
      <c r="JM15" s="47"/>
      <c r="JN15" s="47"/>
      <c r="JO15" s="47"/>
      <c r="JP15" s="47"/>
      <c r="JQ15" s="47"/>
      <c r="JR15" s="47"/>
      <c r="JS15" s="47"/>
      <c r="JT15" s="47"/>
      <c r="JU15" s="47"/>
      <c r="JV15" s="47"/>
      <c r="JW15" s="47"/>
      <c r="JX15" s="47"/>
      <c r="JY15" s="47"/>
      <c r="JZ15" s="47"/>
      <c r="KA15" s="47"/>
      <c r="KB15" s="47"/>
      <c r="KC15" s="47"/>
      <c r="KD15" s="47"/>
      <c r="KE15" s="47"/>
      <c r="KF15" s="47"/>
      <c r="KG15" s="47"/>
      <c r="KH15" s="47"/>
      <c r="KI15" s="47"/>
      <c r="KJ15" s="47"/>
      <c r="KK15" s="47"/>
      <c r="KL15" s="47"/>
      <c r="KM15" s="47"/>
      <c r="KN15" s="47"/>
      <c r="KO15" s="47"/>
      <c r="KP15" s="47"/>
      <c r="KQ15" s="47"/>
      <c r="KR15" s="47"/>
      <c r="KS15" s="47"/>
      <c r="KT15" s="47"/>
      <c r="KU15" s="47"/>
      <c r="KV15" s="47"/>
      <c r="KW15" s="47"/>
      <c r="KX15" s="47"/>
      <c r="KY15" s="47"/>
      <c r="KZ15" s="47"/>
      <c r="LA15" s="47"/>
      <c r="LB15" s="47"/>
      <c r="LC15" s="47"/>
      <c r="LD15" s="47"/>
      <c r="LE15" s="47"/>
      <c r="LF15" s="47"/>
      <c r="LG15" s="47"/>
      <c r="LH15" s="47"/>
      <c r="LI15" s="47"/>
      <c r="LJ15" s="47"/>
      <c r="LK15" s="47"/>
      <c r="LL15" s="47"/>
      <c r="LM15" s="47"/>
      <c r="LN15" s="47"/>
      <c r="LO15" s="47"/>
      <c r="LP15" s="47"/>
      <c r="LQ15" s="47"/>
      <c r="LR15" s="47"/>
      <c r="LS15" s="47"/>
      <c r="LT15" s="47"/>
      <c r="LU15" s="47"/>
      <c r="LV15" s="47"/>
      <c r="LW15" s="47"/>
      <c r="LX15" s="47"/>
      <c r="LY15" s="47"/>
      <c r="LZ15" s="47"/>
      <c r="MA15" s="47"/>
      <c r="MB15" s="47"/>
      <c r="MC15" s="47"/>
      <c r="MD15" s="47"/>
      <c r="ME15" s="47"/>
      <c r="MF15" s="47"/>
      <c r="MG15" s="47"/>
      <c r="MH15" s="47"/>
      <c r="MI15" s="47"/>
      <c r="MJ15" s="47"/>
      <c r="MK15" s="47"/>
      <c r="ML15" s="47"/>
      <c r="MM15" s="47"/>
      <c r="MN15" s="47"/>
      <c r="MO15" s="47"/>
      <c r="MP15" s="47"/>
      <c r="MQ15" s="47"/>
      <c r="MR15" s="47"/>
      <c r="MS15" s="47"/>
      <c r="MT15" s="47"/>
      <c r="MU15" s="47"/>
      <c r="MV15" s="47"/>
      <c r="MW15" s="47"/>
      <c r="MX15" s="47"/>
      <c r="MY15" s="47"/>
      <c r="MZ15" s="47"/>
      <c r="NA15" s="47"/>
      <c r="NB15" s="47"/>
      <c r="NC15" s="47"/>
      <c r="ND15" s="47"/>
      <c r="NE15" s="47"/>
      <c r="NF15" s="47"/>
      <c r="NG15" s="47"/>
      <c r="NH15" s="47"/>
      <c r="NI15" s="47"/>
      <c r="NJ15" s="47"/>
      <c r="NK15" s="47"/>
      <c r="NL15" s="47"/>
      <c r="NM15" s="47"/>
      <c r="NN15" s="47"/>
      <c r="NO15" s="47"/>
      <c r="NP15" s="47"/>
      <c r="NQ15" s="47"/>
      <c r="NR15" s="47"/>
      <c r="NS15" s="47"/>
      <c r="NT15" s="47"/>
      <c r="NU15" s="47"/>
      <c r="NV15" s="47"/>
      <c r="NW15" s="47"/>
      <c r="NX15" s="47"/>
      <c r="NY15" s="47"/>
      <c r="NZ15" s="47"/>
      <c r="OA15" s="47"/>
      <c r="OB15" s="47"/>
      <c r="OC15" s="47"/>
      <c r="OD15" s="47"/>
      <c r="OE15" s="48"/>
    </row>
    <row r="16" spans="1:395">
      <c r="A16" s="33" t="str">
        <f>IF(NOT(ISBLANK(B16)),#REF!+1, "")</f>
        <v/>
      </c>
      <c r="C16" s="2" t="str">
        <f>IF(ISBLANK($B16),"",_xlfn.XLOOKUP($B16,Task_No,Project!$C$3:$C$144,"INVALID TASK"))</f>
        <v/>
      </c>
      <c r="D16" s="27"/>
      <c r="F16" s="7" t="str">
        <f t="shared" ref="F16:F78" si="17">IF(C16 = "", "", SUM($H16,$J16,$L16,$N16,$P16,$R16,$T16,$V16,$X16,$Z16,$AB16,$AD16))</f>
        <v/>
      </c>
      <c r="G16" s="34"/>
      <c r="H16" s="34" t="str" cm="1">
        <f t="array" ref="H16">IF($C16="","",SUMPRODUCT((TEXT($AE$5:$OE$5, "mmm")=LOWER(G$3))*$AE16:$OE16))</f>
        <v/>
      </c>
      <c r="I16" s="34"/>
      <c r="J16" s="34" t="str" cm="1">
        <f t="array" ref="J16">IF($C16="","",SUMPRODUCT((TEXT($AE$5:$OE$5, "mmm")=LOWER(I$3))*$AE16:$OE16))</f>
        <v/>
      </c>
      <c r="K16" s="34"/>
      <c r="L16" s="34" t="str" cm="1">
        <f t="array" ref="L16">IF($C16="","",SUMPRODUCT((TEXT($AE$5:$OE$5, "mmm")=LOWER(K$3))*$AE16:$OE16))</f>
        <v/>
      </c>
      <c r="M16" s="34"/>
      <c r="N16" s="34" t="str" cm="1">
        <f t="array" ref="N16">IF($C16="","",SUMPRODUCT((TEXT($AE$5:$OE$5, "mmm")=LOWER(M$3))*$AE16:$OE16))</f>
        <v/>
      </c>
      <c r="O16" s="34"/>
      <c r="P16" s="34" t="str" cm="1">
        <f t="array" ref="P16">IF($C16="","",SUMPRODUCT((TEXT($AE$5:$OE$5, "mmm")=LOWER(O$3))*$AE16:$OE16))</f>
        <v/>
      </c>
      <c r="Q16" s="34"/>
      <c r="R16" s="34" t="str" cm="1">
        <f t="array" ref="R16">IF($C16="","",SUMPRODUCT((TEXT($AE$5:$OE$5, "mmm")=LOWER(Q$3))*$AE16:$OE16))</f>
        <v/>
      </c>
      <c r="S16" s="34"/>
      <c r="T16" s="34" t="str" cm="1">
        <f t="array" ref="T16">IF($C16="","",SUMPRODUCT((TEXT($AE$5:$OE$5, "mmm")=LOWER(S$3))*$AE16:$OE16))</f>
        <v/>
      </c>
      <c r="U16" s="34"/>
      <c r="V16" s="34" t="str" cm="1">
        <f t="array" ref="V16">IF($C16="","",SUMPRODUCT((TEXT($AE$5:$OE$5, "mmm")=LOWER(U$3))*$AE16:$OE16))</f>
        <v/>
      </c>
      <c r="W16" s="34"/>
      <c r="X16" s="34" t="str" cm="1">
        <f t="array" ref="X16">IF($C16="","",SUMPRODUCT((TEXT($AE$5:$OE$5, "mmm")=LOWER(W$3))*$AE16:$OE16))</f>
        <v/>
      </c>
      <c r="Y16" s="34"/>
      <c r="Z16" s="34" t="str" cm="1">
        <f t="array" ref="Z16">IF($C16="","",SUMPRODUCT((TEXT($AE$5:$OE$5, "mmm")=LOWER(Y$3))*$AE16:$OE16))</f>
        <v/>
      </c>
      <c r="AA16" s="34"/>
      <c r="AB16" s="34" t="str" cm="1">
        <f t="array" ref="AB16">IF($C16="","",SUMPRODUCT((TEXT($AE$5:$OE$5, "mmm")=LOWER(AA$3))*$AE16:$OE16))</f>
        <v/>
      </c>
      <c r="AC16" s="34"/>
      <c r="AD16" s="34" t="str" cm="1">
        <f t="array" ref="AD16">IF($C16="","",SUMPRODUCT((TEXT($AE$5:$OE$5, "mmm")=LOWER(AC$3))*$AE16:$OE16))</f>
        <v/>
      </c>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7"/>
      <c r="BC16" s="47"/>
      <c r="BD16" s="47"/>
      <c r="BE16" s="47"/>
      <c r="BF16" s="47"/>
      <c r="BG16" s="47"/>
      <c r="BH16" s="47"/>
      <c r="BI16" s="47"/>
      <c r="BJ16" s="47"/>
      <c r="BK16" s="47"/>
      <c r="BL16" s="47"/>
      <c r="BM16" s="47"/>
      <c r="BN16" s="47"/>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47"/>
      <c r="CR16" s="47"/>
      <c r="CS16" s="47"/>
      <c r="CT16" s="47"/>
      <c r="CU16" s="47"/>
      <c r="CV16" s="47"/>
      <c r="CW16" s="47"/>
      <c r="CX16" s="47"/>
      <c r="CY16" s="47"/>
      <c r="CZ16" s="47"/>
      <c r="DA16" s="47"/>
      <c r="DB16" s="47"/>
      <c r="DC16" s="47"/>
      <c r="DD16" s="47"/>
      <c r="DE16" s="47"/>
      <c r="DF16" s="47"/>
      <c r="DG16" s="47"/>
      <c r="DH16" s="47"/>
      <c r="DI16" s="47"/>
      <c r="DJ16" s="47"/>
      <c r="DK16" s="47"/>
      <c r="DL16" s="47"/>
      <c r="DM16" s="47"/>
      <c r="DN16" s="47"/>
      <c r="DO16" s="47"/>
      <c r="DP16" s="47"/>
      <c r="DQ16" s="47"/>
      <c r="DR16" s="47"/>
      <c r="DS16" s="47"/>
      <c r="DT16" s="47"/>
      <c r="DU16" s="47"/>
      <c r="DV16" s="47"/>
      <c r="DW16" s="47"/>
      <c r="DX16" s="47"/>
      <c r="DY16" s="47"/>
      <c r="DZ16" s="47"/>
      <c r="EA16" s="47"/>
      <c r="EB16" s="47"/>
      <c r="EC16" s="47"/>
      <c r="ED16" s="47"/>
      <c r="EE16" s="47"/>
      <c r="EF16" s="47"/>
      <c r="EG16" s="47"/>
      <c r="EH16" s="47"/>
      <c r="EI16" s="47"/>
      <c r="EJ16" s="47"/>
      <c r="EK16" s="47"/>
      <c r="EL16" s="47"/>
      <c r="EM16" s="47"/>
      <c r="EN16" s="47"/>
      <c r="EO16" s="47"/>
      <c r="EP16" s="47"/>
      <c r="EQ16" s="47"/>
      <c r="ER16" s="47"/>
      <c r="ES16" s="47"/>
      <c r="ET16" s="47"/>
      <c r="EU16" s="47"/>
      <c r="EV16" s="47"/>
      <c r="EW16" s="47"/>
      <c r="EX16" s="47"/>
      <c r="EY16" s="47"/>
      <c r="EZ16" s="47"/>
      <c r="FA16" s="47"/>
      <c r="FB16" s="47"/>
      <c r="FC16" s="47"/>
      <c r="FD16" s="47"/>
      <c r="FE16" s="47"/>
      <c r="FF16" s="47"/>
      <c r="FG16" s="47"/>
      <c r="FH16" s="47"/>
      <c r="FI16" s="47"/>
      <c r="FJ16" s="47"/>
      <c r="FK16" s="47"/>
      <c r="FL16" s="47"/>
      <c r="FM16" s="47"/>
      <c r="FN16" s="47"/>
      <c r="FO16" s="47"/>
      <c r="FP16" s="47"/>
      <c r="FQ16" s="47"/>
      <c r="FR16" s="47"/>
      <c r="FS16" s="47"/>
      <c r="FT16" s="47"/>
      <c r="FU16" s="47"/>
      <c r="FV16" s="47"/>
      <c r="FW16" s="47"/>
      <c r="FX16" s="47"/>
      <c r="FY16" s="47"/>
      <c r="FZ16" s="47"/>
      <c r="GA16" s="47"/>
      <c r="GB16" s="47"/>
      <c r="GC16" s="47"/>
      <c r="GD16" s="47"/>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HZ16" s="47"/>
      <c r="IA16" s="47"/>
      <c r="IB16" s="47"/>
      <c r="IC16" s="47"/>
      <c r="ID16" s="47"/>
      <c r="IE16" s="47"/>
      <c r="IF16" s="47"/>
      <c r="IG16" s="47"/>
      <c r="IH16" s="47"/>
      <c r="II16" s="47"/>
      <c r="IJ16" s="47"/>
      <c r="IK16" s="47"/>
      <c r="IL16" s="47"/>
      <c r="IM16" s="47"/>
      <c r="IN16" s="47"/>
      <c r="IO16" s="47"/>
      <c r="IP16" s="47"/>
      <c r="IQ16" s="47"/>
      <c r="IR16" s="47"/>
      <c r="IS16" s="47"/>
      <c r="IT16" s="47"/>
      <c r="IU16" s="47"/>
      <c r="IV16" s="47"/>
      <c r="IW16" s="47"/>
      <c r="IX16" s="47"/>
      <c r="IY16" s="47"/>
      <c r="IZ16" s="47"/>
      <c r="JA16" s="47"/>
      <c r="JB16" s="47"/>
      <c r="JC16" s="47"/>
      <c r="JD16" s="47"/>
      <c r="JE16" s="47"/>
      <c r="JF16" s="47"/>
      <c r="JG16" s="47"/>
      <c r="JH16" s="47"/>
      <c r="JI16" s="47"/>
      <c r="JJ16" s="47"/>
      <c r="JK16" s="47"/>
      <c r="JL16" s="47"/>
      <c r="JM16" s="47"/>
      <c r="JN16" s="47"/>
      <c r="JO16" s="47"/>
      <c r="JP16" s="47"/>
      <c r="JQ16" s="47"/>
      <c r="JR16" s="47"/>
      <c r="JS16" s="47"/>
      <c r="JT16" s="47"/>
      <c r="JU16" s="47"/>
      <c r="JV16" s="47"/>
      <c r="JW16" s="47"/>
      <c r="JX16" s="47"/>
      <c r="JY16" s="47"/>
      <c r="JZ16" s="47"/>
      <c r="KA16" s="47"/>
      <c r="KB16" s="47"/>
      <c r="KC16" s="47"/>
      <c r="KD16" s="47"/>
      <c r="KE16" s="47"/>
      <c r="KF16" s="47"/>
      <c r="KG16" s="47"/>
      <c r="KH16" s="47"/>
      <c r="KI16" s="47"/>
      <c r="KJ16" s="47"/>
      <c r="KK16" s="47"/>
      <c r="KL16" s="47"/>
      <c r="KM16" s="47"/>
      <c r="KN16" s="47"/>
      <c r="KO16" s="47"/>
      <c r="KP16" s="47"/>
      <c r="KQ16" s="47"/>
      <c r="KR16" s="47"/>
      <c r="KS16" s="47"/>
      <c r="KT16" s="47"/>
      <c r="KU16" s="47"/>
      <c r="KV16" s="47"/>
      <c r="KW16" s="47"/>
      <c r="KX16" s="47"/>
      <c r="KY16" s="47"/>
      <c r="KZ16" s="47"/>
      <c r="LA16" s="47"/>
      <c r="LB16" s="47"/>
      <c r="LC16" s="47"/>
      <c r="LD16" s="47"/>
      <c r="LE16" s="47"/>
      <c r="LF16" s="47"/>
      <c r="LG16" s="47"/>
      <c r="LH16" s="47"/>
      <c r="LI16" s="47"/>
      <c r="LJ16" s="47"/>
      <c r="LK16" s="47"/>
      <c r="LL16" s="47"/>
      <c r="LM16" s="47"/>
      <c r="LN16" s="47"/>
      <c r="LO16" s="47"/>
      <c r="LP16" s="47"/>
      <c r="LQ16" s="47"/>
      <c r="LR16" s="47"/>
      <c r="LS16" s="47"/>
      <c r="LT16" s="47"/>
      <c r="LU16" s="47"/>
      <c r="LV16" s="47"/>
      <c r="LW16" s="47"/>
      <c r="LX16" s="47"/>
      <c r="LY16" s="47"/>
      <c r="LZ16" s="47"/>
      <c r="MA16" s="47"/>
      <c r="MB16" s="47"/>
      <c r="MC16" s="47"/>
      <c r="MD16" s="47"/>
      <c r="ME16" s="47"/>
      <c r="MF16" s="47"/>
      <c r="MG16" s="47"/>
      <c r="MH16" s="47"/>
      <c r="MI16" s="47"/>
      <c r="MJ16" s="47"/>
      <c r="MK16" s="47"/>
      <c r="ML16" s="47"/>
      <c r="MM16" s="47"/>
      <c r="MN16" s="47"/>
      <c r="MO16" s="47"/>
      <c r="MP16" s="47"/>
      <c r="MQ16" s="47"/>
      <c r="MR16" s="47"/>
      <c r="MS16" s="47"/>
      <c r="MT16" s="47"/>
      <c r="MU16" s="47"/>
      <c r="MV16" s="47"/>
      <c r="MW16" s="47"/>
      <c r="MX16" s="47"/>
      <c r="MY16" s="47"/>
      <c r="MZ16" s="47"/>
      <c r="NA16" s="47"/>
      <c r="NB16" s="47"/>
      <c r="NC16" s="47"/>
      <c r="ND16" s="47"/>
      <c r="NE16" s="47"/>
      <c r="NF16" s="47"/>
      <c r="NG16" s="47"/>
      <c r="NH16" s="47"/>
      <c r="NI16" s="47"/>
      <c r="NJ16" s="47"/>
      <c r="NK16" s="47"/>
      <c r="NL16" s="47"/>
      <c r="NM16" s="47"/>
      <c r="NN16" s="47"/>
      <c r="NO16" s="47"/>
      <c r="NP16" s="47"/>
      <c r="NQ16" s="47"/>
      <c r="NR16" s="47"/>
      <c r="NS16" s="47"/>
      <c r="NT16" s="47"/>
      <c r="NU16" s="47"/>
      <c r="NV16" s="47"/>
      <c r="NW16" s="47"/>
      <c r="NX16" s="47"/>
      <c r="NY16" s="47"/>
      <c r="NZ16" s="47"/>
      <c r="OA16" s="47"/>
      <c r="OB16" s="47"/>
      <c r="OC16" s="47"/>
      <c r="OD16" s="47"/>
      <c r="OE16" s="48"/>
    </row>
    <row r="17" spans="1:395">
      <c r="A17" s="33" t="str">
        <f t="shared" ref="A17:A46" si="18">IF(NOT(ISBLANK(B17)),A16+1, "")</f>
        <v/>
      </c>
      <c r="C17" s="2" t="str">
        <f>IF(ISBLANK($B17),"",_xlfn.XLOOKUP($B17,Task_No,Project!$C$3:$C$144,"INVALID TASK"))</f>
        <v/>
      </c>
      <c r="D17" s="27"/>
      <c r="F17" s="7" t="str">
        <f t="shared" si="17"/>
        <v/>
      </c>
      <c r="G17" s="34"/>
      <c r="H17" s="34" t="str" cm="1">
        <f t="array" ref="H17">IF($C17="","",SUMPRODUCT((TEXT($AE$5:$OE$5, "mmm")=LOWER(G$3))*$AE17:$OE17))</f>
        <v/>
      </c>
      <c r="I17" s="34"/>
      <c r="J17" s="34" t="str" cm="1">
        <f t="array" ref="J17">IF($C17="","",SUMPRODUCT((TEXT($AE$5:$OE$5, "mmm")=LOWER(I$3))*$AE17:$OE17))</f>
        <v/>
      </c>
      <c r="K17" s="34"/>
      <c r="L17" s="34" t="str" cm="1">
        <f t="array" ref="L17">IF($C17="","",SUMPRODUCT((TEXT($AE$5:$OE$5, "mmm")=LOWER(K$3))*$AE17:$OE17))</f>
        <v/>
      </c>
      <c r="M17" s="34"/>
      <c r="N17" s="34" t="str" cm="1">
        <f t="array" ref="N17">IF($C17="","",SUMPRODUCT((TEXT($AE$5:$OE$5, "mmm")=LOWER(M$3))*$AE17:$OE17))</f>
        <v/>
      </c>
      <c r="O17" s="34"/>
      <c r="P17" s="34" t="str" cm="1">
        <f t="array" ref="P17">IF($C17="","",SUMPRODUCT((TEXT($AE$5:$OE$5, "mmm")=LOWER(O$3))*$AE17:$OE17))</f>
        <v/>
      </c>
      <c r="Q17" s="34"/>
      <c r="R17" s="34" t="str" cm="1">
        <f t="array" ref="R17">IF($C17="","",SUMPRODUCT((TEXT($AE$5:$OE$5, "mmm")=LOWER(Q$3))*$AE17:$OE17))</f>
        <v/>
      </c>
      <c r="S17" s="34"/>
      <c r="T17" s="34" t="str" cm="1">
        <f t="array" ref="T17">IF($C17="","",SUMPRODUCT((TEXT($AE$5:$OE$5, "mmm")=LOWER(S$3))*$AE17:$OE17))</f>
        <v/>
      </c>
      <c r="U17" s="34"/>
      <c r="V17" s="34" t="str" cm="1">
        <f t="array" ref="V17">IF($C17="","",SUMPRODUCT((TEXT($AE$5:$OE$5, "mmm")=LOWER(U$3))*$AE17:$OE17))</f>
        <v/>
      </c>
      <c r="W17" s="34"/>
      <c r="X17" s="34" t="str" cm="1">
        <f t="array" ref="X17">IF($C17="","",SUMPRODUCT((TEXT($AE$5:$OE$5, "mmm")=LOWER(W$3))*$AE17:$OE17))</f>
        <v/>
      </c>
      <c r="Y17" s="34"/>
      <c r="Z17" s="34" t="str" cm="1">
        <f t="array" ref="Z17">IF($C17="","",SUMPRODUCT((TEXT($AE$5:$OE$5, "mmm")=LOWER(Y$3))*$AE17:$OE17))</f>
        <v/>
      </c>
      <c r="AA17" s="34"/>
      <c r="AB17" s="34" t="str" cm="1">
        <f t="array" ref="AB17">IF($C17="","",SUMPRODUCT((TEXT($AE$5:$OE$5, "mmm")=LOWER(AA$3))*$AE17:$OE17))</f>
        <v/>
      </c>
      <c r="AC17" s="34"/>
      <c r="AD17" s="34" t="str" cm="1">
        <f t="array" ref="AD17">IF($C17="","",SUMPRODUCT((TEXT($AE$5:$OE$5, "mmm")=LOWER(AC$3))*$AE17:$OE17))</f>
        <v/>
      </c>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c r="BJ17" s="47"/>
      <c r="BK17" s="47"/>
      <c r="BL17" s="47"/>
      <c r="BM17" s="47"/>
      <c r="BN17" s="47"/>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47"/>
      <c r="CR17" s="47"/>
      <c r="CS17" s="47"/>
      <c r="CT17" s="47"/>
      <c r="CU17" s="47"/>
      <c r="CV17" s="47"/>
      <c r="CW17" s="47"/>
      <c r="CX17" s="47"/>
      <c r="CY17" s="47"/>
      <c r="CZ17" s="47"/>
      <c r="DA17" s="47"/>
      <c r="DB17" s="47"/>
      <c r="DC17" s="47"/>
      <c r="DD17" s="47"/>
      <c r="DE17" s="47"/>
      <c r="DF17" s="47"/>
      <c r="DG17" s="47"/>
      <c r="DH17" s="47"/>
      <c r="DI17" s="47"/>
      <c r="DJ17" s="47"/>
      <c r="DK17" s="47"/>
      <c r="DL17" s="47"/>
      <c r="DM17" s="47"/>
      <c r="DN17" s="47"/>
      <c r="DO17" s="47"/>
      <c r="DP17" s="47"/>
      <c r="DQ17" s="47"/>
      <c r="DR17" s="47"/>
      <c r="DS17" s="47"/>
      <c r="DT17" s="47"/>
      <c r="DU17" s="47"/>
      <c r="DV17" s="47"/>
      <c r="DW17" s="47"/>
      <c r="DX17" s="47"/>
      <c r="DY17" s="47"/>
      <c r="DZ17" s="47"/>
      <c r="EA17" s="47"/>
      <c r="EB17" s="47"/>
      <c r="EC17" s="47"/>
      <c r="ED17" s="47"/>
      <c r="EE17" s="47"/>
      <c r="EF17" s="47"/>
      <c r="EG17" s="47"/>
      <c r="EH17" s="47"/>
      <c r="EI17" s="47"/>
      <c r="EJ17" s="47"/>
      <c r="EK17" s="47"/>
      <c r="EL17" s="47"/>
      <c r="EM17" s="47"/>
      <c r="EN17" s="47"/>
      <c r="EO17" s="47"/>
      <c r="EP17" s="47"/>
      <c r="EQ17" s="47"/>
      <c r="ER17" s="47"/>
      <c r="ES17" s="47"/>
      <c r="ET17" s="47"/>
      <c r="EU17" s="47"/>
      <c r="EV17" s="47"/>
      <c r="EW17" s="47"/>
      <c r="EX17" s="47"/>
      <c r="EY17" s="47"/>
      <c r="EZ17" s="47"/>
      <c r="FA17" s="47"/>
      <c r="FB17" s="47"/>
      <c r="FC17" s="47"/>
      <c r="FD17" s="47"/>
      <c r="FE17" s="47"/>
      <c r="FF17" s="47"/>
      <c r="FG17" s="47"/>
      <c r="FH17" s="47"/>
      <c r="FI17" s="47"/>
      <c r="FJ17" s="47"/>
      <c r="FK17" s="47"/>
      <c r="FL17" s="47"/>
      <c r="FM17" s="47"/>
      <c r="FN17" s="47"/>
      <c r="FO17" s="47"/>
      <c r="FP17" s="47"/>
      <c r="FQ17" s="47"/>
      <c r="FR17" s="47"/>
      <c r="FS17" s="47"/>
      <c r="FT17" s="47"/>
      <c r="FU17" s="47"/>
      <c r="FV17" s="47"/>
      <c r="FW17" s="47"/>
      <c r="FX17" s="47"/>
      <c r="FY17" s="47"/>
      <c r="FZ17" s="47"/>
      <c r="GA17" s="47"/>
      <c r="GB17" s="47"/>
      <c r="GC17" s="47"/>
      <c r="GD17" s="47"/>
      <c r="GE17" s="47"/>
      <c r="GF17" s="47"/>
      <c r="GG17" s="47"/>
      <c r="GH17" s="47"/>
      <c r="GI17" s="47"/>
      <c r="GJ17" s="47"/>
      <c r="GK17" s="47"/>
      <c r="GL17" s="47"/>
      <c r="GM17" s="47"/>
      <c r="GN17" s="47"/>
      <c r="GO17" s="47"/>
      <c r="GP17" s="47"/>
      <c r="GQ17" s="47"/>
      <c r="GR17" s="47"/>
      <c r="GS17" s="47"/>
      <c r="GT17" s="47"/>
      <c r="GU17" s="47"/>
      <c r="GV17" s="47"/>
      <c r="GW17" s="47"/>
      <c r="GX17" s="47"/>
      <c r="GY17" s="47"/>
      <c r="GZ17" s="47"/>
      <c r="HA17" s="47"/>
      <c r="HB17" s="47"/>
      <c r="HC17" s="47"/>
      <c r="HD17" s="47"/>
      <c r="HE17" s="47"/>
      <c r="HF17" s="47"/>
      <c r="HG17" s="47"/>
      <c r="HH17" s="47"/>
      <c r="HI17" s="47"/>
      <c r="HJ17" s="47"/>
      <c r="HK17" s="47"/>
      <c r="HL17" s="47"/>
      <c r="HM17" s="47"/>
      <c r="HN17" s="47"/>
      <c r="HO17" s="47"/>
      <c r="HP17" s="47"/>
      <c r="HQ17" s="47"/>
      <c r="HR17" s="47"/>
      <c r="HS17" s="47"/>
      <c r="HT17" s="47"/>
      <c r="HU17" s="47"/>
      <c r="HV17" s="47"/>
      <c r="HW17" s="47"/>
      <c r="HX17" s="47"/>
      <c r="HY17" s="47"/>
      <c r="HZ17" s="47"/>
      <c r="IA17" s="47"/>
      <c r="IB17" s="47"/>
      <c r="IC17" s="47"/>
      <c r="ID17" s="47"/>
      <c r="IE17" s="47"/>
      <c r="IF17" s="47"/>
      <c r="IG17" s="47"/>
      <c r="IH17" s="47"/>
      <c r="II17" s="47"/>
      <c r="IJ17" s="47"/>
      <c r="IK17" s="47"/>
      <c r="IL17" s="47"/>
      <c r="IM17" s="47"/>
      <c r="IN17" s="47"/>
      <c r="IO17" s="47"/>
      <c r="IP17" s="47"/>
      <c r="IQ17" s="47"/>
      <c r="IR17" s="47"/>
      <c r="IS17" s="47"/>
      <c r="IT17" s="47"/>
      <c r="IU17" s="47"/>
      <c r="IV17" s="47"/>
      <c r="IW17" s="47"/>
      <c r="IX17" s="47"/>
      <c r="IY17" s="47"/>
      <c r="IZ17" s="47"/>
      <c r="JA17" s="47"/>
      <c r="JB17" s="47"/>
      <c r="JC17" s="47"/>
      <c r="JD17" s="47"/>
      <c r="JE17" s="47"/>
      <c r="JF17" s="47"/>
      <c r="JG17" s="47"/>
      <c r="JH17" s="47"/>
      <c r="JI17" s="47"/>
      <c r="JJ17" s="47"/>
      <c r="JK17" s="47"/>
      <c r="JL17" s="47"/>
      <c r="JM17" s="47"/>
      <c r="JN17" s="47"/>
      <c r="JO17" s="47"/>
      <c r="JP17" s="47"/>
      <c r="JQ17" s="47"/>
      <c r="JR17" s="47"/>
      <c r="JS17" s="47"/>
      <c r="JT17" s="47"/>
      <c r="JU17" s="47"/>
      <c r="JV17" s="47"/>
      <c r="JW17" s="47"/>
      <c r="JX17" s="47"/>
      <c r="JY17" s="47"/>
      <c r="JZ17" s="47"/>
      <c r="KA17" s="47"/>
      <c r="KB17" s="47"/>
      <c r="KC17" s="47"/>
      <c r="KD17" s="47"/>
      <c r="KE17" s="47"/>
      <c r="KF17" s="47"/>
      <c r="KG17" s="47"/>
      <c r="KH17" s="47"/>
      <c r="KI17" s="47"/>
      <c r="KJ17" s="47"/>
      <c r="KK17" s="47"/>
      <c r="KL17" s="47"/>
      <c r="KM17" s="47"/>
      <c r="KN17" s="47"/>
      <c r="KO17" s="47"/>
      <c r="KP17" s="47"/>
      <c r="KQ17" s="47"/>
      <c r="KR17" s="47"/>
      <c r="KS17" s="47"/>
      <c r="KT17" s="47"/>
      <c r="KU17" s="47"/>
      <c r="KV17" s="47"/>
      <c r="KW17" s="47"/>
      <c r="KX17" s="47"/>
      <c r="KY17" s="47"/>
      <c r="KZ17" s="47"/>
      <c r="LA17" s="47"/>
      <c r="LB17" s="47"/>
      <c r="LC17" s="47"/>
      <c r="LD17" s="47"/>
      <c r="LE17" s="47"/>
      <c r="LF17" s="47"/>
      <c r="LG17" s="47"/>
      <c r="LH17" s="47"/>
      <c r="LI17" s="47"/>
      <c r="LJ17" s="47"/>
      <c r="LK17" s="47"/>
      <c r="LL17" s="47"/>
      <c r="LM17" s="47"/>
      <c r="LN17" s="47"/>
      <c r="LO17" s="47"/>
      <c r="LP17" s="47"/>
      <c r="LQ17" s="47"/>
      <c r="LR17" s="47"/>
      <c r="LS17" s="47"/>
      <c r="LT17" s="47"/>
      <c r="LU17" s="47"/>
      <c r="LV17" s="47"/>
      <c r="LW17" s="47"/>
      <c r="LX17" s="47"/>
      <c r="LY17" s="47"/>
      <c r="LZ17" s="47"/>
      <c r="MA17" s="47"/>
      <c r="MB17" s="47"/>
      <c r="MC17" s="47"/>
      <c r="MD17" s="47"/>
      <c r="ME17" s="47"/>
      <c r="MF17" s="47"/>
      <c r="MG17" s="47"/>
      <c r="MH17" s="47"/>
      <c r="MI17" s="47"/>
      <c r="MJ17" s="47"/>
      <c r="MK17" s="47"/>
      <c r="ML17" s="47"/>
      <c r="MM17" s="47"/>
      <c r="MN17" s="47"/>
      <c r="MO17" s="47"/>
      <c r="MP17" s="47"/>
      <c r="MQ17" s="47"/>
      <c r="MR17" s="47"/>
      <c r="MS17" s="47"/>
      <c r="MT17" s="47"/>
      <c r="MU17" s="47"/>
      <c r="MV17" s="47"/>
      <c r="MW17" s="47"/>
      <c r="MX17" s="47"/>
      <c r="MY17" s="47"/>
      <c r="MZ17" s="47"/>
      <c r="NA17" s="47"/>
      <c r="NB17" s="47"/>
      <c r="NC17" s="47"/>
      <c r="ND17" s="47"/>
      <c r="NE17" s="47"/>
      <c r="NF17" s="47"/>
      <c r="NG17" s="47"/>
      <c r="NH17" s="47"/>
      <c r="NI17" s="47"/>
      <c r="NJ17" s="47"/>
      <c r="NK17" s="47"/>
      <c r="NL17" s="47"/>
      <c r="NM17" s="47"/>
      <c r="NN17" s="47"/>
      <c r="NO17" s="47"/>
      <c r="NP17" s="47"/>
      <c r="NQ17" s="47"/>
      <c r="NR17" s="47"/>
      <c r="NS17" s="47"/>
      <c r="NT17" s="47"/>
      <c r="NU17" s="47"/>
      <c r="NV17" s="47"/>
      <c r="NW17" s="47"/>
      <c r="NX17" s="47"/>
      <c r="NY17" s="47"/>
      <c r="NZ17" s="47"/>
      <c r="OA17" s="47"/>
      <c r="OB17" s="47"/>
      <c r="OC17" s="47"/>
      <c r="OD17" s="47"/>
      <c r="OE17" s="48"/>
    </row>
    <row r="18" spans="1:395">
      <c r="A18" s="33" t="str">
        <f t="shared" si="18"/>
        <v/>
      </c>
      <c r="C18" s="2" t="str">
        <f>IF(ISBLANK($B18),"",_xlfn.XLOOKUP($B18,Task_No,Project!$C$3:$C$144,"INVALID TASK"))</f>
        <v/>
      </c>
      <c r="D18" s="27"/>
      <c r="F18" s="7" t="str">
        <f t="shared" si="17"/>
        <v/>
      </c>
      <c r="G18" s="34"/>
      <c r="H18" s="34" t="str" cm="1">
        <f t="array" ref="H18">IF($C18="","",SUMPRODUCT((TEXT($AE$5:$OE$5, "mmm")=LOWER(G$3))*$AE18:$OE18))</f>
        <v/>
      </c>
      <c r="I18" s="34"/>
      <c r="J18" s="34" t="str" cm="1">
        <f t="array" ref="J18">IF($C18="","",SUMPRODUCT((TEXT($AE$5:$OE$5, "mmm")=LOWER(I$3))*$AE18:$OE18))</f>
        <v/>
      </c>
      <c r="K18" s="34"/>
      <c r="L18" s="34" t="str" cm="1">
        <f t="array" ref="L18">IF($C18="","",SUMPRODUCT((TEXT($AE$5:$OE$5, "mmm")=LOWER(K$3))*$AE18:$OE18))</f>
        <v/>
      </c>
      <c r="M18" s="34"/>
      <c r="N18" s="34" t="str" cm="1">
        <f t="array" ref="N18">IF($C18="","",SUMPRODUCT((TEXT($AE$5:$OE$5, "mmm")=LOWER(M$3))*$AE18:$OE18))</f>
        <v/>
      </c>
      <c r="O18" s="34"/>
      <c r="P18" s="34" t="str" cm="1">
        <f t="array" ref="P18">IF($C18="","",SUMPRODUCT((TEXT($AE$5:$OE$5, "mmm")=LOWER(O$3))*$AE18:$OE18))</f>
        <v/>
      </c>
      <c r="Q18" s="34"/>
      <c r="R18" s="34" t="str" cm="1">
        <f t="array" ref="R18">IF($C18="","",SUMPRODUCT((TEXT($AE$5:$OE$5, "mmm")=LOWER(Q$3))*$AE18:$OE18))</f>
        <v/>
      </c>
      <c r="S18" s="34"/>
      <c r="T18" s="34" t="str" cm="1">
        <f t="array" ref="T18">IF($C18="","",SUMPRODUCT((TEXT($AE$5:$OE$5, "mmm")=LOWER(S$3))*$AE18:$OE18))</f>
        <v/>
      </c>
      <c r="U18" s="34"/>
      <c r="V18" s="34" t="str" cm="1">
        <f t="array" ref="V18">IF($C18="","",SUMPRODUCT((TEXT($AE$5:$OE$5, "mmm")=LOWER(U$3))*$AE18:$OE18))</f>
        <v/>
      </c>
      <c r="W18" s="34"/>
      <c r="X18" s="34" t="str" cm="1">
        <f t="array" ref="X18">IF($C18="","",SUMPRODUCT((TEXT($AE$5:$OE$5, "mmm")=LOWER(W$3))*$AE18:$OE18))</f>
        <v/>
      </c>
      <c r="Y18" s="34"/>
      <c r="Z18" s="34" t="str" cm="1">
        <f t="array" ref="Z18">IF($C18="","",SUMPRODUCT((TEXT($AE$5:$OE$5, "mmm")=LOWER(Y$3))*$AE18:$OE18))</f>
        <v/>
      </c>
      <c r="AA18" s="34"/>
      <c r="AB18" s="34" t="str" cm="1">
        <f t="array" ref="AB18">IF($C18="","",SUMPRODUCT((TEXT($AE$5:$OE$5, "mmm")=LOWER(AA$3))*$AE18:$OE18))</f>
        <v/>
      </c>
      <c r="AC18" s="34"/>
      <c r="AD18" s="34" t="str" cm="1">
        <f t="array" ref="AD18">IF($C18="","",SUMPRODUCT((TEXT($AE$5:$OE$5, "mmm")=LOWER(AC$3))*$AE18:$OE18))</f>
        <v/>
      </c>
      <c r="AE18" s="47"/>
      <c r="AF18" s="47"/>
      <c r="AG18" s="47"/>
      <c r="AH18" s="47"/>
      <c r="AI18" s="47"/>
      <c r="AJ18" s="47"/>
      <c r="AK18" s="47"/>
      <c r="AL18" s="47"/>
      <c r="AM18" s="47"/>
      <c r="AN18" s="47"/>
      <c r="AO18" s="47"/>
      <c r="AP18" s="47"/>
      <c r="AQ18" s="47"/>
      <c r="AR18" s="47"/>
      <c r="AS18" s="47"/>
      <c r="AT18" s="47"/>
      <c r="AU18" s="47"/>
      <c r="AV18" s="47"/>
      <c r="AW18" s="47"/>
      <c r="AX18" s="47"/>
      <c r="AY18" s="47"/>
      <c r="AZ18" s="47"/>
      <c r="BA18" s="47"/>
      <c r="BB18" s="47"/>
      <c r="BC18" s="47"/>
      <c r="BD18" s="47"/>
      <c r="BE18" s="47"/>
      <c r="BF18" s="47"/>
      <c r="BG18" s="47"/>
      <c r="BH18" s="47"/>
      <c r="BI18" s="47"/>
      <c r="BJ18" s="47"/>
      <c r="BK18" s="47"/>
      <c r="BL18" s="47"/>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47"/>
      <c r="CR18" s="47"/>
      <c r="CS18" s="47"/>
      <c r="CT18" s="47"/>
      <c r="CU18" s="47"/>
      <c r="CV18" s="47"/>
      <c r="CW18" s="47"/>
      <c r="CX18" s="47"/>
      <c r="CY18" s="47"/>
      <c r="CZ18" s="47"/>
      <c r="DA18" s="47"/>
      <c r="DB18" s="47"/>
      <c r="DC18" s="47"/>
      <c r="DD18" s="47"/>
      <c r="DE18" s="47"/>
      <c r="DF18" s="47"/>
      <c r="DG18" s="47"/>
      <c r="DH18" s="47"/>
      <c r="DI18" s="47"/>
      <c r="DJ18" s="47"/>
      <c r="DK18" s="47"/>
      <c r="DL18" s="47"/>
      <c r="DM18" s="47"/>
      <c r="DN18" s="47"/>
      <c r="DO18" s="47"/>
      <c r="DP18" s="47"/>
      <c r="DQ18" s="47"/>
      <c r="DR18" s="47"/>
      <c r="DS18" s="47"/>
      <c r="DT18" s="47"/>
      <c r="DU18" s="47"/>
      <c r="DV18" s="47"/>
      <c r="DW18" s="47"/>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47"/>
      <c r="FB18" s="47"/>
      <c r="FC18" s="47"/>
      <c r="FD18" s="47"/>
      <c r="FE18" s="47"/>
      <c r="FF18" s="47"/>
      <c r="FG18" s="47"/>
      <c r="FH18" s="47"/>
      <c r="FI18" s="47"/>
      <c r="FJ18" s="47"/>
      <c r="FK18" s="47"/>
      <c r="FL18" s="47"/>
      <c r="FM18" s="47"/>
      <c r="FN18" s="47"/>
      <c r="FO18" s="47"/>
      <c r="FP18" s="47"/>
      <c r="FQ18" s="47"/>
      <c r="FR18" s="47"/>
      <c r="FS18" s="47"/>
      <c r="FT18" s="47"/>
      <c r="FU18" s="47"/>
      <c r="FV18" s="47"/>
      <c r="FW18" s="47"/>
      <c r="FX18" s="47"/>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HZ18" s="47"/>
      <c r="IA18" s="47"/>
      <c r="IB18" s="47"/>
      <c r="IC18" s="47"/>
      <c r="ID18" s="47"/>
      <c r="IE18" s="47"/>
      <c r="IF18" s="47"/>
      <c r="IG18" s="47"/>
      <c r="IH18" s="47"/>
      <c r="II18" s="47"/>
      <c r="IJ18" s="47"/>
      <c r="IK18" s="47"/>
      <c r="IL18" s="47"/>
      <c r="IM18" s="47"/>
      <c r="IN18" s="47"/>
      <c r="IO18" s="47"/>
      <c r="IP18" s="47"/>
      <c r="IQ18" s="47"/>
      <c r="IR18" s="47"/>
      <c r="IS18" s="47"/>
      <c r="IT18" s="47"/>
      <c r="IU18" s="47"/>
      <c r="IV18" s="47"/>
      <c r="IW18" s="47"/>
      <c r="IX18" s="47"/>
      <c r="IY18" s="47"/>
      <c r="IZ18" s="47"/>
      <c r="JA18" s="47"/>
      <c r="JB18" s="47"/>
      <c r="JC18" s="47"/>
      <c r="JD18" s="47"/>
      <c r="JE18" s="47"/>
      <c r="JF18" s="47"/>
      <c r="JG18" s="47"/>
      <c r="JH18" s="47"/>
      <c r="JI18" s="47"/>
      <c r="JJ18" s="47"/>
      <c r="JK18" s="47"/>
      <c r="JL18" s="47"/>
      <c r="JM18" s="47"/>
      <c r="JN18" s="47"/>
      <c r="JO18" s="47"/>
      <c r="JP18" s="47"/>
      <c r="JQ18" s="47"/>
      <c r="JR18" s="47"/>
      <c r="JS18" s="47"/>
      <c r="JT18" s="47"/>
      <c r="JU18" s="47"/>
      <c r="JV18" s="47"/>
      <c r="JW18" s="47"/>
      <c r="JX18" s="47"/>
      <c r="JY18" s="47"/>
      <c r="JZ18" s="47"/>
      <c r="KA18" s="47"/>
      <c r="KB18" s="47"/>
      <c r="KC18" s="47"/>
      <c r="KD18" s="47"/>
      <c r="KE18" s="47"/>
      <c r="KF18" s="47"/>
      <c r="KG18" s="47"/>
      <c r="KH18" s="47"/>
      <c r="KI18" s="47"/>
      <c r="KJ18" s="47"/>
      <c r="KK18" s="47"/>
      <c r="KL18" s="47"/>
      <c r="KM18" s="47"/>
      <c r="KN18" s="47"/>
      <c r="KO18" s="47"/>
      <c r="KP18" s="47"/>
      <c r="KQ18" s="47"/>
      <c r="KR18" s="47"/>
      <c r="KS18" s="47"/>
      <c r="KT18" s="47"/>
      <c r="KU18" s="47"/>
      <c r="KV18" s="47"/>
      <c r="KW18" s="47"/>
      <c r="KX18" s="47"/>
      <c r="KY18" s="47"/>
      <c r="KZ18" s="47"/>
      <c r="LA18" s="47"/>
      <c r="LB18" s="47"/>
      <c r="LC18" s="47"/>
      <c r="LD18" s="47"/>
      <c r="LE18" s="47"/>
      <c r="LF18" s="47"/>
      <c r="LG18" s="47"/>
      <c r="LH18" s="47"/>
      <c r="LI18" s="47"/>
      <c r="LJ18" s="47"/>
      <c r="LK18" s="47"/>
      <c r="LL18" s="47"/>
      <c r="LM18" s="47"/>
      <c r="LN18" s="47"/>
      <c r="LO18" s="47"/>
      <c r="LP18" s="47"/>
      <c r="LQ18" s="47"/>
      <c r="LR18" s="47"/>
      <c r="LS18" s="47"/>
      <c r="LT18" s="47"/>
      <c r="LU18" s="47"/>
      <c r="LV18" s="47"/>
      <c r="LW18" s="47"/>
      <c r="LX18" s="47"/>
      <c r="LY18" s="47"/>
      <c r="LZ18" s="47"/>
      <c r="MA18" s="47"/>
      <c r="MB18" s="47"/>
      <c r="MC18" s="47"/>
      <c r="MD18" s="47"/>
      <c r="ME18" s="47"/>
      <c r="MF18" s="47"/>
      <c r="MG18" s="47"/>
      <c r="MH18" s="47"/>
      <c r="MI18" s="47"/>
      <c r="MJ18" s="47"/>
      <c r="MK18" s="47"/>
      <c r="ML18" s="47"/>
      <c r="MM18" s="47"/>
      <c r="MN18" s="47"/>
      <c r="MO18" s="47"/>
      <c r="MP18" s="47"/>
      <c r="MQ18" s="47"/>
      <c r="MR18" s="47"/>
      <c r="MS18" s="47"/>
      <c r="MT18" s="47"/>
      <c r="MU18" s="47"/>
      <c r="MV18" s="47"/>
      <c r="MW18" s="47"/>
      <c r="MX18" s="47"/>
      <c r="MY18" s="47"/>
      <c r="MZ18" s="47"/>
      <c r="NA18" s="47"/>
      <c r="NB18" s="47"/>
      <c r="NC18" s="47"/>
      <c r="ND18" s="47"/>
      <c r="NE18" s="47"/>
      <c r="NF18" s="47"/>
      <c r="NG18" s="47"/>
      <c r="NH18" s="47"/>
      <c r="NI18" s="47"/>
      <c r="NJ18" s="47"/>
      <c r="NK18" s="47"/>
      <c r="NL18" s="47"/>
      <c r="NM18" s="47"/>
      <c r="NN18" s="47"/>
      <c r="NO18" s="47"/>
      <c r="NP18" s="47"/>
      <c r="NQ18" s="47"/>
      <c r="NR18" s="47"/>
      <c r="NS18" s="47"/>
      <c r="NT18" s="47"/>
      <c r="NU18" s="47"/>
      <c r="NV18" s="47"/>
      <c r="NW18" s="47"/>
      <c r="NX18" s="47"/>
      <c r="NY18" s="47"/>
      <c r="NZ18" s="47"/>
      <c r="OA18" s="47"/>
      <c r="OB18" s="47"/>
      <c r="OC18" s="47"/>
      <c r="OD18" s="47"/>
      <c r="OE18" s="48"/>
    </row>
    <row r="19" spans="1:395">
      <c r="A19" s="33" t="str">
        <f t="shared" si="18"/>
        <v/>
      </c>
      <c r="C19" s="2" t="str">
        <f>IF(ISBLANK($B19),"",_xlfn.XLOOKUP($B19,Task_No,Project!$C$3:$C$144,"INVALID TASK"))</f>
        <v/>
      </c>
      <c r="D19" s="27"/>
      <c r="E19" s="7" t="str">
        <f t="shared" ref="E19:E82" si="19">IF(C19="","",SUM($G19,$I19,$K19,$M19,$O19,$Q19,$S19,$U19,$W19,$Y19,$AA19,$AC19))</f>
        <v/>
      </c>
      <c r="F19" s="7" t="str">
        <f t="shared" si="17"/>
        <v/>
      </c>
      <c r="G19" s="34"/>
      <c r="H19" s="34" t="str" cm="1">
        <f t="array" ref="H19">IF($C19="","",SUMPRODUCT((TEXT($AE$5:$OE$5, "mmm")=LOWER(G$3))*$AE19:$OE19))</f>
        <v/>
      </c>
      <c r="I19" s="34"/>
      <c r="J19" s="34" t="str" cm="1">
        <f t="array" ref="J19">IF($C19="","",SUMPRODUCT((TEXT($AE$5:$OE$5, "mmm")=LOWER(I$3))*$AE19:$OE19))</f>
        <v/>
      </c>
      <c r="K19" s="34"/>
      <c r="L19" s="34" t="str" cm="1">
        <f t="array" ref="L19">IF($C19="","",SUMPRODUCT((TEXT($AE$5:$OE$5, "mmm")=LOWER(K$3))*$AE19:$OE19))</f>
        <v/>
      </c>
      <c r="M19" s="34"/>
      <c r="N19" s="34" t="str" cm="1">
        <f t="array" ref="N19">IF($C19="","",SUMPRODUCT((TEXT($AE$5:$OE$5, "mmm")=LOWER(M$3))*$AE19:$OE19))</f>
        <v/>
      </c>
      <c r="O19" s="34"/>
      <c r="P19" s="34" t="str" cm="1">
        <f t="array" ref="P19">IF($C19="","",SUMPRODUCT((TEXT($AE$5:$OE$5, "mmm")=LOWER(O$3))*$AE19:$OE19))</f>
        <v/>
      </c>
      <c r="Q19" s="34"/>
      <c r="R19" s="34" t="str" cm="1">
        <f t="array" ref="R19">IF($C19="","",SUMPRODUCT((TEXT($AE$5:$OE$5, "mmm")=LOWER(Q$3))*$AE19:$OE19))</f>
        <v/>
      </c>
      <c r="S19" s="34"/>
      <c r="T19" s="34" t="str" cm="1">
        <f t="array" ref="T19">IF($C19="","",SUMPRODUCT((TEXT($AE$5:$OE$5, "mmm")=LOWER(S$3))*$AE19:$OE19))</f>
        <v/>
      </c>
      <c r="U19" s="34"/>
      <c r="V19" s="34" t="str" cm="1">
        <f t="array" ref="V19">IF($C19="","",SUMPRODUCT((TEXT($AE$5:$OE$5, "mmm")=LOWER(U$3))*$AE19:$OE19))</f>
        <v/>
      </c>
      <c r="W19" s="34"/>
      <c r="X19" s="34" t="str" cm="1">
        <f t="array" ref="X19">IF($C19="","",SUMPRODUCT((TEXT($AE$5:$OE$5, "mmm")=LOWER(W$3))*$AE19:$OE19))</f>
        <v/>
      </c>
      <c r="Y19" s="34"/>
      <c r="Z19" s="34" t="str" cm="1">
        <f t="array" ref="Z19">IF($C19="","",SUMPRODUCT((TEXT($AE$5:$OE$5, "mmm")=LOWER(Y$3))*$AE19:$OE19))</f>
        <v/>
      </c>
      <c r="AA19" s="34"/>
      <c r="AB19" s="34" t="str" cm="1">
        <f t="array" ref="AB19">IF($C19="","",SUMPRODUCT((TEXT($AE$5:$OE$5, "mmm")=LOWER(AA$3))*$AE19:$OE19))</f>
        <v/>
      </c>
      <c r="AC19" s="34"/>
      <c r="AD19" s="34" t="str" cm="1">
        <f t="array" ref="AD19">IF($C19="","",SUMPRODUCT((TEXT($AE$5:$OE$5, "mmm")=LOWER(AC$3))*$AE19:$OE19))</f>
        <v/>
      </c>
      <c r="AE19" s="47"/>
      <c r="AF19" s="47"/>
      <c r="AG19" s="47"/>
      <c r="AH19" s="47"/>
      <c r="AI19" s="47"/>
      <c r="AJ19" s="47"/>
      <c r="AK19" s="47"/>
      <c r="AL19" s="47"/>
      <c r="AM19" s="47"/>
      <c r="AN19" s="47"/>
      <c r="AO19" s="47"/>
      <c r="AP19" s="47"/>
      <c r="AQ19" s="47"/>
      <c r="AR19" s="47"/>
      <c r="AS19" s="47"/>
      <c r="AT19" s="47"/>
      <c r="AU19" s="47"/>
      <c r="AV19" s="47"/>
      <c r="AW19" s="47"/>
      <c r="AX19" s="47"/>
      <c r="AY19" s="47"/>
      <c r="AZ19" s="47"/>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47"/>
      <c r="CR19" s="47"/>
      <c r="CS19" s="47"/>
      <c r="CT19" s="47"/>
      <c r="CU19" s="47"/>
      <c r="CV19" s="47"/>
      <c r="CW19" s="47"/>
      <c r="CX19" s="47"/>
      <c r="CY19" s="47"/>
      <c r="CZ19" s="47"/>
      <c r="DA19" s="47"/>
      <c r="DB19" s="47"/>
      <c r="DC19" s="47"/>
      <c r="DD19" s="47"/>
      <c r="DE19" s="47"/>
      <c r="DF19" s="47"/>
      <c r="DG19" s="47"/>
      <c r="DH19" s="47"/>
      <c r="DI19" s="47"/>
      <c r="DJ19" s="47"/>
      <c r="DK19" s="47"/>
      <c r="DL19" s="47"/>
      <c r="DM19" s="47"/>
      <c r="DN19" s="47"/>
      <c r="DO19" s="47"/>
      <c r="DP19" s="47"/>
      <c r="DQ19" s="47"/>
      <c r="DR19" s="47"/>
      <c r="DS19" s="47"/>
      <c r="DT19" s="47"/>
      <c r="DU19" s="47"/>
      <c r="DV19" s="47"/>
      <c r="DW19" s="47"/>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47"/>
      <c r="FB19" s="47"/>
      <c r="FC19" s="47"/>
      <c r="FD19" s="47"/>
      <c r="FE19" s="47"/>
      <c r="FF19" s="47"/>
      <c r="FG19" s="47"/>
      <c r="FH19" s="47"/>
      <c r="FI19" s="47"/>
      <c r="FJ19" s="47"/>
      <c r="FK19" s="47"/>
      <c r="FL19" s="47"/>
      <c r="FM19" s="47"/>
      <c r="FN19" s="47"/>
      <c r="FO19" s="47"/>
      <c r="FP19" s="47"/>
      <c r="FQ19" s="47"/>
      <c r="FR19" s="47"/>
      <c r="FS19" s="47"/>
      <c r="FT19" s="47"/>
      <c r="FU19" s="47"/>
      <c r="FV19" s="47"/>
      <c r="FW19" s="47"/>
      <c r="FX19" s="47"/>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HZ19" s="47"/>
      <c r="IA19" s="47"/>
      <c r="IB19" s="47"/>
      <c r="IC19" s="47"/>
      <c r="ID19" s="47"/>
      <c r="IE19" s="47"/>
      <c r="IF19" s="47"/>
      <c r="IG19" s="47"/>
      <c r="IH19" s="47"/>
      <c r="II19" s="47"/>
      <c r="IJ19" s="47"/>
      <c r="IK19" s="47"/>
      <c r="IL19" s="47"/>
      <c r="IM19" s="47"/>
      <c r="IN19" s="47"/>
      <c r="IO19" s="47"/>
      <c r="IP19" s="47"/>
      <c r="IQ19" s="47"/>
      <c r="IR19" s="47"/>
      <c r="IS19" s="47"/>
      <c r="IT19" s="47"/>
      <c r="IU19" s="47"/>
      <c r="IV19" s="47"/>
      <c r="IW19" s="47"/>
      <c r="IX19" s="47"/>
      <c r="IY19" s="47"/>
      <c r="IZ19" s="47"/>
      <c r="JA19" s="47"/>
      <c r="JB19" s="47"/>
      <c r="JC19" s="47"/>
      <c r="JD19" s="47"/>
      <c r="JE19" s="47"/>
      <c r="JF19" s="47"/>
      <c r="JG19" s="47"/>
      <c r="JH19" s="47"/>
      <c r="JI19" s="47"/>
      <c r="JJ19" s="47"/>
      <c r="JK19" s="47"/>
      <c r="JL19" s="47"/>
      <c r="JM19" s="47"/>
      <c r="JN19" s="47"/>
      <c r="JO19" s="47"/>
      <c r="JP19" s="47"/>
      <c r="JQ19" s="47"/>
      <c r="JR19" s="47"/>
      <c r="JS19" s="47"/>
      <c r="JT19" s="47"/>
      <c r="JU19" s="47"/>
      <c r="JV19" s="47"/>
      <c r="JW19" s="47"/>
      <c r="JX19" s="47"/>
      <c r="JY19" s="47"/>
      <c r="JZ19" s="47"/>
      <c r="KA19" s="47"/>
      <c r="KB19" s="47"/>
      <c r="KC19" s="47"/>
      <c r="KD19" s="47"/>
      <c r="KE19" s="47"/>
      <c r="KF19" s="47"/>
      <c r="KG19" s="47"/>
      <c r="KH19" s="47"/>
      <c r="KI19" s="47"/>
      <c r="KJ19" s="47"/>
      <c r="KK19" s="47"/>
      <c r="KL19" s="47"/>
      <c r="KM19" s="47"/>
      <c r="KN19" s="47"/>
      <c r="KO19" s="47"/>
      <c r="KP19" s="47"/>
      <c r="KQ19" s="47"/>
      <c r="KR19" s="47"/>
      <c r="KS19" s="47"/>
      <c r="KT19" s="47"/>
      <c r="KU19" s="47"/>
      <c r="KV19" s="47"/>
      <c r="KW19" s="47"/>
      <c r="KX19" s="47"/>
      <c r="KY19" s="47"/>
      <c r="KZ19" s="47"/>
      <c r="LA19" s="47"/>
      <c r="LB19" s="47"/>
      <c r="LC19" s="47"/>
      <c r="LD19" s="47"/>
      <c r="LE19" s="47"/>
      <c r="LF19" s="47"/>
      <c r="LG19" s="47"/>
      <c r="LH19" s="47"/>
      <c r="LI19" s="47"/>
      <c r="LJ19" s="47"/>
      <c r="LK19" s="47"/>
      <c r="LL19" s="47"/>
      <c r="LM19" s="47"/>
      <c r="LN19" s="47"/>
      <c r="LO19" s="47"/>
      <c r="LP19" s="47"/>
      <c r="LQ19" s="47"/>
      <c r="LR19" s="47"/>
      <c r="LS19" s="47"/>
      <c r="LT19" s="47"/>
      <c r="LU19" s="47"/>
      <c r="LV19" s="47"/>
      <c r="LW19" s="47"/>
      <c r="LX19" s="47"/>
      <c r="LY19" s="47"/>
      <c r="LZ19" s="47"/>
      <c r="MA19" s="47"/>
      <c r="MB19" s="47"/>
      <c r="MC19" s="47"/>
      <c r="MD19" s="47"/>
      <c r="ME19" s="47"/>
      <c r="MF19" s="47"/>
      <c r="MG19" s="47"/>
      <c r="MH19" s="47"/>
      <c r="MI19" s="47"/>
      <c r="MJ19" s="47"/>
      <c r="MK19" s="47"/>
      <c r="ML19" s="47"/>
      <c r="MM19" s="47"/>
      <c r="MN19" s="47"/>
      <c r="MO19" s="47"/>
      <c r="MP19" s="47"/>
      <c r="MQ19" s="47"/>
      <c r="MR19" s="47"/>
      <c r="MS19" s="47"/>
      <c r="MT19" s="47"/>
      <c r="MU19" s="47"/>
      <c r="MV19" s="47"/>
      <c r="MW19" s="47"/>
      <c r="MX19" s="47"/>
      <c r="MY19" s="47"/>
      <c r="MZ19" s="47"/>
      <c r="NA19" s="47"/>
      <c r="NB19" s="47"/>
      <c r="NC19" s="47"/>
      <c r="ND19" s="47"/>
      <c r="NE19" s="47"/>
      <c r="NF19" s="47"/>
      <c r="NG19" s="47"/>
      <c r="NH19" s="47"/>
      <c r="NI19" s="47"/>
      <c r="NJ19" s="47"/>
      <c r="NK19" s="47"/>
      <c r="NL19" s="47"/>
      <c r="NM19" s="47"/>
      <c r="NN19" s="47"/>
      <c r="NO19" s="47"/>
      <c r="NP19" s="47"/>
      <c r="NQ19" s="47"/>
      <c r="NR19" s="47"/>
      <c r="NS19" s="47"/>
      <c r="NT19" s="47"/>
      <c r="NU19" s="47"/>
      <c r="NV19" s="47"/>
      <c r="NW19" s="47"/>
      <c r="NX19" s="47"/>
      <c r="NY19" s="47"/>
      <c r="NZ19" s="47"/>
      <c r="OA19" s="47"/>
      <c r="OB19" s="47"/>
      <c r="OC19" s="47"/>
      <c r="OD19" s="47"/>
      <c r="OE19" s="48"/>
    </row>
    <row r="20" spans="1:395">
      <c r="A20" s="33" t="str">
        <f t="shared" si="18"/>
        <v/>
      </c>
      <c r="C20" s="2" t="str">
        <f>IF(ISBLANK($B20),"",_xlfn.XLOOKUP($B20,Task_No,Project!$C$3:$C$144,"INVALID TASK"))</f>
        <v/>
      </c>
      <c r="D20" s="27"/>
      <c r="E20" s="7" t="str">
        <f t="shared" si="19"/>
        <v/>
      </c>
      <c r="F20" s="7" t="str">
        <f t="shared" si="17"/>
        <v/>
      </c>
      <c r="G20" s="34"/>
      <c r="H20" s="34" t="str" cm="1">
        <f t="array" ref="H20">IF($C20="","",SUMPRODUCT((TEXT($AE$5:$OE$5, "mmm")=LOWER(G$3))*$AE20:$OE20))</f>
        <v/>
      </c>
      <c r="I20" s="34"/>
      <c r="J20" s="34" t="str" cm="1">
        <f t="array" ref="J20">IF($C20="","",SUMPRODUCT((TEXT($AE$5:$OE$5, "mmm")=LOWER(I$3))*$AE20:$OE20))</f>
        <v/>
      </c>
      <c r="K20" s="34"/>
      <c r="L20" s="34" t="str" cm="1">
        <f t="array" ref="L20">IF($C20="","",SUMPRODUCT((TEXT($AE$5:$OE$5, "mmm")=LOWER(K$3))*$AE20:$OE20))</f>
        <v/>
      </c>
      <c r="M20" s="34"/>
      <c r="N20" s="34" t="str" cm="1">
        <f t="array" ref="N20">IF($C20="","",SUMPRODUCT((TEXT($AE$5:$OE$5, "mmm")=LOWER(M$3))*$AE20:$OE20))</f>
        <v/>
      </c>
      <c r="O20" s="34"/>
      <c r="P20" s="34" t="str" cm="1">
        <f t="array" ref="P20">IF($C20="","",SUMPRODUCT((TEXT($AE$5:$OE$5, "mmm")=LOWER(O$3))*$AE20:$OE20))</f>
        <v/>
      </c>
      <c r="Q20" s="34"/>
      <c r="R20" s="34" t="str" cm="1">
        <f t="array" ref="R20">IF($C20="","",SUMPRODUCT((TEXT($AE$5:$OE$5, "mmm")=LOWER(Q$3))*$AE20:$OE20))</f>
        <v/>
      </c>
      <c r="S20" s="34"/>
      <c r="T20" s="34" t="str" cm="1">
        <f t="array" ref="T20">IF($C20="","",SUMPRODUCT((TEXT($AE$5:$OE$5, "mmm")=LOWER(S$3))*$AE20:$OE20))</f>
        <v/>
      </c>
      <c r="U20" s="34"/>
      <c r="V20" s="34" t="str" cm="1">
        <f t="array" ref="V20">IF($C20="","",SUMPRODUCT((TEXT($AE$5:$OE$5, "mmm")=LOWER(U$3))*$AE20:$OE20))</f>
        <v/>
      </c>
      <c r="W20" s="34"/>
      <c r="X20" s="34" t="str" cm="1">
        <f t="array" ref="X20">IF($C20="","",SUMPRODUCT((TEXT($AE$5:$OE$5, "mmm")=LOWER(W$3))*$AE20:$OE20))</f>
        <v/>
      </c>
      <c r="Y20" s="34"/>
      <c r="Z20" s="34" t="str" cm="1">
        <f t="array" ref="Z20">IF($C20="","",SUMPRODUCT((TEXT($AE$5:$OE$5, "mmm")=LOWER(Y$3))*$AE20:$OE20))</f>
        <v/>
      </c>
      <c r="AA20" s="34"/>
      <c r="AB20" s="34" t="str" cm="1">
        <f t="array" ref="AB20">IF($C20="","",SUMPRODUCT((TEXT($AE$5:$OE$5, "mmm")=LOWER(AA$3))*$AE20:$OE20))</f>
        <v/>
      </c>
      <c r="AC20" s="34"/>
      <c r="AD20" s="34" t="str" cm="1">
        <f t="array" ref="AD20">IF($C20="","",SUMPRODUCT((TEXT($AE$5:$OE$5, "mmm")=LOWER(AC$3))*$AE20:$OE20))</f>
        <v/>
      </c>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47"/>
      <c r="CR20" s="47"/>
      <c r="CS20" s="47"/>
      <c r="CT20" s="47"/>
      <c r="CU20" s="47"/>
      <c r="CV20" s="47"/>
      <c r="CW20" s="47"/>
      <c r="CX20" s="47"/>
      <c r="CY20" s="47"/>
      <c r="CZ20" s="47"/>
      <c r="DA20" s="47"/>
      <c r="DB20" s="47"/>
      <c r="DC20" s="47"/>
      <c r="DD20" s="47"/>
      <c r="DE20" s="47"/>
      <c r="DF20" s="47"/>
      <c r="DG20" s="47"/>
      <c r="DH20" s="47"/>
      <c r="DI20" s="47"/>
      <c r="DJ20" s="47"/>
      <c r="DK20" s="47"/>
      <c r="DL20" s="47"/>
      <c r="DM20" s="47"/>
      <c r="DN20" s="47"/>
      <c r="DO20" s="47"/>
      <c r="DP20" s="47"/>
      <c r="DQ20" s="47"/>
      <c r="DR20" s="47"/>
      <c r="DS20" s="47"/>
      <c r="DT20" s="47"/>
      <c r="DU20" s="47"/>
      <c r="DV20" s="47"/>
      <c r="DW20" s="47"/>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47"/>
      <c r="FB20" s="47"/>
      <c r="FC20" s="47"/>
      <c r="FD20" s="47"/>
      <c r="FE20" s="47"/>
      <c r="FF20" s="47"/>
      <c r="FG20" s="47"/>
      <c r="FH20" s="47"/>
      <c r="FI20" s="47"/>
      <c r="FJ20" s="47"/>
      <c r="FK20" s="47"/>
      <c r="FL20" s="47"/>
      <c r="FM20" s="47"/>
      <c r="FN20" s="47"/>
      <c r="FO20" s="47"/>
      <c r="FP20" s="47"/>
      <c r="FQ20" s="47"/>
      <c r="FR20" s="47"/>
      <c r="FS20" s="47"/>
      <c r="FT20" s="47"/>
      <c r="FU20" s="47"/>
      <c r="FV20" s="47"/>
      <c r="FW20" s="47"/>
      <c r="FX20" s="47"/>
      <c r="FY20" s="47"/>
      <c r="FZ20" s="47"/>
      <c r="GA20" s="47"/>
      <c r="GB20" s="47"/>
      <c r="GC20" s="47"/>
      <c r="GD20" s="47"/>
      <c r="GE20" s="47"/>
      <c r="GF20" s="47"/>
      <c r="GG20" s="47"/>
      <c r="GH20" s="47"/>
      <c r="GI20" s="47"/>
      <c r="GJ20" s="47"/>
      <c r="GK20" s="47"/>
      <c r="GL20" s="47"/>
      <c r="GM20" s="47"/>
      <c r="GN20" s="47"/>
      <c r="GO20" s="47"/>
      <c r="GP20" s="47"/>
      <c r="GQ20" s="47"/>
      <c r="GR20" s="47"/>
      <c r="GS20" s="47"/>
      <c r="GT20" s="47"/>
      <c r="GU20" s="47"/>
      <c r="GV20" s="47"/>
      <c r="GW20" s="47"/>
      <c r="GX20" s="47"/>
      <c r="GY20" s="47"/>
      <c r="GZ20" s="47"/>
      <c r="HA20" s="47"/>
      <c r="HB20" s="47"/>
      <c r="HC20" s="47"/>
      <c r="HD20" s="47"/>
      <c r="HE20" s="47"/>
      <c r="HF20" s="47"/>
      <c r="HG20" s="47"/>
      <c r="HH20" s="47"/>
      <c r="HI20" s="47"/>
      <c r="HJ20" s="47"/>
      <c r="HK20" s="47"/>
      <c r="HL20" s="47"/>
      <c r="HM20" s="47"/>
      <c r="HN20" s="47"/>
      <c r="HO20" s="47"/>
      <c r="HP20" s="47"/>
      <c r="HQ20" s="47"/>
      <c r="HR20" s="47"/>
      <c r="HS20" s="47"/>
      <c r="HT20" s="47"/>
      <c r="HU20" s="47"/>
      <c r="HV20" s="47"/>
      <c r="HW20" s="47"/>
      <c r="HX20" s="47"/>
      <c r="HY20" s="47"/>
      <c r="HZ20" s="47"/>
      <c r="IA20" s="47"/>
      <c r="IB20" s="47"/>
      <c r="IC20" s="47"/>
      <c r="ID20" s="47"/>
      <c r="IE20" s="47"/>
      <c r="IF20" s="47"/>
      <c r="IG20" s="47"/>
      <c r="IH20" s="47"/>
      <c r="II20" s="47"/>
      <c r="IJ20" s="47"/>
      <c r="IK20" s="47"/>
      <c r="IL20" s="47"/>
      <c r="IM20" s="47"/>
      <c r="IN20" s="47"/>
      <c r="IO20" s="47"/>
      <c r="IP20" s="47"/>
      <c r="IQ20" s="47"/>
      <c r="IR20" s="47"/>
      <c r="IS20" s="47"/>
      <c r="IT20" s="47"/>
      <c r="IU20" s="47"/>
      <c r="IV20" s="47"/>
      <c r="IW20" s="47"/>
      <c r="IX20" s="47"/>
      <c r="IY20" s="47"/>
      <c r="IZ20" s="47"/>
      <c r="JA20" s="47"/>
      <c r="JB20" s="47"/>
      <c r="JC20" s="47"/>
      <c r="JD20" s="47"/>
      <c r="JE20" s="47"/>
      <c r="JF20" s="47"/>
      <c r="JG20" s="47"/>
      <c r="JH20" s="47"/>
      <c r="JI20" s="47"/>
      <c r="JJ20" s="47"/>
      <c r="JK20" s="47"/>
      <c r="JL20" s="47"/>
      <c r="JM20" s="47"/>
      <c r="JN20" s="47"/>
      <c r="JO20" s="47"/>
      <c r="JP20" s="47"/>
      <c r="JQ20" s="47"/>
      <c r="JR20" s="47"/>
      <c r="JS20" s="47"/>
      <c r="JT20" s="47"/>
      <c r="JU20" s="47"/>
      <c r="JV20" s="47"/>
      <c r="JW20" s="47"/>
      <c r="JX20" s="47"/>
      <c r="JY20" s="47"/>
      <c r="JZ20" s="47"/>
      <c r="KA20" s="47"/>
      <c r="KB20" s="47"/>
      <c r="KC20" s="47"/>
      <c r="KD20" s="47"/>
      <c r="KE20" s="47"/>
      <c r="KF20" s="47"/>
      <c r="KG20" s="47"/>
      <c r="KH20" s="47"/>
      <c r="KI20" s="47"/>
      <c r="KJ20" s="47"/>
      <c r="KK20" s="47"/>
      <c r="KL20" s="47"/>
      <c r="KM20" s="47"/>
      <c r="KN20" s="47"/>
      <c r="KO20" s="47"/>
      <c r="KP20" s="47"/>
      <c r="KQ20" s="47"/>
      <c r="KR20" s="47"/>
      <c r="KS20" s="47"/>
      <c r="KT20" s="47"/>
      <c r="KU20" s="47"/>
      <c r="KV20" s="47"/>
      <c r="KW20" s="47"/>
      <c r="KX20" s="47"/>
      <c r="KY20" s="47"/>
      <c r="KZ20" s="47"/>
      <c r="LA20" s="47"/>
      <c r="LB20" s="47"/>
      <c r="LC20" s="47"/>
      <c r="LD20" s="47"/>
      <c r="LE20" s="47"/>
      <c r="LF20" s="47"/>
      <c r="LG20" s="47"/>
      <c r="LH20" s="47"/>
      <c r="LI20" s="47"/>
      <c r="LJ20" s="47"/>
      <c r="LK20" s="47"/>
      <c r="LL20" s="47"/>
      <c r="LM20" s="47"/>
      <c r="LN20" s="47"/>
      <c r="LO20" s="47"/>
      <c r="LP20" s="47"/>
      <c r="LQ20" s="47"/>
      <c r="LR20" s="47"/>
      <c r="LS20" s="47"/>
      <c r="LT20" s="47"/>
      <c r="LU20" s="47"/>
      <c r="LV20" s="47"/>
      <c r="LW20" s="47"/>
      <c r="LX20" s="47"/>
      <c r="LY20" s="47"/>
      <c r="LZ20" s="47"/>
      <c r="MA20" s="47"/>
      <c r="MB20" s="47"/>
      <c r="MC20" s="47"/>
      <c r="MD20" s="47"/>
      <c r="ME20" s="47"/>
      <c r="MF20" s="47"/>
      <c r="MG20" s="47"/>
      <c r="MH20" s="47"/>
      <c r="MI20" s="47"/>
      <c r="MJ20" s="47"/>
      <c r="MK20" s="47"/>
      <c r="ML20" s="47"/>
      <c r="MM20" s="47"/>
      <c r="MN20" s="47"/>
      <c r="MO20" s="47"/>
      <c r="MP20" s="47"/>
      <c r="MQ20" s="47"/>
      <c r="MR20" s="47"/>
      <c r="MS20" s="47"/>
      <c r="MT20" s="47"/>
      <c r="MU20" s="47"/>
      <c r="MV20" s="47"/>
      <c r="MW20" s="47"/>
      <c r="MX20" s="47"/>
      <c r="MY20" s="47"/>
      <c r="MZ20" s="47"/>
      <c r="NA20" s="47"/>
      <c r="NB20" s="47"/>
      <c r="NC20" s="47"/>
      <c r="ND20" s="47"/>
      <c r="NE20" s="47"/>
      <c r="NF20" s="47"/>
      <c r="NG20" s="47"/>
      <c r="NH20" s="47"/>
      <c r="NI20" s="47"/>
      <c r="NJ20" s="47"/>
      <c r="NK20" s="47"/>
      <c r="NL20" s="47"/>
      <c r="NM20" s="47"/>
      <c r="NN20" s="47"/>
      <c r="NO20" s="47"/>
      <c r="NP20" s="47"/>
      <c r="NQ20" s="47"/>
      <c r="NR20" s="47"/>
      <c r="NS20" s="47"/>
      <c r="NT20" s="47"/>
      <c r="NU20" s="47"/>
      <c r="NV20" s="47"/>
      <c r="NW20" s="47"/>
      <c r="NX20" s="47"/>
      <c r="NY20" s="47"/>
      <c r="NZ20" s="47"/>
      <c r="OA20" s="47"/>
      <c r="OB20" s="47"/>
      <c r="OC20" s="47"/>
      <c r="OD20" s="47"/>
      <c r="OE20" s="48"/>
    </row>
    <row r="21" spans="1:395">
      <c r="A21" s="33" t="str">
        <f t="shared" si="18"/>
        <v/>
      </c>
      <c r="C21" s="2" t="str">
        <f>IF(ISBLANK($B21),"",_xlfn.XLOOKUP($B21,Task_No,Project!$C$3:$C$144,"INVALID TASK"))</f>
        <v/>
      </c>
      <c r="D21" s="27"/>
      <c r="E21" s="7" t="str">
        <f t="shared" si="19"/>
        <v/>
      </c>
      <c r="F21" s="7" t="str">
        <f t="shared" si="17"/>
        <v/>
      </c>
      <c r="G21" s="34"/>
      <c r="H21" s="34" t="str" cm="1">
        <f t="array" ref="H21">IF($C21="","",SUMPRODUCT((TEXT($AE$5:$OE$5, "mmm")=LOWER(G$3))*$AE21:$OE21))</f>
        <v/>
      </c>
      <c r="I21" s="34"/>
      <c r="J21" s="34" t="str" cm="1">
        <f t="array" ref="J21">IF($C21="","",SUMPRODUCT((TEXT($AE$5:$OE$5, "mmm")=LOWER(I$3))*$AE21:$OE21))</f>
        <v/>
      </c>
      <c r="K21" s="34"/>
      <c r="L21" s="34" t="str" cm="1">
        <f t="array" ref="L21">IF($C21="","",SUMPRODUCT((TEXT($AE$5:$OE$5, "mmm")=LOWER(K$3))*$AE21:$OE21))</f>
        <v/>
      </c>
      <c r="M21" s="34"/>
      <c r="N21" s="34" t="str" cm="1">
        <f t="array" ref="N21">IF($C21="","",SUMPRODUCT((TEXT($AE$5:$OE$5, "mmm")=LOWER(M$3))*$AE21:$OE21))</f>
        <v/>
      </c>
      <c r="O21" s="34"/>
      <c r="P21" s="34" t="str" cm="1">
        <f t="array" ref="P21">IF($C21="","",SUMPRODUCT((TEXT($AE$5:$OE$5, "mmm")=LOWER(O$3))*$AE21:$OE21))</f>
        <v/>
      </c>
      <c r="Q21" s="34"/>
      <c r="R21" s="34" t="str" cm="1">
        <f t="array" ref="R21">IF($C21="","",SUMPRODUCT((TEXT($AE$5:$OE$5, "mmm")=LOWER(Q$3))*$AE21:$OE21))</f>
        <v/>
      </c>
      <c r="S21" s="34"/>
      <c r="T21" s="34" t="str" cm="1">
        <f t="array" ref="T21">IF($C21="","",SUMPRODUCT((TEXT($AE$5:$OE$5, "mmm")=LOWER(S$3))*$AE21:$OE21))</f>
        <v/>
      </c>
      <c r="U21" s="34"/>
      <c r="V21" s="34" t="str" cm="1">
        <f t="array" ref="V21">IF($C21="","",SUMPRODUCT((TEXT($AE$5:$OE$5, "mmm")=LOWER(U$3))*$AE21:$OE21))</f>
        <v/>
      </c>
      <c r="W21" s="34"/>
      <c r="X21" s="34" t="str" cm="1">
        <f t="array" ref="X21">IF($C21="","",SUMPRODUCT((TEXT($AE$5:$OE$5, "mmm")=LOWER(W$3))*$AE21:$OE21))</f>
        <v/>
      </c>
      <c r="Y21" s="34"/>
      <c r="Z21" s="34" t="str" cm="1">
        <f t="array" ref="Z21">IF($C21="","",SUMPRODUCT((TEXT($AE$5:$OE$5, "mmm")=LOWER(Y$3))*$AE21:$OE21))</f>
        <v/>
      </c>
      <c r="AA21" s="34"/>
      <c r="AB21" s="34" t="str" cm="1">
        <f t="array" ref="AB21">IF($C21="","",SUMPRODUCT((TEXT($AE$5:$OE$5, "mmm")=LOWER(AA$3))*$AE21:$OE21))</f>
        <v/>
      </c>
      <c r="AC21" s="34"/>
      <c r="AD21" s="34" t="str" cm="1">
        <f t="array" ref="AD21">IF($C21="","",SUMPRODUCT((TEXT($AE$5:$OE$5, "mmm")=LOWER(AC$3))*$AE21:$OE21))</f>
        <v/>
      </c>
      <c r="AE21" s="47"/>
      <c r="AF21" s="47"/>
      <c r="AG21" s="47"/>
      <c r="AH21" s="47"/>
      <c r="AI21" s="47"/>
      <c r="AJ21" s="47"/>
      <c r="AK21" s="47"/>
      <c r="AL21" s="47"/>
      <c r="AM21" s="47"/>
      <c r="AN21" s="47"/>
      <c r="AO21" s="47"/>
      <c r="AP21" s="47"/>
      <c r="AQ21" s="47"/>
      <c r="AR21" s="47"/>
      <c r="AS21" s="47"/>
      <c r="AT21" s="47"/>
      <c r="AU21" s="47"/>
      <c r="AV21" s="47"/>
      <c r="AW21" s="47"/>
      <c r="AX21" s="47"/>
      <c r="AY21" s="47"/>
      <c r="AZ21" s="47"/>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47"/>
      <c r="CR21" s="47"/>
      <c r="CS21" s="47"/>
      <c r="CT21" s="47"/>
      <c r="CU21" s="47"/>
      <c r="CV21" s="47"/>
      <c r="CW21" s="47"/>
      <c r="CX21" s="47"/>
      <c r="CY21" s="47"/>
      <c r="CZ21" s="47"/>
      <c r="DA21" s="47"/>
      <c r="DB21" s="47"/>
      <c r="DC21" s="47"/>
      <c r="DD21" s="47"/>
      <c r="DE21" s="47"/>
      <c r="DF21" s="47"/>
      <c r="DG21" s="47"/>
      <c r="DH21" s="47"/>
      <c r="DI21" s="47"/>
      <c r="DJ21" s="47"/>
      <c r="DK21" s="47"/>
      <c r="DL21" s="47"/>
      <c r="DM21" s="47"/>
      <c r="DN21" s="47"/>
      <c r="DO21" s="47"/>
      <c r="DP21" s="47"/>
      <c r="DQ21" s="47"/>
      <c r="DR21" s="47"/>
      <c r="DS21" s="47"/>
      <c r="DT21" s="47"/>
      <c r="DU21" s="47"/>
      <c r="DV21" s="47"/>
      <c r="DW21" s="47"/>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47"/>
      <c r="FB21" s="47"/>
      <c r="FC21" s="47"/>
      <c r="FD21" s="47"/>
      <c r="FE21" s="47"/>
      <c r="FF21" s="47"/>
      <c r="FG21" s="47"/>
      <c r="FH21" s="47"/>
      <c r="FI21" s="47"/>
      <c r="FJ21" s="47"/>
      <c r="FK21" s="47"/>
      <c r="FL21" s="47"/>
      <c r="FM21" s="47"/>
      <c r="FN21" s="47"/>
      <c r="FO21" s="47"/>
      <c r="FP21" s="47"/>
      <c r="FQ21" s="47"/>
      <c r="FR21" s="47"/>
      <c r="FS21" s="47"/>
      <c r="FT21" s="47"/>
      <c r="FU21" s="47"/>
      <c r="FV21" s="47"/>
      <c r="FW21" s="47"/>
      <c r="FX21" s="47"/>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HZ21" s="47"/>
      <c r="IA21" s="47"/>
      <c r="IB21" s="47"/>
      <c r="IC21" s="47"/>
      <c r="ID21" s="47"/>
      <c r="IE21" s="47"/>
      <c r="IF21" s="47"/>
      <c r="IG21" s="47"/>
      <c r="IH21" s="47"/>
      <c r="II21" s="47"/>
      <c r="IJ21" s="47"/>
      <c r="IK21" s="47"/>
      <c r="IL21" s="47"/>
      <c r="IM21" s="47"/>
      <c r="IN21" s="47"/>
      <c r="IO21" s="47"/>
      <c r="IP21" s="47"/>
      <c r="IQ21" s="47"/>
      <c r="IR21" s="47"/>
      <c r="IS21" s="47"/>
      <c r="IT21" s="47"/>
      <c r="IU21" s="47"/>
      <c r="IV21" s="47"/>
      <c r="IW21" s="47"/>
      <c r="IX21" s="47"/>
      <c r="IY21" s="47"/>
      <c r="IZ21" s="47"/>
      <c r="JA21" s="47"/>
      <c r="JB21" s="47"/>
      <c r="JC21" s="47"/>
      <c r="JD21" s="47"/>
      <c r="JE21" s="47"/>
      <c r="JF21" s="47"/>
      <c r="JG21" s="47"/>
      <c r="JH21" s="47"/>
      <c r="JI21" s="47"/>
      <c r="JJ21" s="47"/>
      <c r="JK21" s="47"/>
      <c r="JL21" s="47"/>
      <c r="JM21" s="47"/>
      <c r="JN21" s="47"/>
      <c r="JO21" s="47"/>
      <c r="JP21" s="47"/>
      <c r="JQ21" s="47"/>
      <c r="JR21" s="47"/>
      <c r="JS21" s="47"/>
      <c r="JT21" s="47"/>
      <c r="JU21" s="47"/>
      <c r="JV21" s="47"/>
      <c r="JW21" s="47"/>
      <c r="JX21" s="47"/>
      <c r="JY21" s="47"/>
      <c r="JZ21" s="47"/>
      <c r="KA21" s="47"/>
      <c r="KB21" s="47"/>
      <c r="KC21" s="47"/>
      <c r="KD21" s="47"/>
      <c r="KE21" s="47"/>
      <c r="KF21" s="47"/>
      <c r="KG21" s="47"/>
      <c r="KH21" s="47"/>
      <c r="KI21" s="47"/>
      <c r="KJ21" s="47"/>
      <c r="KK21" s="47"/>
      <c r="KL21" s="47"/>
      <c r="KM21" s="47"/>
      <c r="KN21" s="47"/>
      <c r="KO21" s="47"/>
      <c r="KP21" s="47"/>
      <c r="KQ21" s="47"/>
      <c r="KR21" s="47"/>
      <c r="KS21" s="47"/>
      <c r="KT21" s="47"/>
      <c r="KU21" s="47"/>
      <c r="KV21" s="47"/>
      <c r="KW21" s="47"/>
      <c r="KX21" s="47"/>
      <c r="KY21" s="47"/>
      <c r="KZ21" s="47"/>
      <c r="LA21" s="47"/>
      <c r="LB21" s="47"/>
      <c r="LC21" s="47"/>
      <c r="LD21" s="47"/>
      <c r="LE21" s="47"/>
      <c r="LF21" s="47"/>
      <c r="LG21" s="47"/>
      <c r="LH21" s="47"/>
      <c r="LI21" s="47"/>
      <c r="LJ21" s="47"/>
      <c r="LK21" s="47"/>
      <c r="LL21" s="47"/>
      <c r="LM21" s="47"/>
      <c r="LN21" s="47"/>
      <c r="LO21" s="47"/>
      <c r="LP21" s="47"/>
      <c r="LQ21" s="47"/>
      <c r="LR21" s="47"/>
      <c r="LS21" s="47"/>
      <c r="LT21" s="47"/>
      <c r="LU21" s="47"/>
      <c r="LV21" s="47"/>
      <c r="LW21" s="47"/>
      <c r="LX21" s="47"/>
      <c r="LY21" s="47"/>
      <c r="LZ21" s="47"/>
      <c r="MA21" s="47"/>
      <c r="MB21" s="47"/>
      <c r="MC21" s="47"/>
      <c r="MD21" s="47"/>
      <c r="ME21" s="47"/>
      <c r="MF21" s="47"/>
      <c r="MG21" s="47"/>
      <c r="MH21" s="47"/>
      <c r="MI21" s="47"/>
      <c r="MJ21" s="47"/>
      <c r="MK21" s="47"/>
      <c r="ML21" s="47"/>
      <c r="MM21" s="47"/>
      <c r="MN21" s="47"/>
      <c r="MO21" s="47"/>
      <c r="MP21" s="47"/>
      <c r="MQ21" s="47"/>
      <c r="MR21" s="47"/>
      <c r="MS21" s="47"/>
      <c r="MT21" s="47"/>
      <c r="MU21" s="47"/>
      <c r="MV21" s="47"/>
      <c r="MW21" s="47"/>
      <c r="MX21" s="47"/>
      <c r="MY21" s="47"/>
      <c r="MZ21" s="47"/>
      <c r="NA21" s="47"/>
      <c r="NB21" s="47"/>
      <c r="NC21" s="47"/>
      <c r="ND21" s="47"/>
      <c r="NE21" s="47"/>
      <c r="NF21" s="47"/>
      <c r="NG21" s="47"/>
      <c r="NH21" s="47"/>
      <c r="NI21" s="47"/>
      <c r="NJ21" s="47"/>
      <c r="NK21" s="47"/>
      <c r="NL21" s="47"/>
      <c r="NM21" s="47"/>
      <c r="NN21" s="47"/>
      <c r="NO21" s="47"/>
      <c r="NP21" s="47"/>
      <c r="NQ21" s="47"/>
      <c r="NR21" s="47"/>
      <c r="NS21" s="47"/>
      <c r="NT21" s="47"/>
      <c r="NU21" s="47"/>
      <c r="NV21" s="47"/>
      <c r="NW21" s="47"/>
      <c r="NX21" s="47"/>
      <c r="NY21" s="47"/>
      <c r="NZ21" s="47"/>
      <c r="OA21" s="47"/>
      <c r="OB21" s="47"/>
      <c r="OC21" s="47"/>
      <c r="OD21" s="47"/>
      <c r="OE21" s="48"/>
    </row>
    <row r="22" spans="1:395">
      <c r="A22" s="33" t="str">
        <f t="shared" si="18"/>
        <v/>
      </c>
      <c r="C22" s="2" t="str">
        <f>IF(ISBLANK($B22),"",_xlfn.XLOOKUP($B22,Task_No,Project!$C$3:$C$144,"INVALID TASK"))</f>
        <v/>
      </c>
      <c r="D22" s="27"/>
      <c r="E22" s="7" t="str">
        <f t="shared" si="19"/>
        <v/>
      </c>
      <c r="F22" s="7" t="str">
        <f t="shared" si="17"/>
        <v/>
      </c>
      <c r="G22" s="34"/>
      <c r="H22" s="34" t="str" cm="1">
        <f t="array" ref="H22">IF($C22="","",SUMPRODUCT((TEXT($AE$5:$OE$5, "mmm")=LOWER(G$3))*$AE22:$OE22))</f>
        <v/>
      </c>
      <c r="I22" s="34"/>
      <c r="J22" s="34" t="str" cm="1">
        <f t="array" ref="J22">IF($C22="","",SUMPRODUCT((TEXT($AE$5:$OE$5, "mmm")=LOWER(I$3))*$AE22:$OE22))</f>
        <v/>
      </c>
      <c r="K22" s="34"/>
      <c r="L22" s="34" t="str" cm="1">
        <f t="array" ref="L22">IF($C22="","",SUMPRODUCT((TEXT($AE$5:$OE$5, "mmm")=LOWER(K$3))*$AE22:$OE22))</f>
        <v/>
      </c>
      <c r="M22" s="34"/>
      <c r="N22" s="34" t="str" cm="1">
        <f t="array" ref="N22">IF($C22="","",SUMPRODUCT((TEXT($AE$5:$OE$5, "mmm")=LOWER(M$3))*$AE22:$OE22))</f>
        <v/>
      </c>
      <c r="O22" s="34"/>
      <c r="P22" s="34" t="str" cm="1">
        <f t="array" ref="P22">IF($C22="","",SUMPRODUCT((TEXT($AE$5:$OE$5, "mmm")=LOWER(O$3))*$AE22:$OE22))</f>
        <v/>
      </c>
      <c r="Q22" s="34"/>
      <c r="R22" s="34" t="str" cm="1">
        <f t="array" ref="R22">IF($C22="","",SUMPRODUCT((TEXT($AE$5:$OE$5, "mmm")=LOWER(Q$3))*$AE22:$OE22))</f>
        <v/>
      </c>
      <c r="S22" s="34"/>
      <c r="T22" s="34" t="str" cm="1">
        <f t="array" ref="T22">IF($C22="","",SUMPRODUCT((TEXT($AE$5:$OE$5, "mmm")=LOWER(S$3))*$AE22:$OE22))</f>
        <v/>
      </c>
      <c r="U22" s="34"/>
      <c r="V22" s="34" t="str" cm="1">
        <f t="array" ref="V22">IF($C22="","",SUMPRODUCT((TEXT($AE$5:$OE$5, "mmm")=LOWER(U$3))*$AE22:$OE22))</f>
        <v/>
      </c>
      <c r="W22" s="34"/>
      <c r="X22" s="34" t="str" cm="1">
        <f t="array" ref="X22">IF($C22="","",SUMPRODUCT((TEXT($AE$5:$OE$5, "mmm")=LOWER(W$3))*$AE22:$OE22))</f>
        <v/>
      </c>
      <c r="Y22" s="34"/>
      <c r="Z22" s="34" t="str" cm="1">
        <f t="array" ref="Z22">IF($C22="","",SUMPRODUCT((TEXT($AE$5:$OE$5, "mmm")=LOWER(Y$3))*$AE22:$OE22))</f>
        <v/>
      </c>
      <c r="AA22" s="34"/>
      <c r="AB22" s="34" t="str" cm="1">
        <f t="array" ref="AB22">IF($C22="","",SUMPRODUCT((TEXT($AE$5:$OE$5, "mmm")=LOWER(AA$3))*$AE22:$OE22))</f>
        <v/>
      </c>
      <c r="AC22" s="34"/>
      <c r="AD22" s="34" t="str" cm="1">
        <f t="array" ref="AD22">IF($C22="","",SUMPRODUCT((TEXT($AE$5:$OE$5, "mmm")=LOWER(AC$3))*$AE22:$OE22))</f>
        <v/>
      </c>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47"/>
      <c r="CR22" s="47"/>
      <c r="CS22" s="47"/>
      <c r="CT22" s="47"/>
      <c r="CU22" s="47"/>
      <c r="CV22" s="47"/>
      <c r="CW22" s="47"/>
      <c r="CX22" s="47"/>
      <c r="CY22" s="47"/>
      <c r="CZ22" s="47"/>
      <c r="DA22" s="47"/>
      <c r="DB22" s="47"/>
      <c r="DC22" s="47"/>
      <c r="DD22" s="47"/>
      <c r="DE22" s="47"/>
      <c r="DF22" s="47"/>
      <c r="DG22" s="47"/>
      <c r="DH22" s="47"/>
      <c r="DI22" s="47"/>
      <c r="DJ22" s="47"/>
      <c r="DK22" s="47"/>
      <c r="DL22" s="47"/>
      <c r="DM22" s="47"/>
      <c r="DN22" s="47"/>
      <c r="DO22" s="47"/>
      <c r="DP22" s="47"/>
      <c r="DQ22" s="47"/>
      <c r="DR22" s="47"/>
      <c r="DS22" s="47"/>
      <c r="DT22" s="47"/>
      <c r="DU22" s="47"/>
      <c r="DV22" s="47"/>
      <c r="DW22" s="47"/>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47"/>
      <c r="FB22" s="47"/>
      <c r="FC22" s="47"/>
      <c r="FD22" s="47"/>
      <c r="FE22" s="47"/>
      <c r="FF22" s="47"/>
      <c r="FG22" s="47"/>
      <c r="FH22" s="47"/>
      <c r="FI22" s="47"/>
      <c r="FJ22" s="47"/>
      <c r="FK22" s="47"/>
      <c r="FL22" s="47"/>
      <c r="FM22" s="47"/>
      <c r="FN22" s="47"/>
      <c r="FO22" s="47"/>
      <c r="FP22" s="47"/>
      <c r="FQ22" s="47"/>
      <c r="FR22" s="47"/>
      <c r="FS22" s="47"/>
      <c r="FT22" s="47"/>
      <c r="FU22" s="47"/>
      <c r="FV22" s="47"/>
      <c r="FW22" s="47"/>
      <c r="FX22" s="47"/>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HZ22" s="47"/>
      <c r="IA22" s="47"/>
      <c r="IB22" s="47"/>
      <c r="IC22" s="47"/>
      <c r="ID22" s="47"/>
      <c r="IE22" s="47"/>
      <c r="IF22" s="47"/>
      <c r="IG22" s="47"/>
      <c r="IH22" s="47"/>
      <c r="II22" s="47"/>
      <c r="IJ22" s="47"/>
      <c r="IK22" s="47"/>
      <c r="IL22" s="47"/>
      <c r="IM22" s="47"/>
      <c r="IN22" s="47"/>
      <c r="IO22" s="47"/>
      <c r="IP22" s="47"/>
      <c r="IQ22" s="47"/>
      <c r="IR22" s="47"/>
      <c r="IS22" s="47"/>
      <c r="IT22" s="47"/>
      <c r="IU22" s="47"/>
      <c r="IV22" s="47"/>
      <c r="IW22" s="47"/>
      <c r="IX22" s="47"/>
      <c r="IY22" s="47"/>
      <c r="IZ22" s="47"/>
      <c r="JA22" s="47"/>
      <c r="JB22" s="47"/>
      <c r="JC22" s="47"/>
      <c r="JD22" s="47"/>
      <c r="JE22" s="47"/>
      <c r="JF22" s="47"/>
      <c r="JG22" s="47"/>
      <c r="JH22" s="47"/>
      <c r="JI22" s="47"/>
      <c r="JJ22" s="47"/>
      <c r="JK22" s="47"/>
      <c r="JL22" s="47"/>
      <c r="JM22" s="47"/>
      <c r="JN22" s="47"/>
      <c r="JO22" s="47"/>
      <c r="JP22" s="47"/>
      <c r="JQ22" s="47"/>
      <c r="JR22" s="47"/>
      <c r="JS22" s="47"/>
      <c r="JT22" s="47"/>
      <c r="JU22" s="47"/>
      <c r="JV22" s="47"/>
      <c r="JW22" s="47"/>
      <c r="JX22" s="47"/>
      <c r="JY22" s="47"/>
      <c r="JZ22" s="47"/>
      <c r="KA22" s="47"/>
      <c r="KB22" s="47"/>
      <c r="KC22" s="47"/>
      <c r="KD22" s="47"/>
      <c r="KE22" s="47"/>
      <c r="KF22" s="47"/>
      <c r="KG22" s="47"/>
      <c r="KH22" s="47"/>
      <c r="KI22" s="47"/>
      <c r="KJ22" s="47"/>
      <c r="KK22" s="47"/>
      <c r="KL22" s="47"/>
      <c r="KM22" s="47"/>
      <c r="KN22" s="47"/>
      <c r="KO22" s="47"/>
      <c r="KP22" s="47"/>
      <c r="KQ22" s="47"/>
      <c r="KR22" s="47"/>
      <c r="KS22" s="47"/>
      <c r="KT22" s="47"/>
      <c r="KU22" s="47"/>
      <c r="KV22" s="47"/>
      <c r="KW22" s="47"/>
      <c r="KX22" s="47"/>
      <c r="KY22" s="47"/>
      <c r="KZ22" s="47"/>
      <c r="LA22" s="47"/>
      <c r="LB22" s="47"/>
      <c r="LC22" s="47"/>
      <c r="LD22" s="47"/>
      <c r="LE22" s="47"/>
      <c r="LF22" s="47"/>
      <c r="LG22" s="47"/>
      <c r="LH22" s="47"/>
      <c r="LI22" s="47"/>
      <c r="LJ22" s="47"/>
      <c r="LK22" s="47"/>
      <c r="LL22" s="47"/>
      <c r="LM22" s="47"/>
      <c r="LN22" s="47"/>
      <c r="LO22" s="47"/>
      <c r="LP22" s="47"/>
      <c r="LQ22" s="47"/>
      <c r="LR22" s="47"/>
      <c r="LS22" s="47"/>
      <c r="LT22" s="47"/>
      <c r="LU22" s="47"/>
      <c r="LV22" s="47"/>
      <c r="LW22" s="47"/>
      <c r="LX22" s="47"/>
      <c r="LY22" s="47"/>
      <c r="LZ22" s="47"/>
      <c r="MA22" s="47"/>
      <c r="MB22" s="47"/>
      <c r="MC22" s="47"/>
      <c r="MD22" s="47"/>
      <c r="ME22" s="47"/>
      <c r="MF22" s="47"/>
      <c r="MG22" s="47"/>
      <c r="MH22" s="47"/>
      <c r="MI22" s="47"/>
      <c r="MJ22" s="47"/>
      <c r="MK22" s="47"/>
      <c r="ML22" s="47"/>
      <c r="MM22" s="47"/>
      <c r="MN22" s="47"/>
      <c r="MO22" s="47"/>
      <c r="MP22" s="47"/>
      <c r="MQ22" s="47"/>
      <c r="MR22" s="47"/>
      <c r="MS22" s="47"/>
      <c r="MT22" s="47"/>
      <c r="MU22" s="47"/>
      <c r="MV22" s="47"/>
      <c r="MW22" s="47"/>
      <c r="MX22" s="47"/>
      <c r="MY22" s="47"/>
      <c r="MZ22" s="47"/>
      <c r="NA22" s="47"/>
      <c r="NB22" s="47"/>
      <c r="NC22" s="47"/>
      <c r="ND22" s="47"/>
      <c r="NE22" s="47"/>
      <c r="NF22" s="47"/>
      <c r="NG22" s="47"/>
      <c r="NH22" s="47"/>
      <c r="NI22" s="47"/>
      <c r="NJ22" s="47"/>
      <c r="NK22" s="47"/>
      <c r="NL22" s="47"/>
      <c r="NM22" s="47"/>
      <c r="NN22" s="47"/>
      <c r="NO22" s="47"/>
      <c r="NP22" s="47"/>
      <c r="NQ22" s="47"/>
      <c r="NR22" s="47"/>
      <c r="NS22" s="47"/>
      <c r="NT22" s="47"/>
      <c r="NU22" s="47"/>
      <c r="NV22" s="47"/>
      <c r="NW22" s="47"/>
      <c r="NX22" s="47"/>
      <c r="NY22" s="47"/>
      <c r="NZ22" s="47"/>
      <c r="OA22" s="47"/>
      <c r="OB22" s="47"/>
      <c r="OC22" s="47"/>
      <c r="OD22" s="47"/>
      <c r="OE22" s="48"/>
    </row>
    <row r="23" spans="1:395">
      <c r="A23" s="33" t="str">
        <f t="shared" si="18"/>
        <v/>
      </c>
      <c r="C23" s="2" t="str">
        <f>IF(ISBLANK($B23),"",_xlfn.XLOOKUP($B23,Task_No,Project!$C$3:$C$144,"INVALID TASK"))</f>
        <v/>
      </c>
      <c r="D23" s="27"/>
      <c r="E23" s="7" t="str">
        <f t="shared" si="19"/>
        <v/>
      </c>
      <c r="F23" s="7" t="str">
        <f t="shared" si="17"/>
        <v/>
      </c>
      <c r="G23" s="34"/>
      <c r="H23" s="34" t="str" cm="1">
        <f t="array" ref="H23">IF($C23="","",SUMPRODUCT((TEXT($AE$5:$OE$5, "mmm")=LOWER(G$3))*$AE23:$OE23))</f>
        <v/>
      </c>
      <c r="I23" s="34"/>
      <c r="J23" s="34" t="str" cm="1">
        <f t="array" ref="J23">IF($C23="","",SUMPRODUCT((TEXT($AE$5:$OE$5, "mmm")=LOWER(I$3))*$AE23:$OE23))</f>
        <v/>
      </c>
      <c r="K23" s="34"/>
      <c r="L23" s="34" t="str" cm="1">
        <f t="array" ref="L23">IF($C23="","",SUMPRODUCT((TEXT($AE$5:$OE$5, "mmm")=LOWER(K$3))*$AE23:$OE23))</f>
        <v/>
      </c>
      <c r="M23" s="34"/>
      <c r="N23" s="34" t="str" cm="1">
        <f t="array" ref="N23">IF($C23="","",SUMPRODUCT((TEXT($AE$5:$OE$5, "mmm")=LOWER(M$3))*$AE23:$OE23))</f>
        <v/>
      </c>
      <c r="O23" s="34"/>
      <c r="P23" s="34" t="str" cm="1">
        <f t="array" ref="P23">IF($C23="","",SUMPRODUCT((TEXT($AE$5:$OE$5, "mmm")=LOWER(O$3))*$AE23:$OE23))</f>
        <v/>
      </c>
      <c r="Q23" s="34"/>
      <c r="R23" s="34" t="str" cm="1">
        <f t="array" ref="R23">IF($C23="","",SUMPRODUCT((TEXT($AE$5:$OE$5, "mmm")=LOWER(Q$3))*$AE23:$OE23))</f>
        <v/>
      </c>
      <c r="S23" s="34"/>
      <c r="T23" s="34" t="str" cm="1">
        <f t="array" ref="T23">IF($C23="","",SUMPRODUCT((TEXT($AE$5:$OE$5, "mmm")=LOWER(S$3))*$AE23:$OE23))</f>
        <v/>
      </c>
      <c r="U23" s="34"/>
      <c r="V23" s="34" t="str" cm="1">
        <f t="array" ref="V23">IF($C23="","",SUMPRODUCT((TEXT($AE$5:$OE$5, "mmm")=LOWER(U$3))*$AE23:$OE23))</f>
        <v/>
      </c>
      <c r="W23" s="34"/>
      <c r="X23" s="34" t="str" cm="1">
        <f t="array" ref="X23">IF($C23="","",SUMPRODUCT((TEXT($AE$5:$OE$5, "mmm")=LOWER(W$3))*$AE23:$OE23))</f>
        <v/>
      </c>
      <c r="Y23" s="34"/>
      <c r="Z23" s="34" t="str" cm="1">
        <f t="array" ref="Z23">IF($C23="","",SUMPRODUCT((TEXT($AE$5:$OE$5, "mmm")=LOWER(Y$3))*$AE23:$OE23))</f>
        <v/>
      </c>
      <c r="AA23" s="34"/>
      <c r="AB23" s="34" t="str" cm="1">
        <f t="array" ref="AB23">IF($C23="","",SUMPRODUCT((TEXT($AE$5:$OE$5, "mmm")=LOWER(AA$3))*$AE23:$OE23))</f>
        <v/>
      </c>
      <c r="AC23" s="34"/>
      <c r="AD23" s="34" t="str" cm="1">
        <f t="array" ref="AD23">IF($C23="","",SUMPRODUCT((TEXT($AE$5:$OE$5, "mmm")=LOWER(AC$3))*$AE23:$OE23))</f>
        <v/>
      </c>
      <c r="AE23" s="47"/>
      <c r="AF23" s="47"/>
      <c r="AG23" s="47"/>
      <c r="AH23" s="47"/>
      <c r="AI23" s="47"/>
      <c r="AJ23" s="47"/>
      <c r="AK23" s="47"/>
      <c r="AL23" s="47"/>
      <c r="AM23" s="47"/>
      <c r="AN23" s="47"/>
      <c r="AO23" s="47"/>
      <c r="AP23" s="47"/>
      <c r="AQ23" s="47"/>
      <c r="AR23" s="47"/>
      <c r="AS23" s="47"/>
      <c r="AT23" s="47"/>
      <c r="AU23" s="47"/>
      <c r="AV23" s="47"/>
      <c r="AW23" s="47"/>
      <c r="AX23" s="47"/>
      <c r="AY23" s="47"/>
      <c r="AZ23" s="47"/>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47"/>
      <c r="CR23" s="47"/>
      <c r="CS23" s="47"/>
      <c r="CT23" s="47"/>
      <c r="CU23" s="47"/>
      <c r="CV23" s="47"/>
      <c r="CW23" s="47"/>
      <c r="CX23" s="47"/>
      <c r="CY23" s="47"/>
      <c r="CZ23" s="47"/>
      <c r="DA23" s="47"/>
      <c r="DB23" s="47"/>
      <c r="DC23" s="47"/>
      <c r="DD23" s="47"/>
      <c r="DE23" s="47"/>
      <c r="DF23" s="47"/>
      <c r="DG23" s="47"/>
      <c r="DH23" s="47"/>
      <c r="DI23" s="47"/>
      <c r="DJ23" s="47"/>
      <c r="DK23" s="47"/>
      <c r="DL23" s="47"/>
      <c r="DM23" s="47"/>
      <c r="DN23" s="47"/>
      <c r="DO23" s="47"/>
      <c r="DP23" s="47"/>
      <c r="DQ23" s="47"/>
      <c r="DR23" s="47"/>
      <c r="DS23" s="47"/>
      <c r="DT23" s="47"/>
      <c r="DU23" s="47"/>
      <c r="DV23" s="47"/>
      <c r="DW23" s="47"/>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47"/>
      <c r="FB23" s="47"/>
      <c r="FC23" s="47"/>
      <c r="FD23" s="47"/>
      <c r="FE23" s="47"/>
      <c r="FF23" s="47"/>
      <c r="FG23" s="47"/>
      <c r="FH23" s="47"/>
      <c r="FI23" s="47"/>
      <c r="FJ23" s="47"/>
      <c r="FK23" s="47"/>
      <c r="FL23" s="47"/>
      <c r="FM23" s="47"/>
      <c r="FN23" s="47"/>
      <c r="FO23" s="47"/>
      <c r="FP23" s="47"/>
      <c r="FQ23" s="47"/>
      <c r="FR23" s="47"/>
      <c r="FS23" s="47"/>
      <c r="FT23" s="47"/>
      <c r="FU23" s="47"/>
      <c r="FV23" s="47"/>
      <c r="FW23" s="47"/>
      <c r="FX23" s="47"/>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HZ23" s="47"/>
      <c r="IA23" s="47"/>
      <c r="IB23" s="47"/>
      <c r="IC23" s="47"/>
      <c r="ID23" s="47"/>
      <c r="IE23" s="47"/>
      <c r="IF23" s="47"/>
      <c r="IG23" s="47"/>
      <c r="IH23" s="47"/>
      <c r="II23" s="47"/>
      <c r="IJ23" s="47"/>
      <c r="IK23" s="47"/>
      <c r="IL23" s="47"/>
      <c r="IM23" s="47"/>
      <c r="IN23" s="47"/>
      <c r="IO23" s="47"/>
      <c r="IP23" s="47"/>
      <c r="IQ23" s="47"/>
      <c r="IR23" s="47"/>
      <c r="IS23" s="47"/>
      <c r="IT23" s="47"/>
      <c r="IU23" s="47"/>
      <c r="IV23" s="47"/>
      <c r="IW23" s="47"/>
      <c r="IX23" s="47"/>
      <c r="IY23" s="47"/>
      <c r="IZ23" s="47"/>
      <c r="JA23" s="47"/>
      <c r="JB23" s="47"/>
      <c r="JC23" s="47"/>
      <c r="JD23" s="47"/>
      <c r="JE23" s="47"/>
      <c r="JF23" s="47"/>
      <c r="JG23" s="47"/>
      <c r="JH23" s="47"/>
      <c r="JI23" s="47"/>
      <c r="JJ23" s="47"/>
      <c r="JK23" s="47"/>
      <c r="JL23" s="47"/>
      <c r="JM23" s="47"/>
      <c r="JN23" s="47"/>
      <c r="JO23" s="47"/>
      <c r="JP23" s="47"/>
      <c r="JQ23" s="47"/>
      <c r="JR23" s="47"/>
      <c r="JS23" s="47"/>
      <c r="JT23" s="47"/>
      <c r="JU23" s="47"/>
      <c r="JV23" s="47"/>
      <c r="JW23" s="47"/>
      <c r="JX23" s="47"/>
      <c r="JY23" s="47"/>
      <c r="JZ23" s="47"/>
      <c r="KA23" s="47"/>
      <c r="KB23" s="47"/>
      <c r="KC23" s="47"/>
      <c r="KD23" s="47"/>
      <c r="KE23" s="47"/>
      <c r="KF23" s="47"/>
      <c r="KG23" s="47"/>
      <c r="KH23" s="47"/>
      <c r="KI23" s="47"/>
      <c r="KJ23" s="47"/>
      <c r="KK23" s="47"/>
      <c r="KL23" s="47"/>
      <c r="KM23" s="47"/>
      <c r="KN23" s="47"/>
      <c r="KO23" s="47"/>
      <c r="KP23" s="47"/>
      <c r="KQ23" s="47"/>
      <c r="KR23" s="47"/>
      <c r="KS23" s="47"/>
      <c r="KT23" s="47"/>
      <c r="KU23" s="47"/>
      <c r="KV23" s="47"/>
      <c r="KW23" s="47"/>
      <c r="KX23" s="47"/>
      <c r="KY23" s="47"/>
      <c r="KZ23" s="47"/>
      <c r="LA23" s="47"/>
      <c r="LB23" s="47"/>
      <c r="LC23" s="47"/>
      <c r="LD23" s="47"/>
      <c r="LE23" s="47"/>
      <c r="LF23" s="47"/>
      <c r="LG23" s="47"/>
      <c r="LH23" s="47"/>
      <c r="LI23" s="47"/>
      <c r="LJ23" s="47"/>
      <c r="LK23" s="47"/>
      <c r="LL23" s="47"/>
      <c r="LM23" s="47"/>
      <c r="LN23" s="47"/>
      <c r="LO23" s="47"/>
      <c r="LP23" s="47"/>
      <c r="LQ23" s="47"/>
      <c r="LR23" s="47"/>
      <c r="LS23" s="47"/>
      <c r="LT23" s="47"/>
      <c r="LU23" s="47"/>
      <c r="LV23" s="47"/>
      <c r="LW23" s="47"/>
      <c r="LX23" s="47"/>
      <c r="LY23" s="47"/>
      <c r="LZ23" s="47"/>
      <c r="MA23" s="47"/>
      <c r="MB23" s="47"/>
      <c r="MC23" s="47"/>
      <c r="MD23" s="47"/>
      <c r="ME23" s="47"/>
      <c r="MF23" s="47"/>
      <c r="MG23" s="47"/>
      <c r="MH23" s="47"/>
      <c r="MI23" s="47"/>
      <c r="MJ23" s="47"/>
      <c r="MK23" s="47"/>
      <c r="ML23" s="47"/>
      <c r="MM23" s="47"/>
      <c r="MN23" s="47"/>
      <c r="MO23" s="47"/>
      <c r="MP23" s="47"/>
      <c r="MQ23" s="47"/>
      <c r="MR23" s="47"/>
      <c r="MS23" s="47"/>
      <c r="MT23" s="47"/>
      <c r="MU23" s="47"/>
      <c r="MV23" s="47"/>
      <c r="MW23" s="47"/>
      <c r="MX23" s="47"/>
      <c r="MY23" s="47"/>
      <c r="MZ23" s="47"/>
      <c r="NA23" s="47"/>
      <c r="NB23" s="47"/>
      <c r="NC23" s="47"/>
      <c r="ND23" s="47"/>
      <c r="NE23" s="47"/>
      <c r="NF23" s="47"/>
      <c r="NG23" s="47"/>
      <c r="NH23" s="47"/>
      <c r="NI23" s="47"/>
      <c r="NJ23" s="47"/>
      <c r="NK23" s="47"/>
      <c r="NL23" s="47"/>
      <c r="NM23" s="47"/>
      <c r="NN23" s="47"/>
      <c r="NO23" s="47"/>
      <c r="NP23" s="47"/>
      <c r="NQ23" s="47"/>
      <c r="NR23" s="47"/>
      <c r="NS23" s="47"/>
      <c r="NT23" s="47"/>
      <c r="NU23" s="47"/>
      <c r="NV23" s="47"/>
      <c r="NW23" s="47"/>
      <c r="NX23" s="47"/>
      <c r="NY23" s="47"/>
      <c r="NZ23" s="47"/>
      <c r="OA23" s="47"/>
      <c r="OB23" s="47"/>
      <c r="OC23" s="47"/>
      <c r="OD23" s="47"/>
      <c r="OE23" s="48"/>
    </row>
    <row r="24" spans="1:395">
      <c r="A24" s="33" t="str">
        <f t="shared" si="18"/>
        <v/>
      </c>
      <c r="C24" s="2" t="str">
        <f>IF(ISBLANK($B24),"",_xlfn.XLOOKUP($B24,Task_No,Project!$C$3:$C$144,"INVALID TASK"))</f>
        <v/>
      </c>
      <c r="D24" s="27"/>
      <c r="E24" s="7" t="str">
        <f t="shared" si="19"/>
        <v/>
      </c>
      <c r="F24" s="7" t="str">
        <f t="shared" si="17"/>
        <v/>
      </c>
      <c r="G24" s="34"/>
      <c r="H24" s="34" t="str" cm="1">
        <f t="array" ref="H24">IF($C24="","",SUMPRODUCT((TEXT($AE$5:$OE$5, "mmm")=LOWER(G$3))*$AE24:$OE24))</f>
        <v/>
      </c>
      <c r="I24" s="34"/>
      <c r="J24" s="34" t="str" cm="1">
        <f t="array" ref="J24">IF($C24="","",SUMPRODUCT((TEXT($AE$5:$OE$5, "mmm")=LOWER(I$3))*$AE24:$OE24))</f>
        <v/>
      </c>
      <c r="K24" s="34"/>
      <c r="L24" s="34" t="str" cm="1">
        <f t="array" ref="L24">IF($C24="","",SUMPRODUCT((TEXT($AE$5:$OE$5, "mmm")=LOWER(K$3))*$AE24:$OE24))</f>
        <v/>
      </c>
      <c r="M24" s="34"/>
      <c r="N24" s="34" t="str" cm="1">
        <f t="array" ref="N24">IF($C24="","",SUMPRODUCT((TEXT($AE$5:$OE$5, "mmm")=LOWER(M$3))*$AE24:$OE24))</f>
        <v/>
      </c>
      <c r="O24" s="34"/>
      <c r="P24" s="34" t="str" cm="1">
        <f t="array" ref="P24">IF($C24="","",SUMPRODUCT((TEXT($AE$5:$OE$5, "mmm")=LOWER(O$3))*$AE24:$OE24))</f>
        <v/>
      </c>
      <c r="Q24" s="34"/>
      <c r="R24" s="34" t="str" cm="1">
        <f t="array" ref="R24">IF($C24="","",SUMPRODUCT((TEXT($AE$5:$OE$5, "mmm")=LOWER(Q$3))*$AE24:$OE24))</f>
        <v/>
      </c>
      <c r="S24" s="34"/>
      <c r="T24" s="34" t="str" cm="1">
        <f t="array" ref="T24">IF($C24="","",SUMPRODUCT((TEXT($AE$5:$OE$5, "mmm")=LOWER(S$3))*$AE24:$OE24))</f>
        <v/>
      </c>
      <c r="U24" s="34"/>
      <c r="V24" s="34" t="str" cm="1">
        <f t="array" ref="V24">IF($C24="","",SUMPRODUCT((TEXT($AE$5:$OE$5, "mmm")=LOWER(U$3))*$AE24:$OE24))</f>
        <v/>
      </c>
      <c r="W24" s="34"/>
      <c r="X24" s="34" t="str" cm="1">
        <f t="array" ref="X24">IF($C24="","",SUMPRODUCT((TEXT($AE$5:$OE$5, "mmm")=LOWER(W$3))*$AE24:$OE24))</f>
        <v/>
      </c>
      <c r="Y24" s="34"/>
      <c r="Z24" s="34" t="str" cm="1">
        <f t="array" ref="Z24">IF($C24="","",SUMPRODUCT((TEXT($AE$5:$OE$5, "mmm")=LOWER(Y$3))*$AE24:$OE24))</f>
        <v/>
      </c>
      <c r="AA24" s="34"/>
      <c r="AB24" s="34" t="str" cm="1">
        <f t="array" ref="AB24">IF($C24="","",SUMPRODUCT((TEXT($AE$5:$OE$5, "mmm")=LOWER(AA$3))*$AE24:$OE24))</f>
        <v/>
      </c>
      <c r="AC24" s="34"/>
      <c r="AD24" s="34" t="str" cm="1">
        <f t="array" ref="AD24">IF($C24="","",SUMPRODUCT((TEXT($AE$5:$OE$5, "mmm")=LOWER(AC$3))*$AE24:$OE24))</f>
        <v/>
      </c>
      <c r="AE24" s="47"/>
      <c r="AF24" s="47"/>
      <c r="AG24" s="47"/>
      <c r="AH24" s="47"/>
      <c r="AI24" s="47"/>
      <c r="AJ24" s="47"/>
      <c r="AK24" s="47"/>
      <c r="AL24" s="47"/>
      <c r="AM24" s="47"/>
      <c r="AN24" s="47"/>
      <c r="AO24" s="47"/>
      <c r="AP24" s="47"/>
      <c r="AQ24" s="47"/>
      <c r="AR24" s="47"/>
      <c r="AS24" s="47"/>
      <c r="AT24" s="47"/>
      <c r="AU24" s="47"/>
      <c r="AV24" s="47"/>
      <c r="AW24" s="47"/>
      <c r="AX24" s="47"/>
      <c r="AY24" s="47"/>
      <c r="AZ24" s="47"/>
      <c r="BA24" s="47"/>
      <c r="BB24" s="47"/>
      <c r="BC24" s="47"/>
      <c r="BD24" s="47"/>
      <c r="BE24" s="47"/>
      <c r="BF24" s="47"/>
      <c r="BG24" s="47"/>
      <c r="BH24" s="47"/>
      <c r="BI24" s="47"/>
      <c r="BJ24" s="47"/>
      <c r="BK24" s="47"/>
      <c r="BL24" s="47"/>
      <c r="BM24" s="47"/>
      <c r="BN24" s="47"/>
      <c r="BO24" s="47"/>
      <c r="BP24" s="47"/>
      <c r="BQ24" s="47"/>
      <c r="BR24" s="47"/>
      <c r="BS24" s="47"/>
      <c r="BT24" s="47"/>
      <c r="BU24" s="47"/>
      <c r="BV24" s="47"/>
      <c r="BW24" s="47"/>
      <c r="BX24" s="47"/>
      <c r="BY24" s="47"/>
      <c r="BZ24" s="47"/>
      <c r="CA24" s="47"/>
      <c r="CB24" s="47"/>
      <c r="CC24" s="47"/>
      <c r="CD24" s="47"/>
      <c r="CE24" s="47"/>
      <c r="CF24" s="47"/>
      <c r="CG24" s="47"/>
      <c r="CH24" s="47"/>
      <c r="CI24" s="47"/>
      <c r="CJ24" s="47"/>
      <c r="CK24" s="47"/>
      <c r="CL24" s="47"/>
      <c r="CM24" s="47"/>
      <c r="CN24" s="47"/>
      <c r="CO24" s="47"/>
      <c r="CP24" s="47"/>
      <c r="CQ24" s="47"/>
      <c r="CR24" s="47"/>
      <c r="CS24" s="47"/>
      <c r="CT24" s="47"/>
      <c r="CU24" s="47"/>
      <c r="CV24" s="47"/>
      <c r="CW24" s="47"/>
      <c r="CX24" s="47"/>
      <c r="CY24" s="47"/>
      <c r="CZ24" s="47"/>
      <c r="DA24" s="47"/>
      <c r="DB24" s="47"/>
      <c r="DC24" s="47"/>
      <c r="DD24" s="47"/>
      <c r="DE24" s="47"/>
      <c r="DF24" s="47"/>
      <c r="DG24" s="47"/>
      <c r="DH24" s="47"/>
      <c r="DI24" s="47"/>
      <c r="DJ24" s="47"/>
      <c r="DK24" s="47"/>
      <c r="DL24" s="47"/>
      <c r="DM24" s="47"/>
      <c r="DN24" s="47"/>
      <c r="DO24" s="47"/>
      <c r="DP24" s="47"/>
      <c r="DQ24" s="47"/>
      <c r="DR24" s="47"/>
      <c r="DS24" s="47"/>
      <c r="DT24" s="47"/>
      <c r="DU24" s="47"/>
      <c r="DV24" s="47"/>
      <c r="DW24" s="47"/>
      <c r="DX24" s="47"/>
      <c r="DY24" s="47"/>
      <c r="DZ24" s="47"/>
      <c r="EA24" s="47"/>
      <c r="EB24" s="47"/>
      <c r="EC24" s="47"/>
      <c r="ED24" s="47"/>
      <c r="EE24" s="47"/>
      <c r="EF24" s="47"/>
      <c r="EG24" s="47"/>
      <c r="EH24" s="47"/>
      <c r="EI24" s="47"/>
      <c r="EJ24" s="47"/>
      <c r="EK24" s="47"/>
      <c r="EL24" s="47"/>
      <c r="EM24" s="47"/>
      <c r="EN24" s="47"/>
      <c r="EO24" s="47"/>
      <c r="EP24" s="47"/>
      <c r="EQ24" s="47"/>
      <c r="ER24" s="47"/>
      <c r="ES24" s="47"/>
      <c r="ET24" s="47"/>
      <c r="EU24" s="47"/>
      <c r="EV24" s="47"/>
      <c r="EW24" s="47"/>
      <c r="EX24" s="47"/>
      <c r="EY24" s="47"/>
      <c r="EZ24" s="47"/>
      <c r="FA24" s="47"/>
      <c r="FB24" s="47"/>
      <c r="FC24" s="47"/>
      <c r="FD24" s="47"/>
      <c r="FE24" s="47"/>
      <c r="FF24" s="47"/>
      <c r="FG24" s="47"/>
      <c r="FH24" s="47"/>
      <c r="FI24" s="47"/>
      <c r="FJ24" s="47"/>
      <c r="FK24" s="47"/>
      <c r="FL24" s="47"/>
      <c r="FM24" s="47"/>
      <c r="FN24" s="47"/>
      <c r="FO24" s="47"/>
      <c r="FP24" s="47"/>
      <c r="FQ24" s="47"/>
      <c r="FR24" s="47"/>
      <c r="FS24" s="47"/>
      <c r="FT24" s="47"/>
      <c r="FU24" s="47"/>
      <c r="FV24" s="47"/>
      <c r="FW24" s="47"/>
      <c r="FX24" s="47"/>
      <c r="FY24" s="47"/>
      <c r="FZ24" s="47"/>
      <c r="GA24" s="47"/>
      <c r="GB24" s="47"/>
      <c r="GC24" s="47"/>
      <c r="GD24" s="47"/>
      <c r="GE24" s="47"/>
      <c r="GF24" s="47"/>
      <c r="GG24" s="47"/>
      <c r="GH24" s="47"/>
      <c r="GI24" s="47"/>
      <c r="GJ24" s="47"/>
      <c r="GK24" s="47"/>
      <c r="GL24" s="47"/>
      <c r="GM24" s="47"/>
      <c r="GN24" s="47"/>
      <c r="GO24" s="47"/>
      <c r="GP24" s="47"/>
      <c r="GQ24" s="47"/>
      <c r="GR24" s="47"/>
      <c r="GS24" s="47"/>
      <c r="GT24" s="47"/>
      <c r="GU24" s="47"/>
      <c r="GV24" s="47"/>
      <c r="GW24" s="47"/>
      <c r="GX24" s="47"/>
      <c r="GY24" s="47"/>
      <c r="GZ24" s="47"/>
      <c r="HA24" s="47"/>
      <c r="HB24" s="47"/>
      <c r="HC24" s="47"/>
      <c r="HD24" s="47"/>
      <c r="HE24" s="47"/>
      <c r="HF24" s="47"/>
      <c r="HG24" s="47"/>
      <c r="HH24" s="47"/>
      <c r="HI24" s="47"/>
      <c r="HJ24" s="47"/>
      <c r="HK24" s="47"/>
      <c r="HL24" s="47"/>
      <c r="HM24" s="47"/>
      <c r="HN24" s="47"/>
      <c r="HO24" s="47"/>
      <c r="HP24" s="47"/>
      <c r="HQ24" s="47"/>
      <c r="HR24" s="47"/>
      <c r="HS24" s="47"/>
      <c r="HT24" s="47"/>
      <c r="HU24" s="47"/>
      <c r="HV24" s="47"/>
      <c r="HW24" s="47"/>
      <c r="HX24" s="47"/>
      <c r="HY24" s="47"/>
      <c r="HZ24" s="47"/>
      <c r="IA24" s="47"/>
      <c r="IB24" s="47"/>
      <c r="IC24" s="47"/>
      <c r="ID24" s="47"/>
      <c r="IE24" s="47"/>
      <c r="IF24" s="47"/>
      <c r="IG24" s="47"/>
      <c r="IH24" s="47"/>
      <c r="II24" s="47"/>
      <c r="IJ24" s="47"/>
      <c r="IK24" s="47"/>
      <c r="IL24" s="47"/>
      <c r="IM24" s="47"/>
      <c r="IN24" s="47"/>
      <c r="IO24" s="47"/>
      <c r="IP24" s="47"/>
      <c r="IQ24" s="47"/>
      <c r="IR24" s="47"/>
      <c r="IS24" s="47"/>
      <c r="IT24" s="47"/>
      <c r="IU24" s="47"/>
      <c r="IV24" s="47"/>
      <c r="IW24" s="47"/>
      <c r="IX24" s="47"/>
      <c r="IY24" s="47"/>
      <c r="IZ24" s="47"/>
      <c r="JA24" s="47"/>
      <c r="JB24" s="47"/>
      <c r="JC24" s="47"/>
      <c r="JD24" s="47"/>
      <c r="JE24" s="47"/>
      <c r="JF24" s="47"/>
      <c r="JG24" s="47"/>
      <c r="JH24" s="47"/>
      <c r="JI24" s="47"/>
      <c r="JJ24" s="47"/>
      <c r="JK24" s="47"/>
      <c r="JL24" s="47"/>
      <c r="JM24" s="47"/>
      <c r="JN24" s="47"/>
      <c r="JO24" s="47"/>
      <c r="JP24" s="47"/>
      <c r="JQ24" s="47"/>
      <c r="JR24" s="47"/>
      <c r="JS24" s="47"/>
      <c r="JT24" s="47"/>
      <c r="JU24" s="47"/>
      <c r="JV24" s="47"/>
      <c r="JW24" s="47"/>
      <c r="JX24" s="47"/>
      <c r="JY24" s="47"/>
      <c r="JZ24" s="47"/>
      <c r="KA24" s="47"/>
      <c r="KB24" s="47"/>
      <c r="KC24" s="47"/>
      <c r="KD24" s="47"/>
      <c r="KE24" s="47"/>
      <c r="KF24" s="47"/>
      <c r="KG24" s="47"/>
      <c r="KH24" s="47"/>
      <c r="KI24" s="47"/>
      <c r="KJ24" s="47"/>
      <c r="KK24" s="47"/>
      <c r="KL24" s="47"/>
      <c r="KM24" s="47"/>
      <c r="KN24" s="47"/>
      <c r="KO24" s="47"/>
      <c r="KP24" s="47"/>
      <c r="KQ24" s="47"/>
      <c r="KR24" s="47"/>
      <c r="KS24" s="47"/>
      <c r="KT24" s="47"/>
      <c r="KU24" s="47"/>
      <c r="KV24" s="47"/>
      <c r="KW24" s="47"/>
      <c r="KX24" s="47"/>
      <c r="KY24" s="47"/>
      <c r="KZ24" s="47"/>
      <c r="LA24" s="47"/>
      <c r="LB24" s="47"/>
      <c r="LC24" s="47"/>
      <c r="LD24" s="47"/>
      <c r="LE24" s="47"/>
      <c r="LF24" s="47"/>
      <c r="LG24" s="47"/>
      <c r="LH24" s="47"/>
      <c r="LI24" s="47"/>
      <c r="LJ24" s="47"/>
      <c r="LK24" s="47"/>
      <c r="LL24" s="47"/>
      <c r="LM24" s="47"/>
      <c r="LN24" s="47"/>
      <c r="LO24" s="47"/>
      <c r="LP24" s="47"/>
      <c r="LQ24" s="47"/>
      <c r="LR24" s="47"/>
      <c r="LS24" s="47"/>
      <c r="LT24" s="47"/>
      <c r="LU24" s="47"/>
      <c r="LV24" s="47"/>
      <c r="LW24" s="47"/>
      <c r="LX24" s="47"/>
      <c r="LY24" s="47"/>
      <c r="LZ24" s="47"/>
      <c r="MA24" s="47"/>
      <c r="MB24" s="47"/>
      <c r="MC24" s="47"/>
      <c r="MD24" s="47"/>
      <c r="ME24" s="47"/>
      <c r="MF24" s="47"/>
      <c r="MG24" s="47"/>
      <c r="MH24" s="47"/>
      <c r="MI24" s="47"/>
      <c r="MJ24" s="47"/>
      <c r="MK24" s="47"/>
      <c r="ML24" s="47"/>
      <c r="MM24" s="47"/>
      <c r="MN24" s="47"/>
      <c r="MO24" s="47"/>
      <c r="MP24" s="47"/>
      <c r="MQ24" s="47"/>
      <c r="MR24" s="47"/>
      <c r="MS24" s="47"/>
      <c r="MT24" s="47"/>
      <c r="MU24" s="47"/>
      <c r="MV24" s="47"/>
      <c r="MW24" s="47"/>
      <c r="MX24" s="47"/>
      <c r="MY24" s="47"/>
      <c r="MZ24" s="47"/>
      <c r="NA24" s="47"/>
      <c r="NB24" s="47"/>
      <c r="NC24" s="47"/>
      <c r="ND24" s="47"/>
      <c r="NE24" s="47"/>
      <c r="NF24" s="47"/>
      <c r="NG24" s="47"/>
      <c r="NH24" s="47"/>
      <c r="NI24" s="47"/>
      <c r="NJ24" s="47"/>
      <c r="NK24" s="47"/>
      <c r="NL24" s="47"/>
      <c r="NM24" s="47"/>
      <c r="NN24" s="47"/>
      <c r="NO24" s="47"/>
      <c r="NP24" s="47"/>
      <c r="NQ24" s="47"/>
      <c r="NR24" s="47"/>
      <c r="NS24" s="47"/>
      <c r="NT24" s="47"/>
      <c r="NU24" s="47"/>
      <c r="NV24" s="47"/>
      <c r="NW24" s="47"/>
      <c r="NX24" s="47"/>
      <c r="NY24" s="47"/>
      <c r="NZ24" s="47"/>
      <c r="OA24" s="47"/>
      <c r="OB24" s="47"/>
      <c r="OC24" s="47"/>
      <c r="OD24" s="47"/>
      <c r="OE24" s="48"/>
    </row>
    <row r="25" spans="1:395">
      <c r="A25" s="33" t="str">
        <f t="shared" si="18"/>
        <v/>
      </c>
      <c r="C25" s="2" t="str">
        <f>IF(ISBLANK($B25),"",_xlfn.XLOOKUP($B25,Task_No,Project!$C$3:$C$144,"INVALID TASK"))</f>
        <v/>
      </c>
      <c r="D25" s="27"/>
      <c r="E25" s="7" t="str">
        <f t="shared" si="19"/>
        <v/>
      </c>
      <c r="F25" s="7" t="str">
        <f t="shared" si="17"/>
        <v/>
      </c>
      <c r="G25" s="34"/>
      <c r="H25" s="34" t="str" cm="1">
        <f t="array" ref="H25">IF($C25="","",SUMPRODUCT((TEXT($AE$5:$OE$5, "mmm")=LOWER(G$3))*$AE25:$OE25))</f>
        <v/>
      </c>
      <c r="I25" s="34"/>
      <c r="J25" s="34" t="str" cm="1">
        <f t="array" ref="J25">IF($C25="","",SUMPRODUCT((TEXT($AE$5:$OE$5, "mmm")=LOWER(I$3))*$AE25:$OE25))</f>
        <v/>
      </c>
      <c r="K25" s="34"/>
      <c r="L25" s="34" t="str" cm="1">
        <f t="array" ref="L25">IF($C25="","",SUMPRODUCT((TEXT($AE$5:$OE$5, "mmm")=LOWER(K$3))*$AE25:$OE25))</f>
        <v/>
      </c>
      <c r="M25" s="34"/>
      <c r="N25" s="34" t="str" cm="1">
        <f t="array" ref="N25">IF($C25="","",SUMPRODUCT((TEXT($AE$5:$OE$5, "mmm")=LOWER(M$3))*$AE25:$OE25))</f>
        <v/>
      </c>
      <c r="O25" s="34"/>
      <c r="P25" s="34" t="str" cm="1">
        <f t="array" ref="P25">IF($C25="","",SUMPRODUCT((TEXT($AE$5:$OE$5, "mmm")=LOWER(O$3))*$AE25:$OE25))</f>
        <v/>
      </c>
      <c r="Q25" s="34"/>
      <c r="R25" s="34" t="str" cm="1">
        <f t="array" ref="R25">IF($C25="","",SUMPRODUCT((TEXT($AE$5:$OE$5, "mmm")=LOWER(Q$3))*$AE25:$OE25))</f>
        <v/>
      </c>
      <c r="S25" s="34"/>
      <c r="T25" s="34" t="str" cm="1">
        <f t="array" ref="T25">IF($C25="","",SUMPRODUCT((TEXT($AE$5:$OE$5, "mmm")=LOWER(S$3))*$AE25:$OE25))</f>
        <v/>
      </c>
      <c r="U25" s="34"/>
      <c r="V25" s="34" t="str" cm="1">
        <f t="array" ref="V25">IF($C25="","",SUMPRODUCT((TEXT($AE$5:$OE$5, "mmm")=LOWER(U$3))*$AE25:$OE25))</f>
        <v/>
      </c>
      <c r="W25" s="34"/>
      <c r="X25" s="34" t="str" cm="1">
        <f t="array" ref="X25">IF($C25="","",SUMPRODUCT((TEXT($AE$5:$OE$5, "mmm")=LOWER(W$3))*$AE25:$OE25))</f>
        <v/>
      </c>
      <c r="Y25" s="34"/>
      <c r="Z25" s="34" t="str" cm="1">
        <f t="array" ref="Z25">IF($C25="","",SUMPRODUCT((TEXT($AE$5:$OE$5, "mmm")=LOWER(Y$3))*$AE25:$OE25))</f>
        <v/>
      </c>
      <c r="AA25" s="34"/>
      <c r="AB25" s="34" t="str" cm="1">
        <f t="array" ref="AB25">IF($C25="","",SUMPRODUCT((TEXT($AE$5:$OE$5, "mmm")=LOWER(AA$3))*$AE25:$OE25))</f>
        <v/>
      </c>
      <c r="AC25" s="34"/>
      <c r="AD25" s="34" t="str" cm="1">
        <f t="array" ref="AD25">IF($C25="","",SUMPRODUCT((TEXT($AE$5:$OE$5, "mmm")=LOWER(AC$3))*$AE25:$OE25))</f>
        <v/>
      </c>
      <c r="AE25" s="47"/>
      <c r="AF25" s="47"/>
      <c r="AG25" s="47"/>
      <c r="AH25" s="47"/>
      <c r="AI25" s="47"/>
      <c r="AJ25" s="47"/>
      <c r="AK25" s="47"/>
      <c r="AL25" s="47"/>
      <c r="AM25" s="47"/>
      <c r="AN25" s="47"/>
      <c r="AO25" s="47"/>
      <c r="AP25" s="47"/>
      <c r="AQ25" s="47"/>
      <c r="AR25" s="47"/>
      <c r="AS25" s="47"/>
      <c r="AT25" s="47"/>
      <c r="AU25" s="47"/>
      <c r="AV25" s="47"/>
      <c r="AW25" s="47"/>
      <c r="AX25" s="47"/>
      <c r="AY25" s="47"/>
      <c r="AZ25" s="47"/>
      <c r="BA25" s="47"/>
      <c r="BB25" s="47"/>
      <c r="BC25" s="47"/>
      <c r="BD25" s="47"/>
      <c r="BE25" s="47"/>
      <c r="BF25" s="47"/>
      <c r="BG25" s="47"/>
      <c r="BH25" s="47"/>
      <c r="BI25" s="47"/>
      <c r="BJ25" s="47"/>
      <c r="BK25" s="47"/>
      <c r="BL25" s="47"/>
      <c r="BM25" s="47"/>
      <c r="BN25" s="47"/>
      <c r="BO25" s="47"/>
      <c r="BP25" s="47"/>
      <c r="BQ25" s="47"/>
      <c r="BR25" s="47"/>
      <c r="BS25" s="47"/>
      <c r="BT25" s="47"/>
      <c r="BU25" s="47"/>
      <c r="BV25" s="47"/>
      <c r="BW25" s="47"/>
      <c r="BX25" s="47"/>
      <c r="BY25" s="47"/>
      <c r="BZ25" s="47"/>
      <c r="CA25" s="47"/>
      <c r="CB25" s="47"/>
      <c r="CC25" s="47"/>
      <c r="CD25" s="47"/>
      <c r="CE25" s="47"/>
      <c r="CF25" s="47"/>
      <c r="CG25" s="47"/>
      <c r="CH25" s="47"/>
      <c r="CI25" s="47"/>
      <c r="CJ25" s="47"/>
      <c r="CK25" s="47"/>
      <c r="CL25" s="47"/>
      <c r="CM25" s="47"/>
      <c r="CN25" s="47"/>
      <c r="CO25" s="47"/>
      <c r="CP25" s="47"/>
      <c r="CQ25" s="47"/>
      <c r="CR25" s="47"/>
      <c r="CS25" s="47"/>
      <c r="CT25" s="47"/>
      <c r="CU25" s="47"/>
      <c r="CV25" s="47"/>
      <c r="CW25" s="47"/>
      <c r="CX25" s="47"/>
      <c r="CY25" s="47"/>
      <c r="CZ25" s="47"/>
      <c r="DA25" s="47"/>
      <c r="DB25" s="47"/>
      <c r="DC25" s="47"/>
      <c r="DD25" s="47"/>
      <c r="DE25" s="47"/>
      <c r="DF25" s="47"/>
      <c r="DG25" s="47"/>
      <c r="DH25" s="47"/>
      <c r="DI25" s="47"/>
      <c r="DJ25" s="47"/>
      <c r="DK25" s="47"/>
      <c r="DL25" s="47"/>
      <c r="DM25" s="47"/>
      <c r="DN25" s="47"/>
      <c r="DO25" s="47"/>
      <c r="DP25" s="47"/>
      <c r="DQ25" s="47"/>
      <c r="DR25" s="47"/>
      <c r="DS25" s="47"/>
      <c r="DT25" s="47"/>
      <c r="DU25" s="47"/>
      <c r="DV25" s="47"/>
      <c r="DW25" s="47"/>
      <c r="DX25" s="47"/>
      <c r="DY25" s="47"/>
      <c r="DZ25" s="47"/>
      <c r="EA25" s="47"/>
      <c r="EB25" s="47"/>
      <c r="EC25" s="47"/>
      <c r="ED25" s="47"/>
      <c r="EE25" s="47"/>
      <c r="EF25" s="47"/>
      <c r="EG25" s="47"/>
      <c r="EH25" s="47"/>
      <c r="EI25" s="47"/>
      <c r="EJ25" s="47"/>
      <c r="EK25" s="47"/>
      <c r="EL25" s="47"/>
      <c r="EM25" s="47"/>
      <c r="EN25" s="47"/>
      <c r="EO25" s="47"/>
      <c r="EP25" s="47"/>
      <c r="EQ25" s="47"/>
      <c r="ER25" s="47"/>
      <c r="ES25" s="47"/>
      <c r="ET25" s="47"/>
      <c r="EU25" s="47"/>
      <c r="EV25" s="47"/>
      <c r="EW25" s="47"/>
      <c r="EX25" s="47"/>
      <c r="EY25" s="47"/>
      <c r="EZ25" s="47"/>
      <c r="FA25" s="47"/>
      <c r="FB25" s="47"/>
      <c r="FC25" s="47"/>
      <c r="FD25" s="47"/>
      <c r="FE25" s="47"/>
      <c r="FF25" s="47"/>
      <c r="FG25" s="47"/>
      <c r="FH25" s="47"/>
      <c r="FI25" s="47"/>
      <c r="FJ25" s="47"/>
      <c r="FK25" s="47"/>
      <c r="FL25" s="47"/>
      <c r="FM25" s="47"/>
      <c r="FN25" s="47"/>
      <c r="FO25" s="47"/>
      <c r="FP25" s="47"/>
      <c r="FQ25" s="47"/>
      <c r="FR25" s="47"/>
      <c r="FS25" s="47"/>
      <c r="FT25" s="47"/>
      <c r="FU25" s="47"/>
      <c r="FV25" s="47"/>
      <c r="FW25" s="47"/>
      <c r="FX25" s="47"/>
      <c r="FY25" s="47"/>
      <c r="FZ25" s="47"/>
      <c r="GA25" s="47"/>
      <c r="GB25" s="47"/>
      <c r="GC25" s="47"/>
      <c r="GD25" s="47"/>
      <c r="GE25" s="47"/>
      <c r="GF25" s="47"/>
      <c r="GG25" s="47"/>
      <c r="GH25" s="47"/>
      <c r="GI25" s="47"/>
      <c r="GJ25" s="47"/>
      <c r="GK25" s="47"/>
      <c r="GL25" s="47"/>
      <c r="GM25" s="47"/>
      <c r="GN25" s="47"/>
      <c r="GO25" s="47"/>
      <c r="GP25" s="47"/>
      <c r="GQ25" s="47"/>
      <c r="GR25" s="47"/>
      <c r="GS25" s="47"/>
      <c r="GT25" s="47"/>
      <c r="GU25" s="47"/>
      <c r="GV25" s="47"/>
      <c r="GW25" s="47"/>
      <c r="GX25" s="47"/>
      <c r="GY25" s="47"/>
      <c r="GZ25" s="47"/>
      <c r="HA25" s="47"/>
      <c r="HB25" s="47"/>
      <c r="HC25" s="47"/>
      <c r="HD25" s="47"/>
      <c r="HE25" s="47"/>
      <c r="HF25" s="47"/>
      <c r="HG25" s="47"/>
      <c r="HH25" s="47"/>
      <c r="HI25" s="47"/>
      <c r="HJ25" s="47"/>
      <c r="HK25" s="47"/>
      <c r="HL25" s="47"/>
      <c r="HM25" s="47"/>
      <c r="HN25" s="47"/>
      <c r="HO25" s="47"/>
      <c r="HP25" s="47"/>
      <c r="HQ25" s="47"/>
      <c r="HR25" s="47"/>
      <c r="HS25" s="47"/>
      <c r="HT25" s="47"/>
      <c r="HU25" s="47"/>
      <c r="HV25" s="47"/>
      <c r="HW25" s="47"/>
      <c r="HX25" s="47"/>
      <c r="HY25" s="47"/>
      <c r="HZ25" s="47"/>
      <c r="IA25" s="47"/>
      <c r="IB25" s="47"/>
      <c r="IC25" s="47"/>
      <c r="ID25" s="47"/>
      <c r="IE25" s="47"/>
      <c r="IF25" s="47"/>
      <c r="IG25" s="47"/>
      <c r="IH25" s="47"/>
      <c r="II25" s="47"/>
      <c r="IJ25" s="47"/>
      <c r="IK25" s="47"/>
      <c r="IL25" s="47"/>
      <c r="IM25" s="47"/>
      <c r="IN25" s="47"/>
      <c r="IO25" s="47"/>
      <c r="IP25" s="47"/>
      <c r="IQ25" s="47"/>
      <c r="IR25" s="47"/>
      <c r="IS25" s="47"/>
      <c r="IT25" s="47"/>
      <c r="IU25" s="47"/>
      <c r="IV25" s="47"/>
      <c r="IW25" s="47"/>
      <c r="IX25" s="47"/>
      <c r="IY25" s="47"/>
      <c r="IZ25" s="47"/>
      <c r="JA25" s="47"/>
      <c r="JB25" s="47"/>
      <c r="JC25" s="47"/>
      <c r="JD25" s="47"/>
      <c r="JE25" s="47"/>
      <c r="JF25" s="47"/>
      <c r="JG25" s="47"/>
      <c r="JH25" s="47"/>
      <c r="JI25" s="47"/>
      <c r="JJ25" s="47"/>
      <c r="JK25" s="47"/>
      <c r="JL25" s="47"/>
      <c r="JM25" s="47"/>
      <c r="JN25" s="47"/>
      <c r="JO25" s="47"/>
      <c r="JP25" s="47"/>
      <c r="JQ25" s="47"/>
      <c r="JR25" s="47"/>
      <c r="JS25" s="47"/>
      <c r="JT25" s="47"/>
      <c r="JU25" s="47"/>
      <c r="JV25" s="47"/>
      <c r="JW25" s="47"/>
      <c r="JX25" s="47"/>
      <c r="JY25" s="47"/>
      <c r="JZ25" s="47"/>
      <c r="KA25" s="47"/>
      <c r="KB25" s="47"/>
      <c r="KC25" s="47"/>
      <c r="KD25" s="47"/>
      <c r="KE25" s="47"/>
      <c r="KF25" s="47"/>
      <c r="KG25" s="47"/>
      <c r="KH25" s="47"/>
      <c r="KI25" s="47"/>
      <c r="KJ25" s="47"/>
      <c r="KK25" s="47"/>
      <c r="KL25" s="47"/>
      <c r="KM25" s="47"/>
      <c r="KN25" s="47"/>
      <c r="KO25" s="47"/>
      <c r="KP25" s="47"/>
      <c r="KQ25" s="47"/>
      <c r="KR25" s="47"/>
      <c r="KS25" s="47"/>
      <c r="KT25" s="47"/>
      <c r="KU25" s="47"/>
      <c r="KV25" s="47"/>
      <c r="KW25" s="47"/>
      <c r="KX25" s="47"/>
      <c r="KY25" s="47"/>
      <c r="KZ25" s="47"/>
      <c r="LA25" s="47"/>
      <c r="LB25" s="47"/>
      <c r="LC25" s="47"/>
      <c r="LD25" s="47"/>
      <c r="LE25" s="47"/>
      <c r="LF25" s="47"/>
      <c r="LG25" s="47"/>
      <c r="LH25" s="47"/>
      <c r="LI25" s="47"/>
      <c r="LJ25" s="47"/>
      <c r="LK25" s="47"/>
      <c r="LL25" s="47"/>
      <c r="LM25" s="47"/>
      <c r="LN25" s="47"/>
      <c r="LO25" s="47"/>
      <c r="LP25" s="47"/>
      <c r="LQ25" s="47"/>
      <c r="LR25" s="47"/>
      <c r="LS25" s="47"/>
      <c r="LT25" s="47"/>
      <c r="LU25" s="47"/>
      <c r="LV25" s="47"/>
      <c r="LW25" s="47"/>
      <c r="LX25" s="47"/>
      <c r="LY25" s="47"/>
      <c r="LZ25" s="47"/>
      <c r="MA25" s="47"/>
      <c r="MB25" s="47"/>
      <c r="MC25" s="47"/>
      <c r="MD25" s="47"/>
      <c r="ME25" s="47"/>
      <c r="MF25" s="47"/>
      <c r="MG25" s="47"/>
      <c r="MH25" s="47"/>
      <c r="MI25" s="47"/>
      <c r="MJ25" s="47"/>
      <c r="MK25" s="47"/>
      <c r="ML25" s="47"/>
      <c r="MM25" s="47"/>
      <c r="MN25" s="47"/>
      <c r="MO25" s="47"/>
      <c r="MP25" s="47"/>
      <c r="MQ25" s="47"/>
      <c r="MR25" s="47"/>
      <c r="MS25" s="47"/>
      <c r="MT25" s="47"/>
      <c r="MU25" s="47"/>
      <c r="MV25" s="47"/>
      <c r="MW25" s="47"/>
      <c r="MX25" s="47"/>
      <c r="MY25" s="47"/>
      <c r="MZ25" s="47"/>
      <c r="NA25" s="47"/>
      <c r="NB25" s="47"/>
      <c r="NC25" s="47"/>
      <c r="ND25" s="47"/>
      <c r="NE25" s="47"/>
      <c r="NF25" s="47"/>
      <c r="NG25" s="47"/>
      <c r="NH25" s="47"/>
      <c r="NI25" s="47"/>
      <c r="NJ25" s="47"/>
      <c r="NK25" s="47"/>
      <c r="NL25" s="47"/>
      <c r="NM25" s="47"/>
      <c r="NN25" s="47"/>
      <c r="NO25" s="47"/>
      <c r="NP25" s="47"/>
      <c r="NQ25" s="47"/>
      <c r="NR25" s="47"/>
      <c r="NS25" s="47"/>
      <c r="NT25" s="47"/>
      <c r="NU25" s="47"/>
      <c r="NV25" s="47"/>
      <c r="NW25" s="47"/>
      <c r="NX25" s="47"/>
      <c r="NY25" s="47"/>
      <c r="NZ25" s="47"/>
      <c r="OA25" s="47"/>
      <c r="OB25" s="47"/>
      <c r="OC25" s="47"/>
      <c r="OD25" s="47"/>
      <c r="OE25" s="48"/>
    </row>
    <row r="26" spans="1:395">
      <c r="A26" s="33" t="str">
        <f t="shared" si="18"/>
        <v/>
      </c>
      <c r="C26" s="2" t="str">
        <f>IF(ISBLANK($B26),"",_xlfn.XLOOKUP($B26,Task_No,Project!$C$3:$C$144,"INVALID TASK"))</f>
        <v/>
      </c>
      <c r="D26" s="27"/>
      <c r="E26" s="7" t="str">
        <f t="shared" si="19"/>
        <v/>
      </c>
      <c r="F26" s="7" t="str">
        <f t="shared" si="17"/>
        <v/>
      </c>
      <c r="G26" s="34"/>
      <c r="H26" s="34" t="str" cm="1">
        <f t="array" ref="H26">IF($C26="","",SUMPRODUCT((TEXT($AE$5:$OE$5, "mmm")=LOWER(G$3))*$AE26:$OE26))</f>
        <v/>
      </c>
      <c r="I26" s="34"/>
      <c r="J26" s="34" t="str" cm="1">
        <f t="array" ref="J26">IF($C26="","",SUMPRODUCT((TEXT($AE$5:$OE$5, "mmm")=LOWER(I$3))*$AE26:$OE26))</f>
        <v/>
      </c>
      <c r="K26" s="34"/>
      <c r="L26" s="34" t="str" cm="1">
        <f t="array" ref="L26">IF($C26="","",SUMPRODUCT((TEXT($AE$5:$OE$5, "mmm")=LOWER(K$3))*$AE26:$OE26))</f>
        <v/>
      </c>
      <c r="M26" s="34"/>
      <c r="N26" s="34" t="str" cm="1">
        <f t="array" ref="N26">IF($C26="","",SUMPRODUCT((TEXT($AE$5:$OE$5, "mmm")=LOWER(M$3))*$AE26:$OE26))</f>
        <v/>
      </c>
      <c r="O26" s="34"/>
      <c r="P26" s="34" t="str" cm="1">
        <f t="array" ref="P26">IF($C26="","",SUMPRODUCT((TEXT($AE$5:$OE$5, "mmm")=LOWER(O$3))*$AE26:$OE26))</f>
        <v/>
      </c>
      <c r="Q26" s="34"/>
      <c r="R26" s="34" t="str" cm="1">
        <f t="array" ref="R26">IF($C26="","",SUMPRODUCT((TEXT($AE$5:$OE$5, "mmm")=LOWER(Q$3))*$AE26:$OE26))</f>
        <v/>
      </c>
      <c r="S26" s="34"/>
      <c r="T26" s="34" t="str" cm="1">
        <f t="array" ref="T26">IF($C26="","",SUMPRODUCT((TEXT($AE$5:$OE$5, "mmm")=LOWER(S$3))*$AE26:$OE26))</f>
        <v/>
      </c>
      <c r="U26" s="34"/>
      <c r="V26" s="34" t="str" cm="1">
        <f t="array" ref="V26">IF($C26="","",SUMPRODUCT((TEXT($AE$5:$OE$5, "mmm")=LOWER(U$3))*$AE26:$OE26))</f>
        <v/>
      </c>
      <c r="W26" s="34"/>
      <c r="X26" s="34" t="str" cm="1">
        <f t="array" ref="X26">IF($C26="","",SUMPRODUCT((TEXT($AE$5:$OE$5, "mmm")=LOWER(W$3))*$AE26:$OE26))</f>
        <v/>
      </c>
      <c r="Y26" s="34"/>
      <c r="Z26" s="34" t="str" cm="1">
        <f t="array" ref="Z26">IF($C26="","",SUMPRODUCT((TEXT($AE$5:$OE$5, "mmm")=LOWER(Y$3))*$AE26:$OE26))</f>
        <v/>
      </c>
      <c r="AA26" s="34"/>
      <c r="AB26" s="34" t="str" cm="1">
        <f t="array" ref="AB26">IF($C26="","",SUMPRODUCT((TEXT($AE$5:$OE$5, "mmm")=LOWER(AA$3))*$AE26:$OE26))</f>
        <v/>
      </c>
      <c r="AC26" s="34"/>
      <c r="AD26" s="34" t="str" cm="1">
        <f t="array" ref="AD26">IF($C26="","",SUMPRODUCT((TEXT($AE$5:$OE$5, "mmm")=LOWER(AC$3))*$AE26:$OE26))</f>
        <v/>
      </c>
      <c r="AE26" s="47"/>
      <c r="AF26" s="47"/>
      <c r="AG26" s="47"/>
      <c r="AH26" s="47"/>
      <c r="AI26" s="47"/>
      <c r="AJ26" s="47"/>
      <c r="AK26" s="47"/>
      <c r="AL26" s="47"/>
      <c r="AM26" s="47"/>
      <c r="AN26" s="47"/>
      <c r="AO26" s="47"/>
      <c r="AP26" s="47"/>
      <c r="AQ26" s="47"/>
      <c r="AR26" s="47"/>
      <c r="AS26" s="47"/>
      <c r="AT26" s="47"/>
      <c r="AU26" s="47"/>
      <c r="AV26" s="47"/>
      <c r="AW26" s="47"/>
      <c r="AX26" s="47"/>
      <c r="AY26" s="47"/>
      <c r="AZ26" s="47"/>
      <c r="BA26" s="47"/>
      <c r="BB26" s="47"/>
      <c r="BC26" s="47"/>
      <c r="BD26" s="47"/>
      <c r="BE26" s="47"/>
      <c r="BF26" s="47"/>
      <c r="BG26" s="47"/>
      <c r="BH26" s="47"/>
      <c r="BI26" s="47"/>
      <c r="BJ26" s="47"/>
      <c r="BK26" s="47"/>
      <c r="BL26" s="47"/>
      <c r="BM26" s="47"/>
      <c r="BN26" s="47"/>
      <c r="BO26" s="47"/>
      <c r="BP26" s="47"/>
      <c r="BQ26" s="47"/>
      <c r="BR26" s="47"/>
      <c r="BS26" s="47"/>
      <c r="BT26" s="47"/>
      <c r="BU26" s="47"/>
      <c r="BV26" s="47"/>
      <c r="BW26" s="47"/>
      <c r="BX26" s="47"/>
      <c r="BY26" s="47"/>
      <c r="BZ26" s="47"/>
      <c r="CA26" s="47"/>
      <c r="CB26" s="47"/>
      <c r="CC26" s="47"/>
      <c r="CD26" s="47"/>
      <c r="CE26" s="47"/>
      <c r="CF26" s="47"/>
      <c r="CG26" s="47"/>
      <c r="CH26" s="47"/>
      <c r="CI26" s="47"/>
      <c r="CJ26" s="47"/>
      <c r="CK26" s="47"/>
      <c r="CL26" s="47"/>
      <c r="CM26" s="47"/>
      <c r="CN26" s="47"/>
      <c r="CO26" s="47"/>
      <c r="CP26" s="47"/>
      <c r="CQ26" s="47"/>
      <c r="CR26" s="47"/>
      <c r="CS26" s="47"/>
      <c r="CT26" s="47"/>
      <c r="CU26" s="47"/>
      <c r="CV26" s="47"/>
      <c r="CW26" s="47"/>
      <c r="CX26" s="47"/>
      <c r="CY26" s="47"/>
      <c r="CZ26" s="47"/>
      <c r="DA26" s="47"/>
      <c r="DB26" s="47"/>
      <c r="DC26" s="47"/>
      <c r="DD26" s="47"/>
      <c r="DE26" s="47"/>
      <c r="DF26" s="47"/>
      <c r="DG26" s="47"/>
      <c r="DH26" s="47"/>
      <c r="DI26" s="47"/>
      <c r="DJ26" s="47"/>
      <c r="DK26" s="47"/>
      <c r="DL26" s="47"/>
      <c r="DM26" s="47"/>
      <c r="DN26" s="47"/>
      <c r="DO26" s="47"/>
      <c r="DP26" s="47"/>
      <c r="DQ26" s="47"/>
      <c r="DR26" s="47"/>
      <c r="DS26" s="47"/>
      <c r="DT26" s="47"/>
      <c r="DU26" s="47"/>
      <c r="DV26" s="47"/>
      <c r="DW26" s="47"/>
      <c r="DX26" s="47"/>
      <c r="DY26" s="47"/>
      <c r="DZ26" s="47"/>
      <c r="EA26" s="47"/>
      <c r="EB26" s="47"/>
      <c r="EC26" s="47"/>
      <c r="ED26" s="47"/>
      <c r="EE26" s="47"/>
      <c r="EF26" s="47"/>
      <c r="EG26" s="47"/>
      <c r="EH26" s="47"/>
      <c r="EI26" s="47"/>
      <c r="EJ26" s="47"/>
      <c r="EK26" s="47"/>
      <c r="EL26" s="47"/>
      <c r="EM26" s="47"/>
      <c r="EN26" s="47"/>
      <c r="EO26" s="47"/>
      <c r="EP26" s="47"/>
      <c r="EQ26" s="47"/>
      <c r="ER26" s="47"/>
      <c r="ES26" s="47"/>
      <c r="ET26" s="47"/>
      <c r="EU26" s="47"/>
      <c r="EV26" s="47"/>
      <c r="EW26" s="47"/>
      <c r="EX26" s="47"/>
      <c r="EY26" s="47"/>
      <c r="EZ26" s="47"/>
      <c r="FA26" s="47"/>
      <c r="FB26" s="47"/>
      <c r="FC26" s="47"/>
      <c r="FD26" s="47"/>
      <c r="FE26" s="47"/>
      <c r="FF26" s="47"/>
      <c r="FG26" s="47"/>
      <c r="FH26" s="47"/>
      <c r="FI26" s="47"/>
      <c r="FJ26" s="47"/>
      <c r="FK26" s="47"/>
      <c r="FL26" s="47"/>
      <c r="FM26" s="47"/>
      <c r="FN26" s="47"/>
      <c r="FO26" s="47"/>
      <c r="FP26" s="47"/>
      <c r="FQ26" s="47"/>
      <c r="FR26" s="47"/>
      <c r="FS26" s="47"/>
      <c r="FT26" s="47"/>
      <c r="FU26" s="47"/>
      <c r="FV26" s="47"/>
      <c r="FW26" s="47"/>
      <c r="FX26" s="47"/>
      <c r="FY26" s="47"/>
      <c r="FZ26" s="47"/>
      <c r="GA26" s="47"/>
      <c r="GB26" s="47"/>
      <c r="GC26" s="47"/>
      <c r="GD26" s="47"/>
      <c r="GE26" s="47"/>
      <c r="GF26" s="47"/>
      <c r="GG26" s="47"/>
      <c r="GH26" s="47"/>
      <c r="GI26" s="47"/>
      <c r="GJ26" s="47"/>
      <c r="GK26" s="47"/>
      <c r="GL26" s="47"/>
      <c r="GM26" s="47"/>
      <c r="GN26" s="47"/>
      <c r="GO26" s="47"/>
      <c r="GP26" s="47"/>
      <c r="GQ26" s="47"/>
      <c r="GR26" s="47"/>
      <c r="GS26" s="47"/>
      <c r="GT26" s="47"/>
      <c r="GU26" s="47"/>
      <c r="GV26" s="47"/>
      <c r="GW26" s="47"/>
      <c r="GX26" s="47"/>
      <c r="GY26" s="47"/>
      <c r="GZ26" s="47"/>
      <c r="HA26" s="47"/>
      <c r="HB26" s="47"/>
      <c r="HC26" s="47"/>
      <c r="HD26" s="47"/>
      <c r="HE26" s="47"/>
      <c r="HF26" s="47"/>
      <c r="HG26" s="47"/>
      <c r="HH26" s="47"/>
      <c r="HI26" s="47"/>
      <c r="HJ26" s="47"/>
      <c r="HK26" s="47"/>
      <c r="HL26" s="47"/>
      <c r="HM26" s="47"/>
      <c r="HN26" s="47"/>
      <c r="HO26" s="47"/>
      <c r="HP26" s="47"/>
      <c r="HQ26" s="47"/>
      <c r="HR26" s="47"/>
      <c r="HS26" s="47"/>
      <c r="HT26" s="47"/>
      <c r="HU26" s="47"/>
      <c r="HV26" s="47"/>
      <c r="HW26" s="47"/>
      <c r="HX26" s="47"/>
      <c r="HY26" s="47"/>
      <c r="HZ26" s="47"/>
      <c r="IA26" s="47"/>
      <c r="IB26" s="47"/>
      <c r="IC26" s="47"/>
      <c r="ID26" s="47"/>
      <c r="IE26" s="47"/>
      <c r="IF26" s="47"/>
      <c r="IG26" s="47"/>
      <c r="IH26" s="47"/>
      <c r="II26" s="47"/>
      <c r="IJ26" s="47"/>
      <c r="IK26" s="47"/>
      <c r="IL26" s="47"/>
      <c r="IM26" s="47"/>
      <c r="IN26" s="47"/>
      <c r="IO26" s="47"/>
      <c r="IP26" s="47"/>
      <c r="IQ26" s="47"/>
      <c r="IR26" s="47"/>
      <c r="IS26" s="47"/>
      <c r="IT26" s="47"/>
      <c r="IU26" s="47"/>
      <c r="IV26" s="47"/>
      <c r="IW26" s="47"/>
      <c r="IX26" s="47"/>
      <c r="IY26" s="47"/>
      <c r="IZ26" s="47"/>
      <c r="JA26" s="47"/>
      <c r="JB26" s="47"/>
      <c r="JC26" s="47"/>
      <c r="JD26" s="47"/>
      <c r="JE26" s="47"/>
      <c r="JF26" s="47"/>
      <c r="JG26" s="47"/>
      <c r="JH26" s="47"/>
      <c r="JI26" s="47"/>
      <c r="JJ26" s="47"/>
      <c r="JK26" s="47"/>
      <c r="JL26" s="47"/>
      <c r="JM26" s="47"/>
      <c r="JN26" s="47"/>
      <c r="JO26" s="47"/>
      <c r="JP26" s="47"/>
      <c r="JQ26" s="47"/>
      <c r="JR26" s="47"/>
      <c r="JS26" s="47"/>
      <c r="JT26" s="47"/>
      <c r="JU26" s="47"/>
      <c r="JV26" s="47"/>
      <c r="JW26" s="47"/>
      <c r="JX26" s="47"/>
      <c r="JY26" s="47"/>
      <c r="JZ26" s="47"/>
      <c r="KA26" s="47"/>
      <c r="KB26" s="47"/>
      <c r="KC26" s="47"/>
      <c r="KD26" s="47"/>
      <c r="KE26" s="47"/>
      <c r="KF26" s="47"/>
      <c r="KG26" s="47"/>
      <c r="KH26" s="47"/>
      <c r="KI26" s="47"/>
      <c r="KJ26" s="47"/>
      <c r="KK26" s="47"/>
      <c r="KL26" s="47"/>
      <c r="KM26" s="47"/>
      <c r="KN26" s="47"/>
      <c r="KO26" s="47"/>
      <c r="KP26" s="47"/>
      <c r="KQ26" s="47"/>
      <c r="KR26" s="47"/>
      <c r="KS26" s="47"/>
      <c r="KT26" s="47"/>
      <c r="KU26" s="47"/>
      <c r="KV26" s="47"/>
      <c r="KW26" s="47"/>
      <c r="KX26" s="47"/>
      <c r="KY26" s="47"/>
      <c r="KZ26" s="47"/>
      <c r="LA26" s="47"/>
      <c r="LB26" s="47"/>
      <c r="LC26" s="47"/>
      <c r="LD26" s="47"/>
      <c r="LE26" s="47"/>
      <c r="LF26" s="47"/>
      <c r="LG26" s="47"/>
      <c r="LH26" s="47"/>
      <c r="LI26" s="47"/>
      <c r="LJ26" s="47"/>
      <c r="LK26" s="47"/>
      <c r="LL26" s="47"/>
      <c r="LM26" s="47"/>
      <c r="LN26" s="47"/>
      <c r="LO26" s="47"/>
      <c r="LP26" s="47"/>
      <c r="LQ26" s="47"/>
      <c r="LR26" s="47"/>
      <c r="LS26" s="47"/>
      <c r="LT26" s="47"/>
      <c r="LU26" s="47"/>
      <c r="LV26" s="47"/>
      <c r="LW26" s="47"/>
      <c r="LX26" s="47"/>
      <c r="LY26" s="47"/>
      <c r="LZ26" s="47"/>
      <c r="MA26" s="47"/>
      <c r="MB26" s="47"/>
      <c r="MC26" s="47"/>
      <c r="MD26" s="47"/>
      <c r="ME26" s="47"/>
      <c r="MF26" s="47"/>
      <c r="MG26" s="47"/>
      <c r="MH26" s="47"/>
      <c r="MI26" s="47"/>
      <c r="MJ26" s="47"/>
      <c r="MK26" s="47"/>
      <c r="ML26" s="47"/>
      <c r="MM26" s="47"/>
      <c r="MN26" s="47"/>
      <c r="MO26" s="47"/>
      <c r="MP26" s="47"/>
      <c r="MQ26" s="47"/>
      <c r="MR26" s="47"/>
      <c r="MS26" s="47"/>
      <c r="MT26" s="47"/>
      <c r="MU26" s="47"/>
      <c r="MV26" s="47"/>
      <c r="MW26" s="47"/>
      <c r="MX26" s="47"/>
      <c r="MY26" s="47"/>
      <c r="MZ26" s="47"/>
      <c r="NA26" s="47"/>
      <c r="NB26" s="47"/>
      <c r="NC26" s="47"/>
      <c r="ND26" s="47"/>
      <c r="NE26" s="47"/>
      <c r="NF26" s="47"/>
      <c r="NG26" s="47"/>
      <c r="NH26" s="47"/>
      <c r="NI26" s="47"/>
      <c r="NJ26" s="47"/>
      <c r="NK26" s="47"/>
      <c r="NL26" s="47"/>
      <c r="NM26" s="47"/>
      <c r="NN26" s="47"/>
      <c r="NO26" s="47"/>
      <c r="NP26" s="47"/>
      <c r="NQ26" s="47"/>
      <c r="NR26" s="47"/>
      <c r="NS26" s="47"/>
      <c r="NT26" s="47"/>
      <c r="NU26" s="47"/>
      <c r="NV26" s="47"/>
      <c r="NW26" s="47"/>
      <c r="NX26" s="47"/>
      <c r="NY26" s="47"/>
      <c r="NZ26" s="47"/>
      <c r="OA26" s="47"/>
      <c r="OB26" s="47"/>
      <c r="OC26" s="47"/>
      <c r="OD26" s="47"/>
      <c r="OE26" s="48"/>
    </row>
    <row r="27" spans="1:395">
      <c r="A27" s="33" t="str">
        <f t="shared" si="18"/>
        <v/>
      </c>
      <c r="C27" s="2" t="str">
        <f>IF(ISBLANK($B27),"",_xlfn.XLOOKUP($B27,Task_No,Project!$C$3:$C$144,"INVALID TASK"))</f>
        <v/>
      </c>
      <c r="D27" s="27"/>
      <c r="E27" s="7" t="str">
        <f t="shared" si="19"/>
        <v/>
      </c>
      <c r="F27" s="7" t="str">
        <f t="shared" si="17"/>
        <v/>
      </c>
      <c r="G27" s="34"/>
      <c r="H27" s="34" t="str" cm="1">
        <f t="array" ref="H27">IF($C27="","",SUMPRODUCT((TEXT($AE$5:$OE$5, "mmm")=LOWER(G$3))*$AE27:$OE27))</f>
        <v/>
      </c>
      <c r="I27" s="34"/>
      <c r="J27" s="34" t="str" cm="1">
        <f t="array" ref="J27">IF($C27="","",SUMPRODUCT((TEXT($AE$5:$OE$5, "mmm")=LOWER(I$3))*$AE27:$OE27))</f>
        <v/>
      </c>
      <c r="K27" s="34"/>
      <c r="L27" s="34" t="str" cm="1">
        <f t="array" ref="L27">IF($C27="","",SUMPRODUCT((TEXT($AE$5:$OE$5, "mmm")=LOWER(K$3))*$AE27:$OE27))</f>
        <v/>
      </c>
      <c r="M27" s="34"/>
      <c r="N27" s="34" t="str" cm="1">
        <f t="array" ref="N27">IF($C27="","",SUMPRODUCT((TEXT($AE$5:$OE$5, "mmm")=LOWER(M$3))*$AE27:$OE27))</f>
        <v/>
      </c>
      <c r="O27" s="34"/>
      <c r="P27" s="34" t="str" cm="1">
        <f t="array" ref="P27">IF($C27="","",SUMPRODUCT((TEXT($AE$5:$OE$5, "mmm")=LOWER(O$3))*$AE27:$OE27))</f>
        <v/>
      </c>
      <c r="Q27" s="34"/>
      <c r="R27" s="34" t="str" cm="1">
        <f t="array" ref="R27">IF($C27="","",SUMPRODUCT((TEXT($AE$5:$OE$5, "mmm")=LOWER(Q$3))*$AE27:$OE27))</f>
        <v/>
      </c>
      <c r="S27" s="34"/>
      <c r="T27" s="34" t="str" cm="1">
        <f t="array" ref="T27">IF($C27="","",SUMPRODUCT((TEXT($AE$5:$OE$5, "mmm")=LOWER(S$3))*$AE27:$OE27))</f>
        <v/>
      </c>
      <c r="U27" s="34"/>
      <c r="V27" s="34" t="str" cm="1">
        <f t="array" ref="V27">IF($C27="","",SUMPRODUCT((TEXT($AE$5:$OE$5, "mmm")=LOWER(U$3))*$AE27:$OE27))</f>
        <v/>
      </c>
      <c r="W27" s="34"/>
      <c r="X27" s="34" t="str" cm="1">
        <f t="array" ref="X27">IF($C27="","",SUMPRODUCT((TEXT($AE$5:$OE$5, "mmm")=LOWER(W$3))*$AE27:$OE27))</f>
        <v/>
      </c>
      <c r="Y27" s="34"/>
      <c r="Z27" s="34" t="str" cm="1">
        <f t="array" ref="Z27">IF($C27="","",SUMPRODUCT((TEXT($AE$5:$OE$5, "mmm")=LOWER(Y$3))*$AE27:$OE27))</f>
        <v/>
      </c>
      <c r="AA27" s="34"/>
      <c r="AB27" s="34" t="str" cm="1">
        <f t="array" ref="AB27">IF($C27="","",SUMPRODUCT((TEXT($AE$5:$OE$5, "mmm")=LOWER(AA$3))*$AE27:$OE27))</f>
        <v/>
      </c>
      <c r="AC27" s="34"/>
      <c r="AD27" s="34" t="str" cm="1">
        <f t="array" ref="AD27">IF($C27="","",SUMPRODUCT((TEXT($AE$5:$OE$5, "mmm")=LOWER(AC$3))*$AE27:$OE27))</f>
        <v/>
      </c>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c r="CK27" s="47"/>
      <c r="CL27" s="47"/>
      <c r="CM27" s="47"/>
      <c r="CN27" s="47"/>
      <c r="CO27" s="47"/>
      <c r="CP27" s="47"/>
      <c r="CQ27" s="47"/>
      <c r="CR27" s="47"/>
      <c r="CS27" s="47"/>
      <c r="CT27" s="47"/>
      <c r="CU27" s="47"/>
      <c r="CV27" s="47"/>
      <c r="CW27" s="47"/>
      <c r="CX27" s="47"/>
      <c r="CY27" s="47"/>
      <c r="CZ27" s="47"/>
      <c r="DA27" s="47"/>
      <c r="DB27" s="47"/>
      <c r="DC27" s="47"/>
      <c r="DD27" s="47"/>
      <c r="DE27" s="47"/>
      <c r="DF27" s="47"/>
      <c r="DG27" s="47"/>
      <c r="DH27" s="47"/>
      <c r="DI27" s="47"/>
      <c r="DJ27" s="47"/>
      <c r="DK27" s="47"/>
      <c r="DL27" s="47"/>
      <c r="DM27" s="47"/>
      <c r="DN27" s="47"/>
      <c r="DO27" s="47"/>
      <c r="DP27" s="47"/>
      <c r="DQ27" s="47"/>
      <c r="DR27" s="47"/>
      <c r="DS27" s="47"/>
      <c r="DT27" s="47"/>
      <c r="DU27" s="47"/>
      <c r="DV27" s="47"/>
      <c r="DW27" s="47"/>
      <c r="DX27" s="47"/>
      <c r="DY27" s="47"/>
      <c r="DZ27" s="47"/>
      <c r="EA27" s="47"/>
      <c r="EB27" s="47"/>
      <c r="EC27" s="47"/>
      <c r="ED27" s="47"/>
      <c r="EE27" s="47"/>
      <c r="EF27" s="47"/>
      <c r="EG27" s="47"/>
      <c r="EH27" s="47"/>
      <c r="EI27" s="47"/>
      <c r="EJ27" s="47"/>
      <c r="EK27" s="47"/>
      <c r="EL27" s="47"/>
      <c r="EM27" s="47"/>
      <c r="EN27" s="47"/>
      <c r="EO27" s="47"/>
      <c r="EP27" s="47"/>
      <c r="EQ27" s="47"/>
      <c r="ER27" s="47"/>
      <c r="ES27" s="47"/>
      <c r="ET27" s="47"/>
      <c r="EU27" s="47"/>
      <c r="EV27" s="47"/>
      <c r="EW27" s="47"/>
      <c r="EX27" s="47"/>
      <c r="EY27" s="47"/>
      <c r="EZ27" s="47"/>
      <c r="FA27" s="47"/>
      <c r="FB27" s="47"/>
      <c r="FC27" s="47"/>
      <c r="FD27" s="47"/>
      <c r="FE27" s="47"/>
      <c r="FF27" s="47"/>
      <c r="FG27" s="47"/>
      <c r="FH27" s="47"/>
      <c r="FI27" s="47"/>
      <c r="FJ27" s="47"/>
      <c r="FK27" s="47"/>
      <c r="FL27" s="47"/>
      <c r="FM27" s="47"/>
      <c r="FN27" s="47"/>
      <c r="FO27" s="47"/>
      <c r="FP27" s="47"/>
      <c r="FQ27" s="47"/>
      <c r="FR27" s="47"/>
      <c r="FS27" s="47"/>
      <c r="FT27" s="47"/>
      <c r="FU27" s="47"/>
      <c r="FV27" s="47"/>
      <c r="FW27" s="47"/>
      <c r="FX27" s="47"/>
      <c r="FY27" s="47"/>
      <c r="FZ27" s="47"/>
      <c r="GA27" s="47"/>
      <c r="GB27" s="47"/>
      <c r="GC27" s="47"/>
      <c r="GD27" s="47"/>
      <c r="GE27" s="47"/>
      <c r="GF27" s="47"/>
      <c r="GG27" s="47"/>
      <c r="GH27" s="47"/>
      <c r="GI27" s="47"/>
      <c r="GJ27" s="47"/>
      <c r="GK27" s="47"/>
      <c r="GL27" s="47"/>
      <c r="GM27" s="47"/>
      <c r="GN27" s="47"/>
      <c r="GO27" s="47"/>
      <c r="GP27" s="47"/>
      <c r="GQ27" s="47"/>
      <c r="GR27" s="47"/>
      <c r="GS27" s="47"/>
      <c r="GT27" s="47"/>
      <c r="GU27" s="47"/>
      <c r="GV27" s="47"/>
      <c r="GW27" s="47"/>
      <c r="GX27" s="47"/>
      <c r="GY27" s="47"/>
      <c r="GZ27" s="47"/>
      <c r="HA27" s="47"/>
      <c r="HB27" s="47"/>
      <c r="HC27" s="47"/>
      <c r="HD27" s="47"/>
      <c r="HE27" s="47"/>
      <c r="HF27" s="47"/>
      <c r="HG27" s="47"/>
      <c r="HH27" s="47"/>
      <c r="HI27" s="47"/>
      <c r="HJ27" s="47"/>
      <c r="HK27" s="47"/>
      <c r="HL27" s="47"/>
      <c r="HM27" s="47"/>
      <c r="HN27" s="47"/>
      <c r="HO27" s="47"/>
      <c r="HP27" s="47"/>
      <c r="HQ27" s="47"/>
      <c r="HR27" s="47"/>
      <c r="HS27" s="47"/>
      <c r="HT27" s="47"/>
      <c r="HU27" s="47"/>
      <c r="HV27" s="47"/>
      <c r="HW27" s="47"/>
      <c r="HX27" s="47"/>
      <c r="HY27" s="47"/>
      <c r="HZ27" s="47"/>
      <c r="IA27" s="47"/>
      <c r="IB27" s="47"/>
      <c r="IC27" s="47"/>
      <c r="ID27" s="47"/>
      <c r="IE27" s="47"/>
      <c r="IF27" s="47"/>
      <c r="IG27" s="47"/>
      <c r="IH27" s="47"/>
      <c r="II27" s="47"/>
      <c r="IJ27" s="47"/>
      <c r="IK27" s="47"/>
      <c r="IL27" s="47"/>
      <c r="IM27" s="47"/>
      <c r="IN27" s="47"/>
      <c r="IO27" s="47"/>
      <c r="IP27" s="47"/>
      <c r="IQ27" s="47"/>
      <c r="IR27" s="47"/>
      <c r="IS27" s="47"/>
      <c r="IT27" s="47"/>
      <c r="IU27" s="47"/>
      <c r="IV27" s="47"/>
      <c r="IW27" s="47"/>
      <c r="IX27" s="47"/>
      <c r="IY27" s="47"/>
      <c r="IZ27" s="47"/>
      <c r="JA27" s="47"/>
      <c r="JB27" s="47"/>
      <c r="JC27" s="47"/>
      <c r="JD27" s="47"/>
      <c r="JE27" s="47"/>
      <c r="JF27" s="47"/>
      <c r="JG27" s="47"/>
      <c r="JH27" s="47"/>
      <c r="JI27" s="47"/>
      <c r="JJ27" s="47"/>
      <c r="JK27" s="47"/>
      <c r="JL27" s="47"/>
      <c r="JM27" s="47"/>
      <c r="JN27" s="47"/>
      <c r="JO27" s="47"/>
      <c r="JP27" s="47"/>
      <c r="JQ27" s="47"/>
      <c r="JR27" s="47"/>
      <c r="JS27" s="47"/>
      <c r="JT27" s="47"/>
      <c r="JU27" s="47"/>
      <c r="JV27" s="47"/>
      <c r="JW27" s="47"/>
      <c r="JX27" s="47"/>
      <c r="JY27" s="47"/>
      <c r="JZ27" s="47"/>
      <c r="KA27" s="47"/>
      <c r="KB27" s="47"/>
      <c r="KC27" s="47"/>
      <c r="KD27" s="47"/>
      <c r="KE27" s="47"/>
      <c r="KF27" s="47"/>
      <c r="KG27" s="47"/>
      <c r="KH27" s="47"/>
      <c r="KI27" s="47"/>
      <c r="KJ27" s="47"/>
      <c r="KK27" s="47"/>
      <c r="KL27" s="47"/>
      <c r="KM27" s="47"/>
      <c r="KN27" s="47"/>
      <c r="KO27" s="47"/>
      <c r="KP27" s="47"/>
      <c r="KQ27" s="47"/>
      <c r="KR27" s="47"/>
      <c r="KS27" s="47"/>
      <c r="KT27" s="47"/>
      <c r="KU27" s="47"/>
      <c r="KV27" s="47"/>
      <c r="KW27" s="47"/>
      <c r="KX27" s="47"/>
      <c r="KY27" s="47"/>
      <c r="KZ27" s="47"/>
      <c r="LA27" s="47"/>
      <c r="LB27" s="47"/>
      <c r="LC27" s="47"/>
      <c r="LD27" s="47"/>
      <c r="LE27" s="47"/>
      <c r="LF27" s="47"/>
      <c r="LG27" s="47"/>
      <c r="LH27" s="47"/>
      <c r="LI27" s="47"/>
      <c r="LJ27" s="47"/>
      <c r="LK27" s="47"/>
      <c r="LL27" s="47"/>
      <c r="LM27" s="47"/>
      <c r="LN27" s="47"/>
      <c r="LO27" s="47"/>
      <c r="LP27" s="47"/>
      <c r="LQ27" s="47"/>
      <c r="LR27" s="47"/>
      <c r="LS27" s="47"/>
      <c r="LT27" s="47"/>
      <c r="LU27" s="47"/>
      <c r="LV27" s="47"/>
      <c r="LW27" s="47"/>
      <c r="LX27" s="47"/>
      <c r="LY27" s="47"/>
      <c r="LZ27" s="47"/>
      <c r="MA27" s="47"/>
      <c r="MB27" s="47"/>
      <c r="MC27" s="47"/>
      <c r="MD27" s="47"/>
      <c r="ME27" s="47"/>
      <c r="MF27" s="47"/>
      <c r="MG27" s="47"/>
      <c r="MH27" s="47"/>
      <c r="MI27" s="47"/>
      <c r="MJ27" s="47"/>
      <c r="MK27" s="47"/>
      <c r="ML27" s="47"/>
      <c r="MM27" s="47"/>
      <c r="MN27" s="47"/>
      <c r="MO27" s="47"/>
      <c r="MP27" s="47"/>
      <c r="MQ27" s="47"/>
      <c r="MR27" s="47"/>
      <c r="MS27" s="47"/>
      <c r="MT27" s="47"/>
      <c r="MU27" s="47"/>
      <c r="MV27" s="47"/>
      <c r="MW27" s="47"/>
      <c r="MX27" s="47"/>
      <c r="MY27" s="47"/>
      <c r="MZ27" s="47"/>
      <c r="NA27" s="47"/>
      <c r="NB27" s="47"/>
      <c r="NC27" s="47"/>
      <c r="ND27" s="47"/>
      <c r="NE27" s="47"/>
      <c r="NF27" s="47"/>
      <c r="NG27" s="47"/>
      <c r="NH27" s="47"/>
      <c r="NI27" s="47"/>
      <c r="NJ27" s="47"/>
      <c r="NK27" s="47"/>
      <c r="NL27" s="47"/>
      <c r="NM27" s="47"/>
      <c r="NN27" s="47"/>
      <c r="NO27" s="47"/>
      <c r="NP27" s="47"/>
      <c r="NQ27" s="47"/>
      <c r="NR27" s="47"/>
      <c r="NS27" s="47"/>
      <c r="NT27" s="47"/>
      <c r="NU27" s="47"/>
      <c r="NV27" s="47"/>
      <c r="NW27" s="47"/>
      <c r="NX27" s="47"/>
      <c r="NY27" s="47"/>
      <c r="NZ27" s="47"/>
      <c r="OA27" s="47"/>
      <c r="OB27" s="47"/>
      <c r="OC27" s="47"/>
      <c r="OD27" s="47"/>
      <c r="OE27" s="48"/>
    </row>
    <row r="28" spans="1:395">
      <c r="A28" s="33" t="str">
        <f t="shared" si="18"/>
        <v/>
      </c>
      <c r="C28" s="2" t="str">
        <f>IF(ISBLANK($B28),"",_xlfn.XLOOKUP($B28,Task_No,Project!$C$3:$C$144,"INVALID TASK"))</f>
        <v/>
      </c>
      <c r="D28" s="27"/>
      <c r="E28" s="7" t="str">
        <f t="shared" si="19"/>
        <v/>
      </c>
      <c r="F28" s="7" t="str">
        <f t="shared" si="17"/>
        <v/>
      </c>
      <c r="G28" s="34"/>
      <c r="H28" s="34" t="str" cm="1">
        <f t="array" ref="H28">IF($C28="","",SUMPRODUCT((TEXT($AE$5:$OE$5, "mmm")=LOWER(G$3))*$AE28:$OE28))</f>
        <v/>
      </c>
      <c r="I28" s="34"/>
      <c r="J28" s="34" t="str" cm="1">
        <f t="array" ref="J28">IF($C28="","",SUMPRODUCT((TEXT($AE$5:$OE$5, "mmm")=LOWER(I$3))*$AE28:$OE28))</f>
        <v/>
      </c>
      <c r="K28" s="34"/>
      <c r="L28" s="34" t="str" cm="1">
        <f t="array" ref="L28">IF($C28="","",SUMPRODUCT((TEXT($AE$5:$OE$5, "mmm")=LOWER(K$3))*$AE28:$OE28))</f>
        <v/>
      </c>
      <c r="M28" s="34"/>
      <c r="N28" s="34" t="str" cm="1">
        <f t="array" ref="N28">IF($C28="","",SUMPRODUCT((TEXT($AE$5:$OE$5, "mmm")=LOWER(M$3))*$AE28:$OE28))</f>
        <v/>
      </c>
      <c r="O28" s="34"/>
      <c r="P28" s="34" t="str" cm="1">
        <f t="array" ref="P28">IF($C28="","",SUMPRODUCT((TEXT($AE$5:$OE$5, "mmm")=LOWER(O$3))*$AE28:$OE28))</f>
        <v/>
      </c>
      <c r="Q28" s="34"/>
      <c r="R28" s="34" t="str" cm="1">
        <f t="array" ref="R28">IF($C28="","",SUMPRODUCT((TEXT($AE$5:$OE$5, "mmm")=LOWER(Q$3))*$AE28:$OE28))</f>
        <v/>
      </c>
      <c r="S28" s="34"/>
      <c r="T28" s="34" t="str" cm="1">
        <f t="array" ref="T28">IF($C28="","",SUMPRODUCT((TEXT($AE$5:$OE$5, "mmm")=LOWER(S$3))*$AE28:$OE28))</f>
        <v/>
      </c>
      <c r="U28" s="34"/>
      <c r="V28" s="34" t="str" cm="1">
        <f t="array" ref="V28">IF($C28="","",SUMPRODUCT((TEXT($AE$5:$OE$5, "mmm")=LOWER(U$3))*$AE28:$OE28))</f>
        <v/>
      </c>
      <c r="W28" s="34"/>
      <c r="X28" s="34" t="str" cm="1">
        <f t="array" ref="X28">IF($C28="","",SUMPRODUCT((TEXT($AE$5:$OE$5, "mmm")=LOWER(W$3))*$AE28:$OE28))</f>
        <v/>
      </c>
      <c r="Y28" s="34"/>
      <c r="Z28" s="34" t="str" cm="1">
        <f t="array" ref="Z28">IF($C28="","",SUMPRODUCT((TEXT($AE$5:$OE$5, "mmm")=LOWER(Y$3))*$AE28:$OE28))</f>
        <v/>
      </c>
      <c r="AA28" s="34"/>
      <c r="AB28" s="34" t="str" cm="1">
        <f t="array" ref="AB28">IF($C28="","",SUMPRODUCT((TEXT($AE$5:$OE$5, "mmm")=LOWER(AA$3))*$AE28:$OE28))</f>
        <v/>
      </c>
      <c r="AC28" s="34"/>
      <c r="AD28" s="34" t="str" cm="1">
        <f t="array" ref="AD28">IF($C28="","",SUMPRODUCT((TEXT($AE$5:$OE$5, "mmm")=LOWER(AC$3))*$AE28:$OE28))</f>
        <v/>
      </c>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47"/>
      <c r="BF28" s="47"/>
      <c r="BG28" s="47"/>
      <c r="BH28" s="47"/>
      <c r="BI28" s="47"/>
      <c r="BJ28" s="47"/>
      <c r="BK28" s="47"/>
      <c r="BL28" s="47"/>
      <c r="BM28" s="47"/>
      <c r="BN28" s="47"/>
      <c r="BO28" s="47"/>
      <c r="BP28" s="47"/>
      <c r="BQ28" s="47"/>
      <c r="BR28" s="47"/>
      <c r="BS28" s="47"/>
      <c r="BT28" s="47"/>
      <c r="BU28" s="47"/>
      <c r="BV28" s="47"/>
      <c r="BW28" s="47"/>
      <c r="BX28" s="47"/>
      <c r="BY28" s="47"/>
      <c r="BZ28" s="47"/>
      <c r="CA28" s="47"/>
      <c r="CB28" s="47"/>
      <c r="CC28" s="47"/>
      <c r="CD28" s="47"/>
      <c r="CE28" s="47"/>
      <c r="CF28" s="47"/>
      <c r="CG28" s="47"/>
      <c r="CH28" s="47"/>
      <c r="CI28" s="47"/>
      <c r="CJ28" s="47"/>
      <c r="CK28" s="47"/>
      <c r="CL28" s="47"/>
      <c r="CM28" s="47"/>
      <c r="CN28" s="47"/>
      <c r="CO28" s="47"/>
      <c r="CP28" s="47"/>
      <c r="CQ28" s="47"/>
      <c r="CR28" s="47"/>
      <c r="CS28" s="47"/>
      <c r="CT28" s="47"/>
      <c r="CU28" s="47"/>
      <c r="CV28" s="47"/>
      <c r="CW28" s="47"/>
      <c r="CX28" s="47"/>
      <c r="CY28" s="47"/>
      <c r="CZ28" s="47"/>
      <c r="DA28" s="47"/>
      <c r="DB28" s="47"/>
      <c r="DC28" s="47"/>
      <c r="DD28" s="47"/>
      <c r="DE28" s="47"/>
      <c r="DF28" s="47"/>
      <c r="DG28" s="47"/>
      <c r="DH28" s="47"/>
      <c r="DI28" s="47"/>
      <c r="DJ28" s="47"/>
      <c r="DK28" s="47"/>
      <c r="DL28" s="47"/>
      <c r="DM28" s="47"/>
      <c r="DN28" s="47"/>
      <c r="DO28" s="47"/>
      <c r="DP28" s="47"/>
      <c r="DQ28" s="47"/>
      <c r="DR28" s="47"/>
      <c r="DS28" s="47"/>
      <c r="DT28" s="47"/>
      <c r="DU28" s="47"/>
      <c r="DV28" s="47"/>
      <c r="DW28" s="47"/>
      <c r="DX28" s="47"/>
      <c r="DY28" s="47"/>
      <c r="DZ28" s="47"/>
      <c r="EA28" s="47"/>
      <c r="EB28" s="47"/>
      <c r="EC28" s="47"/>
      <c r="ED28" s="47"/>
      <c r="EE28" s="47"/>
      <c r="EF28" s="47"/>
      <c r="EG28" s="47"/>
      <c r="EH28" s="47"/>
      <c r="EI28" s="47"/>
      <c r="EJ28" s="47"/>
      <c r="EK28" s="47"/>
      <c r="EL28" s="47"/>
      <c r="EM28" s="47"/>
      <c r="EN28" s="47"/>
      <c r="EO28" s="47"/>
      <c r="EP28" s="47"/>
      <c r="EQ28" s="47"/>
      <c r="ER28" s="47"/>
      <c r="ES28" s="47"/>
      <c r="ET28" s="47"/>
      <c r="EU28" s="47"/>
      <c r="EV28" s="47"/>
      <c r="EW28" s="47"/>
      <c r="EX28" s="47"/>
      <c r="EY28" s="47"/>
      <c r="EZ28" s="47"/>
      <c r="FA28" s="47"/>
      <c r="FB28" s="47"/>
      <c r="FC28" s="47"/>
      <c r="FD28" s="47"/>
      <c r="FE28" s="47"/>
      <c r="FF28" s="47"/>
      <c r="FG28" s="47"/>
      <c r="FH28" s="47"/>
      <c r="FI28" s="47"/>
      <c r="FJ28" s="47"/>
      <c r="FK28" s="47"/>
      <c r="FL28" s="47"/>
      <c r="FM28" s="47"/>
      <c r="FN28" s="47"/>
      <c r="FO28" s="47"/>
      <c r="FP28" s="47"/>
      <c r="FQ28" s="47"/>
      <c r="FR28" s="47"/>
      <c r="FS28" s="47"/>
      <c r="FT28" s="47"/>
      <c r="FU28" s="47"/>
      <c r="FV28" s="47"/>
      <c r="FW28" s="47"/>
      <c r="FX28" s="47"/>
      <c r="FY28" s="47"/>
      <c r="FZ28" s="47"/>
      <c r="GA28" s="47"/>
      <c r="GB28" s="47"/>
      <c r="GC28" s="47"/>
      <c r="GD28" s="47"/>
      <c r="GE28" s="47"/>
      <c r="GF28" s="47"/>
      <c r="GG28" s="47"/>
      <c r="GH28" s="47"/>
      <c r="GI28" s="47"/>
      <c r="GJ28" s="47"/>
      <c r="GK28" s="47"/>
      <c r="GL28" s="47"/>
      <c r="GM28" s="47"/>
      <c r="GN28" s="47"/>
      <c r="GO28" s="47"/>
      <c r="GP28" s="47"/>
      <c r="GQ28" s="47"/>
      <c r="GR28" s="47"/>
      <c r="GS28" s="47"/>
      <c r="GT28" s="47"/>
      <c r="GU28" s="47"/>
      <c r="GV28" s="47"/>
      <c r="GW28" s="47"/>
      <c r="GX28" s="47"/>
      <c r="GY28" s="47"/>
      <c r="GZ28" s="47"/>
      <c r="HA28" s="47"/>
      <c r="HB28" s="47"/>
      <c r="HC28" s="47"/>
      <c r="HD28" s="47"/>
      <c r="HE28" s="47"/>
      <c r="HF28" s="47"/>
      <c r="HG28" s="47"/>
      <c r="HH28" s="47"/>
      <c r="HI28" s="47"/>
      <c r="HJ28" s="47"/>
      <c r="HK28" s="47"/>
      <c r="HL28" s="47"/>
      <c r="HM28" s="47"/>
      <c r="HN28" s="47"/>
      <c r="HO28" s="47"/>
      <c r="HP28" s="47"/>
      <c r="HQ28" s="47"/>
      <c r="HR28" s="47"/>
      <c r="HS28" s="47"/>
      <c r="HT28" s="47"/>
      <c r="HU28" s="47"/>
      <c r="HV28" s="47"/>
      <c r="HW28" s="47"/>
      <c r="HX28" s="47"/>
      <c r="HY28" s="47"/>
      <c r="HZ28" s="47"/>
      <c r="IA28" s="47"/>
      <c r="IB28" s="47"/>
      <c r="IC28" s="47"/>
      <c r="ID28" s="47"/>
      <c r="IE28" s="47"/>
      <c r="IF28" s="47"/>
      <c r="IG28" s="47"/>
      <c r="IH28" s="47"/>
      <c r="II28" s="47"/>
      <c r="IJ28" s="47"/>
      <c r="IK28" s="47"/>
      <c r="IL28" s="47"/>
      <c r="IM28" s="47"/>
      <c r="IN28" s="47"/>
      <c r="IO28" s="47"/>
      <c r="IP28" s="47"/>
      <c r="IQ28" s="47"/>
      <c r="IR28" s="47"/>
      <c r="IS28" s="47"/>
      <c r="IT28" s="47"/>
      <c r="IU28" s="47"/>
      <c r="IV28" s="47"/>
      <c r="IW28" s="47"/>
      <c r="IX28" s="47"/>
      <c r="IY28" s="47"/>
      <c r="IZ28" s="47"/>
      <c r="JA28" s="47"/>
      <c r="JB28" s="47"/>
      <c r="JC28" s="47"/>
      <c r="JD28" s="47"/>
      <c r="JE28" s="47"/>
      <c r="JF28" s="47"/>
      <c r="JG28" s="47"/>
      <c r="JH28" s="47"/>
      <c r="JI28" s="47"/>
      <c r="JJ28" s="47"/>
      <c r="JK28" s="47"/>
      <c r="JL28" s="47"/>
      <c r="JM28" s="47"/>
      <c r="JN28" s="47"/>
      <c r="JO28" s="47"/>
      <c r="JP28" s="47"/>
      <c r="JQ28" s="47"/>
      <c r="JR28" s="47"/>
      <c r="JS28" s="47"/>
      <c r="JT28" s="47"/>
      <c r="JU28" s="47"/>
      <c r="JV28" s="47"/>
      <c r="JW28" s="47"/>
      <c r="JX28" s="47"/>
      <c r="JY28" s="47"/>
      <c r="JZ28" s="47"/>
      <c r="KA28" s="47"/>
      <c r="KB28" s="47"/>
      <c r="KC28" s="47"/>
      <c r="KD28" s="47"/>
      <c r="KE28" s="47"/>
      <c r="KF28" s="47"/>
      <c r="KG28" s="47"/>
      <c r="KH28" s="47"/>
      <c r="KI28" s="47"/>
      <c r="KJ28" s="47"/>
      <c r="KK28" s="47"/>
      <c r="KL28" s="47"/>
      <c r="KM28" s="47"/>
      <c r="KN28" s="47"/>
      <c r="KO28" s="47"/>
      <c r="KP28" s="47"/>
      <c r="KQ28" s="47"/>
      <c r="KR28" s="47"/>
      <c r="KS28" s="47"/>
      <c r="KT28" s="47"/>
      <c r="KU28" s="47"/>
      <c r="KV28" s="47"/>
      <c r="KW28" s="47"/>
      <c r="KX28" s="47"/>
      <c r="KY28" s="47"/>
      <c r="KZ28" s="47"/>
      <c r="LA28" s="47"/>
      <c r="LB28" s="47"/>
      <c r="LC28" s="47"/>
      <c r="LD28" s="47"/>
      <c r="LE28" s="47"/>
      <c r="LF28" s="47"/>
      <c r="LG28" s="47"/>
      <c r="LH28" s="47"/>
      <c r="LI28" s="47"/>
      <c r="LJ28" s="47"/>
      <c r="LK28" s="47"/>
      <c r="LL28" s="47"/>
      <c r="LM28" s="47"/>
      <c r="LN28" s="47"/>
      <c r="LO28" s="47"/>
      <c r="LP28" s="47"/>
      <c r="LQ28" s="47"/>
      <c r="LR28" s="47"/>
      <c r="LS28" s="47"/>
      <c r="LT28" s="47"/>
      <c r="LU28" s="47"/>
      <c r="LV28" s="47"/>
      <c r="LW28" s="47"/>
      <c r="LX28" s="47"/>
      <c r="LY28" s="47"/>
      <c r="LZ28" s="47"/>
      <c r="MA28" s="47"/>
      <c r="MB28" s="47"/>
      <c r="MC28" s="47"/>
      <c r="MD28" s="47"/>
      <c r="ME28" s="47"/>
      <c r="MF28" s="47"/>
      <c r="MG28" s="47"/>
      <c r="MH28" s="47"/>
      <c r="MI28" s="47"/>
      <c r="MJ28" s="47"/>
      <c r="MK28" s="47"/>
      <c r="ML28" s="47"/>
      <c r="MM28" s="47"/>
      <c r="MN28" s="47"/>
      <c r="MO28" s="47"/>
      <c r="MP28" s="47"/>
      <c r="MQ28" s="47"/>
      <c r="MR28" s="47"/>
      <c r="MS28" s="47"/>
      <c r="MT28" s="47"/>
      <c r="MU28" s="47"/>
      <c r="MV28" s="47"/>
      <c r="MW28" s="47"/>
      <c r="MX28" s="47"/>
      <c r="MY28" s="47"/>
      <c r="MZ28" s="47"/>
      <c r="NA28" s="47"/>
      <c r="NB28" s="47"/>
      <c r="NC28" s="47"/>
      <c r="ND28" s="47"/>
      <c r="NE28" s="47"/>
      <c r="NF28" s="47"/>
      <c r="NG28" s="47"/>
      <c r="NH28" s="47"/>
      <c r="NI28" s="47"/>
      <c r="NJ28" s="47"/>
      <c r="NK28" s="47"/>
      <c r="NL28" s="47"/>
      <c r="NM28" s="47"/>
      <c r="NN28" s="47"/>
      <c r="NO28" s="47"/>
      <c r="NP28" s="47"/>
      <c r="NQ28" s="47"/>
      <c r="NR28" s="47"/>
      <c r="NS28" s="47"/>
      <c r="NT28" s="47"/>
      <c r="NU28" s="47"/>
      <c r="NV28" s="47"/>
      <c r="NW28" s="47"/>
      <c r="NX28" s="47"/>
      <c r="NY28" s="47"/>
      <c r="NZ28" s="47"/>
      <c r="OA28" s="47"/>
      <c r="OB28" s="47"/>
      <c r="OC28" s="47"/>
      <c r="OD28" s="47"/>
      <c r="OE28" s="48"/>
    </row>
    <row r="29" spans="1:395">
      <c r="A29" s="33" t="str">
        <f t="shared" si="18"/>
        <v/>
      </c>
      <c r="C29" s="2" t="str">
        <f>IF(ISBLANK($B29),"",_xlfn.XLOOKUP($B29,Task_No,Project!$C$3:$C$144,"INVALID TASK"))</f>
        <v/>
      </c>
      <c r="D29" s="27"/>
      <c r="E29" s="7" t="str">
        <f t="shared" si="19"/>
        <v/>
      </c>
      <c r="F29" s="7" t="str">
        <f t="shared" si="17"/>
        <v/>
      </c>
      <c r="G29" s="34"/>
      <c r="H29" s="34" t="str" cm="1">
        <f t="array" ref="H29">IF($C29="","",SUMPRODUCT((TEXT($AE$5:$OE$5, "mmm")=LOWER(G$3))*$AE29:$OE29))</f>
        <v/>
      </c>
      <c r="I29" s="34"/>
      <c r="J29" s="34" t="str" cm="1">
        <f t="array" ref="J29">IF($C29="","",SUMPRODUCT((TEXT($AE$5:$OE$5, "mmm")=LOWER(I$3))*$AE29:$OE29))</f>
        <v/>
      </c>
      <c r="K29" s="34"/>
      <c r="L29" s="34" t="str" cm="1">
        <f t="array" ref="L29">IF($C29="","",SUMPRODUCT((TEXT($AE$5:$OE$5, "mmm")=LOWER(K$3))*$AE29:$OE29))</f>
        <v/>
      </c>
      <c r="M29" s="34"/>
      <c r="N29" s="34" t="str" cm="1">
        <f t="array" ref="N29">IF($C29="","",SUMPRODUCT((TEXT($AE$5:$OE$5, "mmm")=LOWER(M$3))*$AE29:$OE29))</f>
        <v/>
      </c>
      <c r="O29" s="34"/>
      <c r="P29" s="34" t="str" cm="1">
        <f t="array" ref="P29">IF($C29="","",SUMPRODUCT((TEXT($AE$5:$OE$5, "mmm")=LOWER(O$3))*$AE29:$OE29))</f>
        <v/>
      </c>
      <c r="Q29" s="34"/>
      <c r="R29" s="34" t="str" cm="1">
        <f t="array" ref="R29">IF($C29="","",SUMPRODUCT((TEXT($AE$5:$OE$5, "mmm")=LOWER(Q$3))*$AE29:$OE29))</f>
        <v/>
      </c>
      <c r="S29" s="34"/>
      <c r="T29" s="34" t="str" cm="1">
        <f t="array" ref="T29">IF($C29="","",SUMPRODUCT((TEXT($AE$5:$OE$5, "mmm")=LOWER(S$3))*$AE29:$OE29))</f>
        <v/>
      </c>
      <c r="U29" s="34"/>
      <c r="V29" s="34" t="str" cm="1">
        <f t="array" ref="V29">IF($C29="","",SUMPRODUCT((TEXT($AE$5:$OE$5, "mmm")=LOWER(U$3))*$AE29:$OE29))</f>
        <v/>
      </c>
      <c r="W29" s="34"/>
      <c r="X29" s="34" t="str" cm="1">
        <f t="array" ref="X29">IF($C29="","",SUMPRODUCT((TEXT($AE$5:$OE$5, "mmm")=LOWER(W$3))*$AE29:$OE29))</f>
        <v/>
      </c>
      <c r="Y29" s="34"/>
      <c r="Z29" s="34" t="str" cm="1">
        <f t="array" ref="Z29">IF($C29="","",SUMPRODUCT((TEXT($AE$5:$OE$5, "mmm")=LOWER(Y$3))*$AE29:$OE29))</f>
        <v/>
      </c>
      <c r="AA29" s="34"/>
      <c r="AB29" s="34" t="str" cm="1">
        <f t="array" ref="AB29">IF($C29="","",SUMPRODUCT((TEXT($AE$5:$OE$5, "mmm")=LOWER(AA$3))*$AE29:$OE29))</f>
        <v/>
      </c>
      <c r="AC29" s="34"/>
      <c r="AD29" s="34" t="str" cm="1">
        <f t="array" ref="AD29">IF($C29="","",SUMPRODUCT((TEXT($AE$5:$OE$5, "mmm")=LOWER(AC$3))*$AE29:$OE29))</f>
        <v/>
      </c>
      <c r="AE29" s="47"/>
      <c r="AF29" s="47"/>
      <c r="AG29" s="47"/>
      <c r="AH29" s="47"/>
      <c r="AI29" s="47"/>
      <c r="AJ29" s="47"/>
      <c r="AK29" s="47"/>
      <c r="AL29" s="47"/>
      <c r="AM29" s="47"/>
      <c r="AN29" s="47"/>
      <c r="AO29" s="47"/>
      <c r="AP29" s="47"/>
      <c r="AQ29" s="47"/>
      <c r="AR29" s="47"/>
      <c r="AS29" s="47"/>
      <c r="AT29" s="47"/>
      <c r="AU29" s="47"/>
      <c r="AV29" s="47"/>
      <c r="AW29" s="47"/>
      <c r="AX29" s="47"/>
      <c r="AY29" s="47"/>
      <c r="AZ29" s="47"/>
      <c r="BA29" s="47"/>
      <c r="BB29" s="47"/>
      <c r="BC29" s="47"/>
      <c r="BD29" s="47"/>
      <c r="BE29" s="47"/>
      <c r="BF29" s="47"/>
      <c r="BG29" s="47"/>
      <c r="BH29" s="47"/>
      <c r="BI29" s="47"/>
      <c r="BJ29" s="47"/>
      <c r="BK29" s="47"/>
      <c r="BL29" s="47"/>
      <c r="BM29" s="47"/>
      <c r="BN29" s="47"/>
      <c r="BO29" s="47"/>
      <c r="BP29" s="47"/>
      <c r="BQ29" s="47"/>
      <c r="BR29" s="47"/>
      <c r="BS29" s="47"/>
      <c r="BT29" s="47"/>
      <c r="BU29" s="47"/>
      <c r="BV29" s="47"/>
      <c r="BW29" s="47"/>
      <c r="BX29" s="47"/>
      <c r="BY29" s="47"/>
      <c r="BZ29" s="47"/>
      <c r="CA29" s="47"/>
      <c r="CB29" s="47"/>
      <c r="CC29" s="47"/>
      <c r="CD29" s="47"/>
      <c r="CE29" s="47"/>
      <c r="CF29" s="47"/>
      <c r="CG29" s="47"/>
      <c r="CH29" s="47"/>
      <c r="CI29" s="47"/>
      <c r="CJ29" s="47"/>
      <c r="CK29" s="47"/>
      <c r="CL29" s="47"/>
      <c r="CM29" s="47"/>
      <c r="CN29" s="47"/>
      <c r="CO29" s="47"/>
      <c r="CP29" s="47"/>
      <c r="CQ29" s="47"/>
      <c r="CR29" s="47"/>
      <c r="CS29" s="47"/>
      <c r="CT29" s="47"/>
      <c r="CU29" s="47"/>
      <c r="CV29" s="47"/>
      <c r="CW29" s="47"/>
      <c r="CX29" s="47"/>
      <c r="CY29" s="47"/>
      <c r="CZ29" s="47"/>
      <c r="DA29" s="47"/>
      <c r="DB29" s="47"/>
      <c r="DC29" s="47"/>
      <c r="DD29" s="47"/>
      <c r="DE29" s="47"/>
      <c r="DF29" s="47"/>
      <c r="DG29" s="47"/>
      <c r="DH29" s="47"/>
      <c r="DI29" s="47"/>
      <c r="DJ29" s="47"/>
      <c r="DK29" s="47"/>
      <c r="DL29" s="47"/>
      <c r="DM29" s="47"/>
      <c r="DN29" s="47"/>
      <c r="DO29" s="47"/>
      <c r="DP29" s="47"/>
      <c r="DQ29" s="47"/>
      <c r="DR29" s="47"/>
      <c r="DS29" s="47"/>
      <c r="DT29" s="47"/>
      <c r="DU29" s="47"/>
      <c r="DV29" s="47"/>
      <c r="DW29" s="47"/>
      <c r="DX29" s="47"/>
      <c r="DY29" s="47"/>
      <c r="DZ29" s="47"/>
      <c r="EA29" s="47"/>
      <c r="EB29" s="47"/>
      <c r="EC29" s="47"/>
      <c r="ED29" s="47"/>
      <c r="EE29" s="47"/>
      <c r="EF29" s="47"/>
      <c r="EG29" s="47"/>
      <c r="EH29" s="47"/>
      <c r="EI29" s="47"/>
      <c r="EJ29" s="47"/>
      <c r="EK29" s="47"/>
      <c r="EL29" s="47"/>
      <c r="EM29" s="47"/>
      <c r="EN29" s="47"/>
      <c r="EO29" s="47"/>
      <c r="EP29" s="47"/>
      <c r="EQ29" s="47"/>
      <c r="ER29" s="47"/>
      <c r="ES29" s="47"/>
      <c r="ET29" s="47"/>
      <c r="EU29" s="47"/>
      <c r="EV29" s="47"/>
      <c r="EW29" s="47"/>
      <c r="EX29" s="47"/>
      <c r="EY29" s="47"/>
      <c r="EZ29" s="47"/>
      <c r="FA29" s="47"/>
      <c r="FB29" s="47"/>
      <c r="FC29" s="47"/>
      <c r="FD29" s="47"/>
      <c r="FE29" s="47"/>
      <c r="FF29" s="47"/>
      <c r="FG29" s="47"/>
      <c r="FH29" s="47"/>
      <c r="FI29" s="47"/>
      <c r="FJ29" s="47"/>
      <c r="FK29" s="47"/>
      <c r="FL29" s="47"/>
      <c r="FM29" s="47"/>
      <c r="FN29" s="47"/>
      <c r="FO29" s="47"/>
      <c r="FP29" s="47"/>
      <c r="FQ29" s="47"/>
      <c r="FR29" s="47"/>
      <c r="FS29" s="47"/>
      <c r="FT29" s="47"/>
      <c r="FU29" s="47"/>
      <c r="FV29" s="47"/>
      <c r="FW29" s="47"/>
      <c r="FX29" s="47"/>
      <c r="FY29" s="47"/>
      <c r="FZ29" s="47"/>
      <c r="GA29" s="47"/>
      <c r="GB29" s="47"/>
      <c r="GC29" s="47"/>
      <c r="GD29" s="47"/>
      <c r="GE29" s="47"/>
      <c r="GF29" s="47"/>
      <c r="GG29" s="47"/>
      <c r="GH29" s="47"/>
      <c r="GI29" s="47"/>
      <c r="GJ29" s="47"/>
      <c r="GK29" s="47"/>
      <c r="GL29" s="47"/>
      <c r="GM29" s="47"/>
      <c r="GN29" s="47"/>
      <c r="GO29" s="47"/>
      <c r="GP29" s="47"/>
      <c r="GQ29" s="47"/>
      <c r="GR29" s="47"/>
      <c r="GS29" s="47"/>
      <c r="GT29" s="47"/>
      <c r="GU29" s="47"/>
      <c r="GV29" s="47"/>
      <c r="GW29" s="47"/>
      <c r="GX29" s="47"/>
      <c r="GY29" s="47"/>
      <c r="GZ29" s="47"/>
      <c r="HA29" s="47"/>
      <c r="HB29" s="47"/>
      <c r="HC29" s="47"/>
      <c r="HD29" s="47"/>
      <c r="HE29" s="47"/>
      <c r="HF29" s="47"/>
      <c r="HG29" s="47"/>
      <c r="HH29" s="47"/>
      <c r="HI29" s="47"/>
      <c r="HJ29" s="47"/>
      <c r="HK29" s="47"/>
      <c r="HL29" s="47"/>
      <c r="HM29" s="47"/>
      <c r="HN29" s="47"/>
      <c r="HO29" s="47"/>
      <c r="HP29" s="47"/>
      <c r="HQ29" s="47"/>
      <c r="HR29" s="47"/>
      <c r="HS29" s="47"/>
      <c r="HT29" s="47"/>
      <c r="HU29" s="47"/>
      <c r="HV29" s="47"/>
      <c r="HW29" s="47"/>
      <c r="HX29" s="47"/>
      <c r="HY29" s="47"/>
      <c r="HZ29" s="47"/>
      <c r="IA29" s="47"/>
      <c r="IB29" s="47"/>
      <c r="IC29" s="47"/>
      <c r="ID29" s="47"/>
      <c r="IE29" s="47"/>
      <c r="IF29" s="47"/>
      <c r="IG29" s="47"/>
      <c r="IH29" s="47"/>
      <c r="II29" s="47"/>
      <c r="IJ29" s="47"/>
      <c r="IK29" s="47"/>
      <c r="IL29" s="47"/>
      <c r="IM29" s="47"/>
      <c r="IN29" s="47"/>
      <c r="IO29" s="47"/>
      <c r="IP29" s="47"/>
      <c r="IQ29" s="47"/>
      <c r="IR29" s="47"/>
      <c r="IS29" s="47"/>
      <c r="IT29" s="47"/>
      <c r="IU29" s="47"/>
      <c r="IV29" s="47"/>
      <c r="IW29" s="47"/>
      <c r="IX29" s="47"/>
      <c r="IY29" s="47"/>
      <c r="IZ29" s="47"/>
      <c r="JA29" s="47"/>
      <c r="JB29" s="47"/>
      <c r="JC29" s="47"/>
      <c r="JD29" s="47"/>
      <c r="JE29" s="47"/>
      <c r="JF29" s="47"/>
      <c r="JG29" s="47"/>
      <c r="JH29" s="47"/>
      <c r="JI29" s="47"/>
      <c r="JJ29" s="47"/>
      <c r="JK29" s="47"/>
      <c r="JL29" s="47"/>
      <c r="JM29" s="47"/>
      <c r="JN29" s="47"/>
      <c r="JO29" s="47"/>
      <c r="JP29" s="47"/>
      <c r="JQ29" s="47"/>
      <c r="JR29" s="47"/>
      <c r="JS29" s="47"/>
      <c r="JT29" s="47"/>
      <c r="JU29" s="47"/>
      <c r="JV29" s="47"/>
      <c r="JW29" s="47"/>
      <c r="JX29" s="47"/>
      <c r="JY29" s="47"/>
      <c r="JZ29" s="47"/>
      <c r="KA29" s="47"/>
      <c r="KB29" s="47"/>
      <c r="KC29" s="47"/>
      <c r="KD29" s="47"/>
      <c r="KE29" s="47"/>
      <c r="KF29" s="47"/>
      <c r="KG29" s="47"/>
      <c r="KH29" s="47"/>
      <c r="KI29" s="47"/>
      <c r="KJ29" s="47"/>
      <c r="KK29" s="47"/>
      <c r="KL29" s="47"/>
      <c r="KM29" s="47"/>
      <c r="KN29" s="47"/>
      <c r="KO29" s="47"/>
      <c r="KP29" s="47"/>
      <c r="KQ29" s="47"/>
      <c r="KR29" s="47"/>
      <c r="KS29" s="47"/>
      <c r="KT29" s="47"/>
      <c r="KU29" s="47"/>
      <c r="KV29" s="47"/>
      <c r="KW29" s="47"/>
      <c r="KX29" s="47"/>
      <c r="KY29" s="47"/>
      <c r="KZ29" s="47"/>
      <c r="LA29" s="47"/>
      <c r="LB29" s="47"/>
      <c r="LC29" s="47"/>
      <c r="LD29" s="47"/>
      <c r="LE29" s="47"/>
      <c r="LF29" s="47"/>
      <c r="LG29" s="47"/>
      <c r="LH29" s="47"/>
      <c r="LI29" s="47"/>
      <c r="LJ29" s="47"/>
      <c r="LK29" s="47"/>
      <c r="LL29" s="47"/>
      <c r="LM29" s="47"/>
      <c r="LN29" s="47"/>
      <c r="LO29" s="47"/>
      <c r="LP29" s="47"/>
      <c r="LQ29" s="47"/>
      <c r="LR29" s="47"/>
      <c r="LS29" s="47"/>
      <c r="LT29" s="47"/>
      <c r="LU29" s="47"/>
      <c r="LV29" s="47"/>
      <c r="LW29" s="47"/>
      <c r="LX29" s="47"/>
      <c r="LY29" s="47"/>
      <c r="LZ29" s="47"/>
      <c r="MA29" s="47"/>
      <c r="MB29" s="47"/>
      <c r="MC29" s="47"/>
      <c r="MD29" s="47"/>
      <c r="ME29" s="47"/>
      <c r="MF29" s="47"/>
      <c r="MG29" s="47"/>
      <c r="MH29" s="47"/>
      <c r="MI29" s="47"/>
      <c r="MJ29" s="47"/>
      <c r="MK29" s="47"/>
      <c r="ML29" s="47"/>
      <c r="MM29" s="47"/>
      <c r="MN29" s="47"/>
      <c r="MO29" s="47"/>
      <c r="MP29" s="47"/>
      <c r="MQ29" s="47"/>
      <c r="MR29" s="47"/>
      <c r="MS29" s="47"/>
      <c r="MT29" s="47"/>
      <c r="MU29" s="47"/>
      <c r="MV29" s="47"/>
      <c r="MW29" s="47"/>
      <c r="MX29" s="47"/>
      <c r="MY29" s="47"/>
      <c r="MZ29" s="47"/>
      <c r="NA29" s="47"/>
      <c r="NB29" s="47"/>
      <c r="NC29" s="47"/>
      <c r="ND29" s="47"/>
      <c r="NE29" s="47"/>
      <c r="NF29" s="47"/>
      <c r="NG29" s="47"/>
      <c r="NH29" s="47"/>
      <c r="NI29" s="47"/>
      <c r="NJ29" s="47"/>
      <c r="NK29" s="47"/>
      <c r="NL29" s="47"/>
      <c r="NM29" s="47"/>
      <c r="NN29" s="47"/>
      <c r="NO29" s="47"/>
      <c r="NP29" s="47"/>
      <c r="NQ29" s="47"/>
      <c r="NR29" s="47"/>
      <c r="NS29" s="47"/>
      <c r="NT29" s="47"/>
      <c r="NU29" s="47"/>
      <c r="NV29" s="47"/>
      <c r="NW29" s="47"/>
      <c r="NX29" s="47"/>
      <c r="NY29" s="47"/>
      <c r="NZ29" s="47"/>
      <c r="OA29" s="47"/>
      <c r="OB29" s="47"/>
      <c r="OC29" s="47"/>
      <c r="OD29" s="47"/>
      <c r="OE29" s="48"/>
    </row>
    <row r="30" spans="1:395">
      <c r="A30" s="33" t="str">
        <f t="shared" si="18"/>
        <v/>
      </c>
      <c r="C30" s="2" t="str">
        <f>IF(ISBLANK($B30),"",_xlfn.XLOOKUP($B30,Task_No,Project!$C$3:$C$144,"INVALID TASK"))</f>
        <v/>
      </c>
      <c r="D30" s="27"/>
      <c r="E30" s="7" t="str">
        <f t="shared" si="19"/>
        <v/>
      </c>
      <c r="F30" s="7" t="str">
        <f t="shared" si="17"/>
        <v/>
      </c>
      <c r="G30" s="34"/>
      <c r="H30" s="34" t="str" cm="1">
        <f t="array" ref="H30">IF($C30="","",SUMPRODUCT((TEXT($AE$5:$OE$5, "mmm")=LOWER(G$3))*$AE30:$OE30))</f>
        <v/>
      </c>
      <c r="I30" s="34"/>
      <c r="J30" s="34" t="str" cm="1">
        <f t="array" ref="J30">IF($C30="","",SUMPRODUCT((TEXT($AE$5:$OE$5, "mmm")=LOWER(I$3))*$AE30:$OE30))</f>
        <v/>
      </c>
      <c r="K30" s="34"/>
      <c r="L30" s="34" t="str" cm="1">
        <f t="array" ref="L30">IF($C30="","",SUMPRODUCT((TEXT($AE$5:$OE$5, "mmm")=LOWER(K$3))*$AE30:$OE30))</f>
        <v/>
      </c>
      <c r="M30" s="34"/>
      <c r="N30" s="34" t="str" cm="1">
        <f t="array" ref="N30">IF($C30="","",SUMPRODUCT((TEXT($AE$5:$OE$5, "mmm")=LOWER(M$3))*$AE30:$OE30))</f>
        <v/>
      </c>
      <c r="O30" s="34"/>
      <c r="P30" s="34" t="str" cm="1">
        <f t="array" ref="P30">IF($C30="","",SUMPRODUCT((TEXT($AE$5:$OE$5, "mmm")=LOWER(O$3))*$AE30:$OE30))</f>
        <v/>
      </c>
      <c r="Q30" s="34"/>
      <c r="R30" s="34" t="str" cm="1">
        <f t="array" ref="R30">IF($C30="","",SUMPRODUCT((TEXT($AE$5:$OE$5, "mmm")=LOWER(Q$3))*$AE30:$OE30))</f>
        <v/>
      </c>
      <c r="S30" s="34"/>
      <c r="T30" s="34" t="str" cm="1">
        <f t="array" ref="T30">IF($C30="","",SUMPRODUCT((TEXT($AE$5:$OE$5, "mmm")=LOWER(S$3))*$AE30:$OE30))</f>
        <v/>
      </c>
      <c r="U30" s="34"/>
      <c r="V30" s="34" t="str" cm="1">
        <f t="array" ref="V30">IF($C30="","",SUMPRODUCT((TEXT($AE$5:$OE$5, "mmm")=LOWER(U$3))*$AE30:$OE30))</f>
        <v/>
      </c>
      <c r="W30" s="34"/>
      <c r="X30" s="34" t="str" cm="1">
        <f t="array" ref="X30">IF($C30="","",SUMPRODUCT((TEXT($AE$5:$OE$5, "mmm")=LOWER(W$3))*$AE30:$OE30))</f>
        <v/>
      </c>
      <c r="Y30" s="34"/>
      <c r="Z30" s="34" t="str" cm="1">
        <f t="array" ref="Z30">IF($C30="","",SUMPRODUCT((TEXT($AE$5:$OE$5, "mmm")=LOWER(Y$3))*$AE30:$OE30))</f>
        <v/>
      </c>
      <c r="AA30" s="34"/>
      <c r="AB30" s="34" t="str" cm="1">
        <f t="array" ref="AB30">IF($C30="","",SUMPRODUCT((TEXT($AE$5:$OE$5, "mmm")=LOWER(AA$3))*$AE30:$OE30))</f>
        <v/>
      </c>
      <c r="AC30" s="34"/>
      <c r="AD30" s="34" t="str" cm="1">
        <f t="array" ref="AD30">IF($C30="","",SUMPRODUCT((TEXT($AE$5:$OE$5, "mmm")=LOWER(AC$3))*$AE30:$OE30))</f>
        <v/>
      </c>
      <c r="AE30" s="47"/>
      <c r="AF30" s="47"/>
      <c r="AG30" s="47"/>
      <c r="AH30" s="47"/>
      <c r="AI30" s="47"/>
      <c r="AJ30" s="47"/>
      <c r="AK30" s="47"/>
      <c r="AL30" s="47"/>
      <c r="AM30" s="47"/>
      <c r="AN30" s="47"/>
      <c r="AO30" s="47"/>
      <c r="AP30" s="47"/>
      <c r="AQ30" s="47"/>
      <c r="AR30" s="47"/>
      <c r="AS30" s="47"/>
      <c r="AT30" s="47"/>
      <c r="AU30" s="47"/>
      <c r="AV30" s="47"/>
      <c r="AW30" s="47"/>
      <c r="AX30" s="47"/>
      <c r="AY30" s="47"/>
      <c r="AZ30" s="47"/>
      <c r="BA30" s="47"/>
      <c r="BB30" s="47"/>
      <c r="BC30" s="47"/>
      <c r="BD30" s="47"/>
      <c r="BE30" s="47"/>
      <c r="BF30" s="47"/>
      <c r="BG30" s="47"/>
      <c r="BH30" s="47"/>
      <c r="BI30" s="47"/>
      <c r="BJ30" s="47"/>
      <c r="BK30" s="47"/>
      <c r="BL30" s="47"/>
      <c r="BM30" s="47"/>
      <c r="BN30" s="47"/>
      <c r="BO30" s="47"/>
      <c r="BP30" s="47"/>
      <c r="BQ30" s="47"/>
      <c r="BR30" s="47"/>
      <c r="BS30" s="47"/>
      <c r="BT30" s="47"/>
      <c r="BU30" s="47"/>
      <c r="BV30" s="47"/>
      <c r="BW30" s="47"/>
      <c r="BX30" s="47"/>
      <c r="BY30" s="47"/>
      <c r="BZ30" s="47"/>
      <c r="CA30" s="47"/>
      <c r="CB30" s="47"/>
      <c r="CC30" s="47"/>
      <c r="CD30" s="47"/>
      <c r="CE30" s="47"/>
      <c r="CF30" s="47"/>
      <c r="CG30" s="47"/>
      <c r="CH30" s="47"/>
      <c r="CI30" s="47"/>
      <c r="CJ30" s="47"/>
      <c r="CK30" s="47"/>
      <c r="CL30" s="47"/>
      <c r="CM30" s="47"/>
      <c r="CN30" s="47"/>
      <c r="CO30" s="47"/>
      <c r="CP30" s="47"/>
      <c r="CQ30" s="47"/>
      <c r="CR30" s="47"/>
      <c r="CS30" s="47"/>
      <c r="CT30" s="47"/>
      <c r="CU30" s="47"/>
      <c r="CV30" s="47"/>
      <c r="CW30" s="47"/>
      <c r="CX30" s="47"/>
      <c r="CY30" s="47"/>
      <c r="CZ30" s="47"/>
      <c r="DA30" s="47"/>
      <c r="DB30" s="47"/>
      <c r="DC30" s="47"/>
      <c r="DD30" s="47"/>
      <c r="DE30" s="47"/>
      <c r="DF30" s="47"/>
      <c r="DG30" s="47"/>
      <c r="DH30" s="47"/>
      <c r="DI30" s="47"/>
      <c r="DJ30" s="47"/>
      <c r="DK30" s="47"/>
      <c r="DL30" s="47"/>
      <c r="DM30" s="47"/>
      <c r="DN30" s="47"/>
      <c r="DO30" s="47"/>
      <c r="DP30" s="47"/>
      <c r="DQ30" s="47"/>
      <c r="DR30" s="47"/>
      <c r="DS30" s="47"/>
      <c r="DT30" s="47"/>
      <c r="DU30" s="47"/>
      <c r="DV30" s="47"/>
      <c r="DW30" s="47"/>
      <c r="DX30" s="47"/>
      <c r="DY30" s="47"/>
      <c r="DZ30" s="47"/>
      <c r="EA30" s="47"/>
      <c r="EB30" s="47"/>
      <c r="EC30" s="47"/>
      <c r="ED30" s="47"/>
      <c r="EE30" s="47"/>
      <c r="EF30" s="47"/>
      <c r="EG30" s="47"/>
      <c r="EH30" s="47"/>
      <c r="EI30" s="47"/>
      <c r="EJ30" s="47"/>
      <c r="EK30" s="47"/>
      <c r="EL30" s="47"/>
      <c r="EM30" s="47"/>
      <c r="EN30" s="47"/>
      <c r="EO30" s="47"/>
      <c r="EP30" s="47"/>
      <c r="EQ30" s="47"/>
      <c r="ER30" s="47"/>
      <c r="ES30" s="47"/>
      <c r="ET30" s="47"/>
      <c r="EU30" s="47"/>
      <c r="EV30" s="47"/>
      <c r="EW30" s="47"/>
      <c r="EX30" s="47"/>
      <c r="EY30" s="47"/>
      <c r="EZ30" s="47"/>
      <c r="FA30" s="47"/>
      <c r="FB30" s="47"/>
      <c r="FC30" s="47"/>
      <c r="FD30" s="47"/>
      <c r="FE30" s="47"/>
      <c r="FF30" s="47"/>
      <c r="FG30" s="47"/>
      <c r="FH30" s="47"/>
      <c r="FI30" s="47"/>
      <c r="FJ30" s="47"/>
      <c r="FK30" s="47"/>
      <c r="FL30" s="47"/>
      <c r="FM30" s="47"/>
      <c r="FN30" s="47"/>
      <c r="FO30" s="47"/>
      <c r="FP30" s="47"/>
      <c r="FQ30" s="47"/>
      <c r="FR30" s="47"/>
      <c r="FS30" s="47"/>
      <c r="FT30" s="47"/>
      <c r="FU30" s="47"/>
      <c r="FV30" s="47"/>
      <c r="FW30" s="47"/>
      <c r="FX30" s="47"/>
      <c r="FY30" s="47"/>
      <c r="FZ30" s="47"/>
      <c r="GA30" s="47"/>
      <c r="GB30" s="47"/>
      <c r="GC30" s="47"/>
      <c r="GD30" s="47"/>
      <c r="GE30" s="47"/>
      <c r="GF30" s="47"/>
      <c r="GG30" s="47"/>
      <c r="GH30" s="47"/>
      <c r="GI30" s="47"/>
      <c r="GJ30" s="47"/>
      <c r="GK30" s="47"/>
      <c r="GL30" s="47"/>
      <c r="GM30" s="47"/>
      <c r="GN30" s="47"/>
      <c r="GO30" s="47"/>
      <c r="GP30" s="47"/>
      <c r="GQ30" s="47"/>
      <c r="GR30" s="47"/>
      <c r="GS30" s="47"/>
      <c r="GT30" s="47"/>
      <c r="GU30" s="47"/>
      <c r="GV30" s="47"/>
      <c r="GW30" s="47"/>
      <c r="GX30" s="47"/>
      <c r="GY30" s="47"/>
      <c r="GZ30" s="47"/>
      <c r="HA30" s="47"/>
      <c r="HB30" s="47"/>
      <c r="HC30" s="47"/>
      <c r="HD30" s="47"/>
      <c r="HE30" s="47"/>
      <c r="HF30" s="47"/>
      <c r="HG30" s="47"/>
      <c r="HH30" s="47"/>
      <c r="HI30" s="47"/>
      <c r="HJ30" s="47"/>
      <c r="HK30" s="47"/>
      <c r="HL30" s="47"/>
      <c r="HM30" s="47"/>
      <c r="HN30" s="47"/>
      <c r="HO30" s="47"/>
      <c r="HP30" s="47"/>
      <c r="HQ30" s="47"/>
      <c r="HR30" s="47"/>
      <c r="HS30" s="47"/>
      <c r="HT30" s="47"/>
      <c r="HU30" s="47"/>
      <c r="HV30" s="47"/>
      <c r="HW30" s="47"/>
      <c r="HX30" s="47"/>
      <c r="HY30" s="47"/>
      <c r="HZ30" s="47"/>
      <c r="IA30" s="47"/>
      <c r="IB30" s="47"/>
      <c r="IC30" s="47"/>
      <c r="ID30" s="47"/>
      <c r="IE30" s="47"/>
      <c r="IF30" s="47"/>
      <c r="IG30" s="47"/>
      <c r="IH30" s="47"/>
      <c r="II30" s="47"/>
      <c r="IJ30" s="47"/>
      <c r="IK30" s="47"/>
      <c r="IL30" s="47"/>
      <c r="IM30" s="47"/>
      <c r="IN30" s="47"/>
      <c r="IO30" s="47"/>
      <c r="IP30" s="47"/>
      <c r="IQ30" s="47"/>
      <c r="IR30" s="47"/>
      <c r="IS30" s="47"/>
      <c r="IT30" s="47"/>
      <c r="IU30" s="47"/>
      <c r="IV30" s="47"/>
      <c r="IW30" s="47"/>
      <c r="IX30" s="47"/>
      <c r="IY30" s="47"/>
      <c r="IZ30" s="47"/>
      <c r="JA30" s="47"/>
      <c r="JB30" s="47"/>
      <c r="JC30" s="47"/>
      <c r="JD30" s="47"/>
      <c r="JE30" s="47"/>
      <c r="JF30" s="47"/>
      <c r="JG30" s="47"/>
      <c r="JH30" s="47"/>
      <c r="JI30" s="47"/>
      <c r="JJ30" s="47"/>
      <c r="JK30" s="47"/>
      <c r="JL30" s="47"/>
      <c r="JM30" s="47"/>
      <c r="JN30" s="47"/>
      <c r="JO30" s="47"/>
      <c r="JP30" s="47"/>
      <c r="JQ30" s="47"/>
      <c r="JR30" s="47"/>
      <c r="JS30" s="47"/>
      <c r="JT30" s="47"/>
      <c r="JU30" s="47"/>
      <c r="JV30" s="47"/>
      <c r="JW30" s="47"/>
      <c r="JX30" s="47"/>
      <c r="JY30" s="47"/>
      <c r="JZ30" s="47"/>
      <c r="KA30" s="47"/>
      <c r="KB30" s="47"/>
      <c r="KC30" s="47"/>
      <c r="KD30" s="47"/>
      <c r="KE30" s="47"/>
      <c r="KF30" s="47"/>
      <c r="KG30" s="47"/>
      <c r="KH30" s="47"/>
      <c r="KI30" s="47"/>
      <c r="KJ30" s="47"/>
      <c r="KK30" s="47"/>
      <c r="KL30" s="47"/>
      <c r="KM30" s="47"/>
      <c r="KN30" s="47"/>
      <c r="KO30" s="47"/>
      <c r="KP30" s="47"/>
      <c r="KQ30" s="47"/>
      <c r="KR30" s="47"/>
      <c r="KS30" s="47"/>
      <c r="KT30" s="47"/>
      <c r="KU30" s="47"/>
      <c r="KV30" s="47"/>
      <c r="KW30" s="47"/>
      <c r="KX30" s="47"/>
      <c r="KY30" s="47"/>
      <c r="KZ30" s="47"/>
      <c r="LA30" s="47"/>
      <c r="LB30" s="47"/>
      <c r="LC30" s="47"/>
      <c r="LD30" s="47"/>
      <c r="LE30" s="47"/>
      <c r="LF30" s="47"/>
      <c r="LG30" s="47"/>
      <c r="LH30" s="47"/>
      <c r="LI30" s="47"/>
      <c r="LJ30" s="47"/>
      <c r="LK30" s="47"/>
      <c r="LL30" s="47"/>
      <c r="LM30" s="47"/>
      <c r="LN30" s="47"/>
      <c r="LO30" s="47"/>
      <c r="LP30" s="47"/>
      <c r="LQ30" s="47"/>
      <c r="LR30" s="47"/>
      <c r="LS30" s="47"/>
      <c r="LT30" s="47"/>
      <c r="LU30" s="47"/>
      <c r="LV30" s="47"/>
      <c r="LW30" s="47"/>
      <c r="LX30" s="47"/>
      <c r="LY30" s="47"/>
      <c r="LZ30" s="47"/>
      <c r="MA30" s="47"/>
      <c r="MB30" s="47"/>
      <c r="MC30" s="47"/>
      <c r="MD30" s="47"/>
      <c r="ME30" s="47"/>
      <c r="MF30" s="47"/>
      <c r="MG30" s="47"/>
      <c r="MH30" s="47"/>
      <c r="MI30" s="47"/>
      <c r="MJ30" s="47"/>
      <c r="MK30" s="47"/>
      <c r="ML30" s="47"/>
      <c r="MM30" s="47"/>
      <c r="MN30" s="47"/>
      <c r="MO30" s="47"/>
      <c r="MP30" s="47"/>
      <c r="MQ30" s="47"/>
      <c r="MR30" s="47"/>
      <c r="MS30" s="47"/>
      <c r="MT30" s="47"/>
      <c r="MU30" s="47"/>
      <c r="MV30" s="47"/>
      <c r="MW30" s="47"/>
      <c r="MX30" s="47"/>
      <c r="MY30" s="47"/>
      <c r="MZ30" s="47"/>
      <c r="NA30" s="47"/>
      <c r="NB30" s="47"/>
      <c r="NC30" s="47"/>
      <c r="ND30" s="47"/>
      <c r="NE30" s="47"/>
      <c r="NF30" s="47"/>
      <c r="NG30" s="47"/>
      <c r="NH30" s="47"/>
      <c r="NI30" s="47"/>
      <c r="NJ30" s="47"/>
      <c r="NK30" s="47"/>
      <c r="NL30" s="47"/>
      <c r="NM30" s="47"/>
      <c r="NN30" s="47"/>
      <c r="NO30" s="47"/>
      <c r="NP30" s="47"/>
      <c r="NQ30" s="47"/>
      <c r="NR30" s="47"/>
      <c r="NS30" s="47"/>
      <c r="NT30" s="47"/>
      <c r="NU30" s="47"/>
      <c r="NV30" s="47"/>
      <c r="NW30" s="47"/>
      <c r="NX30" s="47"/>
      <c r="NY30" s="47"/>
      <c r="NZ30" s="47"/>
      <c r="OA30" s="47"/>
      <c r="OB30" s="47"/>
      <c r="OC30" s="47"/>
      <c r="OD30" s="47"/>
      <c r="OE30" s="48"/>
    </row>
    <row r="31" spans="1:395">
      <c r="A31" s="33" t="str">
        <f t="shared" si="18"/>
        <v/>
      </c>
      <c r="C31" s="2" t="str">
        <f>IF(ISBLANK($B31),"",_xlfn.XLOOKUP($B31,Task_No,Project!$C$3:$C$144,"INVALID TASK"))</f>
        <v/>
      </c>
      <c r="D31" s="27"/>
      <c r="E31" s="7" t="str">
        <f t="shared" si="19"/>
        <v/>
      </c>
      <c r="F31" s="7" t="str">
        <f t="shared" si="17"/>
        <v/>
      </c>
      <c r="G31" s="34"/>
      <c r="H31" s="34" t="str" cm="1">
        <f t="array" ref="H31">IF($C31="","",SUMPRODUCT((TEXT($AE$5:$OE$5, "mmm")=LOWER(G$3))*$AE31:$OE31))</f>
        <v/>
      </c>
      <c r="I31" s="34"/>
      <c r="J31" s="34" t="str" cm="1">
        <f t="array" ref="J31">IF($C31="","",SUMPRODUCT((TEXT($AE$5:$OE$5, "mmm")=LOWER(I$3))*$AE31:$OE31))</f>
        <v/>
      </c>
      <c r="K31" s="34"/>
      <c r="L31" s="34" t="str" cm="1">
        <f t="array" ref="L31">IF($C31="","",SUMPRODUCT((TEXT($AE$5:$OE$5, "mmm")=LOWER(K$3))*$AE31:$OE31))</f>
        <v/>
      </c>
      <c r="M31" s="34"/>
      <c r="N31" s="34" t="str" cm="1">
        <f t="array" ref="N31">IF($C31="","",SUMPRODUCT((TEXT($AE$5:$OE$5, "mmm")=LOWER(M$3))*$AE31:$OE31))</f>
        <v/>
      </c>
      <c r="O31" s="34"/>
      <c r="P31" s="34" t="str" cm="1">
        <f t="array" ref="P31">IF($C31="","",SUMPRODUCT((TEXT($AE$5:$OE$5, "mmm")=LOWER(O$3))*$AE31:$OE31))</f>
        <v/>
      </c>
      <c r="Q31" s="34"/>
      <c r="R31" s="34" t="str" cm="1">
        <f t="array" ref="R31">IF($C31="","",SUMPRODUCT((TEXT($AE$5:$OE$5, "mmm")=LOWER(Q$3))*$AE31:$OE31))</f>
        <v/>
      </c>
      <c r="S31" s="34"/>
      <c r="T31" s="34" t="str" cm="1">
        <f t="array" ref="T31">IF($C31="","",SUMPRODUCT((TEXT($AE$5:$OE$5, "mmm")=LOWER(S$3))*$AE31:$OE31))</f>
        <v/>
      </c>
      <c r="U31" s="34"/>
      <c r="V31" s="34" t="str" cm="1">
        <f t="array" ref="V31">IF($C31="","",SUMPRODUCT((TEXT($AE$5:$OE$5, "mmm")=LOWER(U$3))*$AE31:$OE31))</f>
        <v/>
      </c>
      <c r="W31" s="34"/>
      <c r="X31" s="34" t="str" cm="1">
        <f t="array" ref="X31">IF($C31="","",SUMPRODUCT((TEXT($AE$5:$OE$5, "mmm")=LOWER(W$3))*$AE31:$OE31))</f>
        <v/>
      </c>
      <c r="Y31" s="34"/>
      <c r="Z31" s="34" t="str" cm="1">
        <f t="array" ref="Z31">IF($C31="","",SUMPRODUCT((TEXT($AE$5:$OE$5, "mmm")=LOWER(Y$3))*$AE31:$OE31))</f>
        <v/>
      </c>
      <c r="AA31" s="34"/>
      <c r="AB31" s="34" t="str" cm="1">
        <f t="array" ref="AB31">IF($C31="","",SUMPRODUCT((TEXT($AE$5:$OE$5, "mmm")=LOWER(AA$3))*$AE31:$OE31))</f>
        <v/>
      </c>
      <c r="AC31" s="34"/>
      <c r="AD31" s="34" t="str" cm="1">
        <f t="array" ref="AD31">IF($C31="","",SUMPRODUCT((TEXT($AE$5:$OE$5, "mmm")=LOWER(AC$3))*$AE31:$OE31))</f>
        <v/>
      </c>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47"/>
      <c r="BF31" s="47"/>
      <c r="BG31" s="47"/>
      <c r="BH31" s="47"/>
      <c r="BI31" s="47"/>
      <c r="BJ31" s="47"/>
      <c r="BK31" s="47"/>
      <c r="BL31" s="47"/>
      <c r="BM31" s="47"/>
      <c r="BN31" s="47"/>
      <c r="BO31" s="47"/>
      <c r="BP31" s="47"/>
      <c r="BQ31" s="47"/>
      <c r="BR31" s="47"/>
      <c r="BS31" s="47"/>
      <c r="BT31" s="47"/>
      <c r="BU31" s="47"/>
      <c r="BV31" s="47"/>
      <c r="BW31" s="47"/>
      <c r="BX31" s="47"/>
      <c r="BY31" s="47"/>
      <c r="BZ31" s="47"/>
      <c r="CA31" s="47"/>
      <c r="CB31" s="47"/>
      <c r="CC31" s="47"/>
      <c r="CD31" s="47"/>
      <c r="CE31" s="47"/>
      <c r="CF31" s="47"/>
      <c r="CG31" s="47"/>
      <c r="CH31" s="47"/>
      <c r="CI31" s="47"/>
      <c r="CJ31" s="47"/>
      <c r="CK31" s="47"/>
      <c r="CL31" s="47"/>
      <c r="CM31" s="47"/>
      <c r="CN31" s="47"/>
      <c r="CO31" s="47"/>
      <c r="CP31" s="47"/>
      <c r="CQ31" s="47"/>
      <c r="CR31" s="47"/>
      <c r="CS31" s="47"/>
      <c r="CT31" s="47"/>
      <c r="CU31" s="47"/>
      <c r="CV31" s="47"/>
      <c r="CW31" s="47"/>
      <c r="CX31" s="47"/>
      <c r="CY31" s="47"/>
      <c r="CZ31" s="47"/>
      <c r="DA31" s="47"/>
      <c r="DB31" s="47"/>
      <c r="DC31" s="47"/>
      <c r="DD31" s="47"/>
      <c r="DE31" s="47"/>
      <c r="DF31" s="47"/>
      <c r="DG31" s="47"/>
      <c r="DH31" s="47"/>
      <c r="DI31" s="47"/>
      <c r="DJ31" s="47"/>
      <c r="DK31" s="47"/>
      <c r="DL31" s="47"/>
      <c r="DM31" s="47"/>
      <c r="DN31" s="47"/>
      <c r="DO31" s="47"/>
      <c r="DP31" s="47"/>
      <c r="DQ31" s="47"/>
      <c r="DR31" s="47"/>
      <c r="DS31" s="47"/>
      <c r="DT31" s="47"/>
      <c r="DU31" s="47"/>
      <c r="DV31" s="47"/>
      <c r="DW31" s="47"/>
      <c r="DX31" s="47"/>
      <c r="DY31" s="47"/>
      <c r="DZ31" s="47"/>
      <c r="EA31" s="47"/>
      <c r="EB31" s="47"/>
      <c r="EC31" s="47"/>
      <c r="ED31" s="47"/>
      <c r="EE31" s="47"/>
      <c r="EF31" s="47"/>
      <c r="EG31" s="47"/>
      <c r="EH31" s="47"/>
      <c r="EI31" s="47"/>
      <c r="EJ31" s="47"/>
      <c r="EK31" s="47"/>
      <c r="EL31" s="47"/>
      <c r="EM31" s="47"/>
      <c r="EN31" s="47"/>
      <c r="EO31" s="47"/>
      <c r="EP31" s="47"/>
      <c r="EQ31" s="47"/>
      <c r="ER31" s="47"/>
      <c r="ES31" s="47"/>
      <c r="ET31" s="47"/>
      <c r="EU31" s="47"/>
      <c r="EV31" s="47"/>
      <c r="EW31" s="47"/>
      <c r="EX31" s="47"/>
      <c r="EY31" s="47"/>
      <c r="EZ31" s="47"/>
      <c r="FA31" s="47"/>
      <c r="FB31" s="47"/>
      <c r="FC31" s="47"/>
      <c r="FD31" s="47"/>
      <c r="FE31" s="47"/>
      <c r="FF31" s="47"/>
      <c r="FG31" s="47"/>
      <c r="FH31" s="47"/>
      <c r="FI31" s="47"/>
      <c r="FJ31" s="47"/>
      <c r="FK31" s="47"/>
      <c r="FL31" s="47"/>
      <c r="FM31" s="47"/>
      <c r="FN31" s="47"/>
      <c r="FO31" s="47"/>
      <c r="FP31" s="47"/>
      <c r="FQ31" s="47"/>
      <c r="FR31" s="47"/>
      <c r="FS31" s="47"/>
      <c r="FT31" s="47"/>
      <c r="FU31" s="47"/>
      <c r="FV31" s="47"/>
      <c r="FW31" s="47"/>
      <c r="FX31" s="47"/>
      <c r="FY31" s="47"/>
      <c r="FZ31" s="47"/>
      <c r="GA31" s="47"/>
      <c r="GB31" s="47"/>
      <c r="GC31" s="47"/>
      <c r="GD31" s="47"/>
      <c r="GE31" s="47"/>
      <c r="GF31" s="47"/>
      <c r="GG31" s="47"/>
      <c r="GH31" s="47"/>
      <c r="GI31" s="47"/>
      <c r="GJ31" s="47"/>
      <c r="GK31" s="47"/>
      <c r="GL31" s="47"/>
      <c r="GM31" s="47"/>
      <c r="GN31" s="47"/>
      <c r="GO31" s="47"/>
      <c r="GP31" s="47"/>
      <c r="GQ31" s="47"/>
      <c r="GR31" s="47"/>
      <c r="GS31" s="47"/>
      <c r="GT31" s="47"/>
      <c r="GU31" s="47"/>
      <c r="GV31" s="47"/>
      <c r="GW31" s="47"/>
      <c r="GX31" s="47"/>
      <c r="GY31" s="47"/>
      <c r="GZ31" s="47"/>
      <c r="HA31" s="47"/>
      <c r="HB31" s="47"/>
      <c r="HC31" s="47"/>
      <c r="HD31" s="47"/>
      <c r="HE31" s="47"/>
      <c r="HF31" s="47"/>
      <c r="HG31" s="47"/>
      <c r="HH31" s="47"/>
      <c r="HI31" s="47"/>
      <c r="HJ31" s="47"/>
      <c r="HK31" s="47"/>
      <c r="HL31" s="47"/>
      <c r="HM31" s="47"/>
      <c r="HN31" s="47"/>
      <c r="HO31" s="47"/>
      <c r="HP31" s="47"/>
      <c r="HQ31" s="47"/>
      <c r="HR31" s="47"/>
      <c r="HS31" s="47"/>
      <c r="HT31" s="47"/>
      <c r="HU31" s="47"/>
      <c r="HV31" s="47"/>
      <c r="HW31" s="47"/>
      <c r="HX31" s="47"/>
      <c r="HY31" s="47"/>
      <c r="HZ31" s="47"/>
      <c r="IA31" s="47"/>
      <c r="IB31" s="47"/>
      <c r="IC31" s="47"/>
      <c r="ID31" s="47"/>
      <c r="IE31" s="47"/>
      <c r="IF31" s="47"/>
      <c r="IG31" s="47"/>
      <c r="IH31" s="47"/>
      <c r="II31" s="47"/>
      <c r="IJ31" s="47"/>
      <c r="IK31" s="47"/>
      <c r="IL31" s="47"/>
      <c r="IM31" s="47"/>
      <c r="IN31" s="47"/>
      <c r="IO31" s="47"/>
      <c r="IP31" s="47"/>
      <c r="IQ31" s="47"/>
      <c r="IR31" s="47"/>
      <c r="IS31" s="47"/>
      <c r="IT31" s="47"/>
      <c r="IU31" s="47"/>
      <c r="IV31" s="47"/>
      <c r="IW31" s="47"/>
      <c r="IX31" s="47"/>
      <c r="IY31" s="47"/>
      <c r="IZ31" s="47"/>
      <c r="JA31" s="47"/>
      <c r="JB31" s="47"/>
      <c r="JC31" s="47"/>
      <c r="JD31" s="47"/>
      <c r="JE31" s="47"/>
      <c r="JF31" s="47"/>
      <c r="JG31" s="47"/>
      <c r="JH31" s="47"/>
      <c r="JI31" s="47"/>
      <c r="JJ31" s="47"/>
      <c r="JK31" s="47"/>
      <c r="JL31" s="47"/>
      <c r="JM31" s="47"/>
      <c r="JN31" s="47"/>
      <c r="JO31" s="47"/>
      <c r="JP31" s="47"/>
      <c r="JQ31" s="47"/>
      <c r="JR31" s="47"/>
      <c r="JS31" s="47"/>
      <c r="JT31" s="47"/>
      <c r="JU31" s="47"/>
      <c r="JV31" s="47"/>
      <c r="JW31" s="47"/>
      <c r="JX31" s="47"/>
      <c r="JY31" s="47"/>
      <c r="JZ31" s="47"/>
      <c r="KA31" s="47"/>
      <c r="KB31" s="47"/>
      <c r="KC31" s="47"/>
      <c r="KD31" s="47"/>
      <c r="KE31" s="47"/>
      <c r="KF31" s="47"/>
      <c r="KG31" s="47"/>
      <c r="KH31" s="47"/>
      <c r="KI31" s="47"/>
      <c r="KJ31" s="47"/>
      <c r="KK31" s="47"/>
      <c r="KL31" s="47"/>
      <c r="KM31" s="47"/>
      <c r="KN31" s="47"/>
      <c r="KO31" s="47"/>
      <c r="KP31" s="47"/>
      <c r="KQ31" s="47"/>
      <c r="KR31" s="47"/>
      <c r="KS31" s="47"/>
      <c r="KT31" s="47"/>
      <c r="KU31" s="47"/>
      <c r="KV31" s="47"/>
      <c r="KW31" s="47"/>
      <c r="KX31" s="47"/>
      <c r="KY31" s="47"/>
      <c r="KZ31" s="47"/>
      <c r="LA31" s="47"/>
      <c r="LB31" s="47"/>
      <c r="LC31" s="47"/>
      <c r="LD31" s="47"/>
      <c r="LE31" s="47"/>
      <c r="LF31" s="47"/>
      <c r="LG31" s="47"/>
      <c r="LH31" s="47"/>
      <c r="LI31" s="47"/>
      <c r="LJ31" s="47"/>
      <c r="LK31" s="47"/>
      <c r="LL31" s="47"/>
      <c r="LM31" s="47"/>
      <c r="LN31" s="47"/>
      <c r="LO31" s="47"/>
      <c r="LP31" s="47"/>
      <c r="LQ31" s="47"/>
      <c r="LR31" s="47"/>
      <c r="LS31" s="47"/>
      <c r="LT31" s="47"/>
      <c r="LU31" s="47"/>
      <c r="LV31" s="47"/>
      <c r="LW31" s="47"/>
      <c r="LX31" s="47"/>
      <c r="LY31" s="47"/>
      <c r="LZ31" s="47"/>
      <c r="MA31" s="47"/>
      <c r="MB31" s="47"/>
      <c r="MC31" s="47"/>
      <c r="MD31" s="47"/>
      <c r="ME31" s="47"/>
      <c r="MF31" s="47"/>
      <c r="MG31" s="47"/>
      <c r="MH31" s="47"/>
      <c r="MI31" s="47"/>
      <c r="MJ31" s="47"/>
      <c r="MK31" s="47"/>
      <c r="ML31" s="47"/>
      <c r="MM31" s="47"/>
      <c r="MN31" s="47"/>
      <c r="MO31" s="47"/>
      <c r="MP31" s="47"/>
      <c r="MQ31" s="47"/>
      <c r="MR31" s="47"/>
      <c r="MS31" s="47"/>
      <c r="MT31" s="47"/>
      <c r="MU31" s="47"/>
      <c r="MV31" s="47"/>
      <c r="MW31" s="47"/>
      <c r="MX31" s="47"/>
      <c r="MY31" s="47"/>
      <c r="MZ31" s="47"/>
      <c r="NA31" s="47"/>
      <c r="NB31" s="47"/>
      <c r="NC31" s="47"/>
      <c r="ND31" s="47"/>
      <c r="NE31" s="47"/>
      <c r="NF31" s="47"/>
      <c r="NG31" s="47"/>
      <c r="NH31" s="47"/>
      <c r="NI31" s="47"/>
      <c r="NJ31" s="47"/>
      <c r="NK31" s="47"/>
      <c r="NL31" s="47"/>
      <c r="NM31" s="47"/>
      <c r="NN31" s="47"/>
      <c r="NO31" s="47"/>
      <c r="NP31" s="47"/>
      <c r="NQ31" s="47"/>
      <c r="NR31" s="47"/>
      <c r="NS31" s="47"/>
      <c r="NT31" s="47"/>
      <c r="NU31" s="47"/>
      <c r="NV31" s="47"/>
      <c r="NW31" s="47"/>
      <c r="NX31" s="47"/>
      <c r="NY31" s="47"/>
      <c r="NZ31" s="47"/>
      <c r="OA31" s="47"/>
      <c r="OB31" s="47"/>
      <c r="OC31" s="47"/>
      <c r="OD31" s="47"/>
      <c r="OE31" s="48"/>
    </row>
    <row r="32" spans="1:395">
      <c r="A32" s="33" t="str">
        <f t="shared" si="18"/>
        <v/>
      </c>
      <c r="C32" s="2" t="str">
        <f>IF(ISBLANK($B32),"",_xlfn.XLOOKUP($B32,Task_No,Project!$C$3:$C$144,"INVALID TASK"))</f>
        <v/>
      </c>
      <c r="D32" s="27"/>
      <c r="E32" s="7" t="str">
        <f t="shared" si="19"/>
        <v/>
      </c>
      <c r="F32" s="7" t="str">
        <f t="shared" si="17"/>
        <v/>
      </c>
      <c r="G32" s="34"/>
      <c r="H32" s="34" t="str" cm="1">
        <f t="array" ref="H32">IF($C32="","",SUMPRODUCT((TEXT($AE$5:$OE$5, "mmm")=LOWER(G$3))*$AE32:$OE32))</f>
        <v/>
      </c>
      <c r="I32" s="34"/>
      <c r="J32" s="34" t="str" cm="1">
        <f t="array" ref="J32">IF($C32="","",SUMPRODUCT((TEXT($AE$5:$OE$5, "mmm")=LOWER(I$3))*$AE32:$OE32))</f>
        <v/>
      </c>
      <c r="K32" s="34"/>
      <c r="L32" s="34" t="str" cm="1">
        <f t="array" ref="L32">IF($C32="","",SUMPRODUCT((TEXT($AE$5:$OE$5, "mmm")=LOWER(K$3))*$AE32:$OE32))</f>
        <v/>
      </c>
      <c r="M32" s="34"/>
      <c r="N32" s="34" t="str" cm="1">
        <f t="array" ref="N32">IF($C32="","",SUMPRODUCT((TEXT($AE$5:$OE$5, "mmm")=LOWER(M$3))*$AE32:$OE32))</f>
        <v/>
      </c>
      <c r="O32" s="34"/>
      <c r="P32" s="34" t="str" cm="1">
        <f t="array" ref="P32">IF($C32="","",SUMPRODUCT((TEXT($AE$5:$OE$5, "mmm")=LOWER(O$3))*$AE32:$OE32))</f>
        <v/>
      </c>
      <c r="Q32" s="34"/>
      <c r="R32" s="34" t="str" cm="1">
        <f t="array" ref="R32">IF($C32="","",SUMPRODUCT((TEXT($AE$5:$OE$5, "mmm")=LOWER(Q$3))*$AE32:$OE32))</f>
        <v/>
      </c>
      <c r="S32" s="34"/>
      <c r="T32" s="34" t="str" cm="1">
        <f t="array" ref="T32">IF($C32="","",SUMPRODUCT((TEXT($AE$5:$OE$5, "mmm")=LOWER(S$3))*$AE32:$OE32))</f>
        <v/>
      </c>
      <c r="U32" s="34"/>
      <c r="V32" s="34" t="str" cm="1">
        <f t="array" ref="V32">IF($C32="","",SUMPRODUCT((TEXT($AE$5:$OE$5, "mmm")=LOWER(U$3))*$AE32:$OE32))</f>
        <v/>
      </c>
      <c r="W32" s="34"/>
      <c r="X32" s="34" t="str" cm="1">
        <f t="array" ref="X32">IF($C32="","",SUMPRODUCT((TEXT($AE$5:$OE$5, "mmm")=LOWER(W$3))*$AE32:$OE32))</f>
        <v/>
      </c>
      <c r="Y32" s="34"/>
      <c r="Z32" s="34" t="str" cm="1">
        <f t="array" ref="Z32">IF($C32="","",SUMPRODUCT((TEXT($AE$5:$OE$5, "mmm")=LOWER(Y$3))*$AE32:$OE32))</f>
        <v/>
      </c>
      <c r="AA32" s="34"/>
      <c r="AB32" s="34" t="str" cm="1">
        <f t="array" ref="AB32">IF($C32="","",SUMPRODUCT((TEXT($AE$5:$OE$5, "mmm")=LOWER(AA$3))*$AE32:$OE32))</f>
        <v/>
      </c>
      <c r="AC32" s="34"/>
      <c r="AD32" s="34" t="str" cm="1">
        <f t="array" ref="AD32">IF($C32="","",SUMPRODUCT((TEXT($AE$5:$OE$5, "mmm")=LOWER(AC$3))*$AE32:$OE32))</f>
        <v/>
      </c>
      <c r="AE32" s="47"/>
      <c r="AF32" s="47"/>
      <c r="AG32" s="47"/>
      <c r="AH32" s="47"/>
      <c r="AI32" s="47"/>
      <c r="AJ32" s="47"/>
      <c r="AK32" s="47"/>
      <c r="AL32" s="47"/>
      <c r="AM32" s="47"/>
      <c r="AN32" s="47"/>
      <c r="AO32" s="47"/>
      <c r="AP32" s="47"/>
      <c r="AQ32" s="47"/>
      <c r="AR32" s="47"/>
      <c r="AS32" s="47"/>
      <c r="AT32" s="47"/>
      <c r="AU32" s="47"/>
      <c r="AV32" s="47"/>
      <c r="AW32" s="47"/>
      <c r="AX32" s="47"/>
      <c r="AY32" s="47"/>
      <c r="AZ32" s="47"/>
      <c r="BA32" s="47"/>
      <c r="BB32" s="47"/>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47"/>
      <c r="CA32" s="47"/>
      <c r="CB32" s="47"/>
      <c r="CC32" s="47"/>
      <c r="CD32" s="47"/>
      <c r="CE32" s="47"/>
      <c r="CF32" s="47"/>
      <c r="CG32" s="47"/>
      <c r="CH32" s="47"/>
      <c r="CI32" s="47"/>
      <c r="CJ32" s="47"/>
      <c r="CK32" s="47"/>
      <c r="CL32" s="47"/>
      <c r="CM32" s="47"/>
      <c r="CN32" s="47"/>
      <c r="CO32" s="47"/>
      <c r="CP32" s="47"/>
      <c r="CQ32" s="47"/>
      <c r="CR32" s="47"/>
      <c r="CS32" s="47"/>
      <c r="CT32" s="47"/>
      <c r="CU32" s="47"/>
      <c r="CV32" s="47"/>
      <c r="CW32" s="47"/>
      <c r="CX32" s="47"/>
      <c r="CY32" s="47"/>
      <c r="CZ32" s="47"/>
      <c r="DA32" s="47"/>
      <c r="DB32" s="47"/>
      <c r="DC32" s="47"/>
      <c r="DD32" s="47"/>
      <c r="DE32" s="47"/>
      <c r="DF32" s="47"/>
      <c r="DG32" s="47"/>
      <c r="DH32" s="47"/>
      <c r="DI32" s="47"/>
      <c r="DJ32" s="47"/>
      <c r="DK32" s="47"/>
      <c r="DL32" s="47"/>
      <c r="DM32" s="47"/>
      <c r="DN32" s="47"/>
      <c r="DO32" s="47"/>
      <c r="DP32" s="47"/>
      <c r="DQ32" s="47"/>
      <c r="DR32" s="47"/>
      <c r="DS32" s="47"/>
      <c r="DT32" s="47"/>
      <c r="DU32" s="47"/>
      <c r="DV32" s="47"/>
      <c r="DW32" s="47"/>
      <c r="DX32" s="47"/>
      <c r="DY32" s="47"/>
      <c r="DZ32" s="47"/>
      <c r="EA32" s="47"/>
      <c r="EB32" s="47"/>
      <c r="EC32" s="47"/>
      <c r="ED32" s="47"/>
      <c r="EE32" s="47"/>
      <c r="EF32" s="47"/>
      <c r="EG32" s="47"/>
      <c r="EH32" s="47"/>
      <c r="EI32" s="47"/>
      <c r="EJ32" s="47"/>
      <c r="EK32" s="47"/>
      <c r="EL32" s="47"/>
      <c r="EM32" s="47"/>
      <c r="EN32" s="47"/>
      <c r="EO32" s="47"/>
      <c r="EP32" s="47"/>
      <c r="EQ32" s="47"/>
      <c r="ER32" s="47"/>
      <c r="ES32" s="47"/>
      <c r="ET32" s="47"/>
      <c r="EU32" s="47"/>
      <c r="EV32" s="47"/>
      <c r="EW32" s="47"/>
      <c r="EX32" s="47"/>
      <c r="EY32" s="47"/>
      <c r="EZ32" s="47"/>
      <c r="FA32" s="47"/>
      <c r="FB32" s="47"/>
      <c r="FC32" s="47"/>
      <c r="FD32" s="47"/>
      <c r="FE32" s="47"/>
      <c r="FF32" s="47"/>
      <c r="FG32" s="47"/>
      <c r="FH32" s="47"/>
      <c r="FI32" s="47"/>
      <c r="FJ32" s="47"/>
      <c r="FK32" s="47"/>
      <c r="FL32" s="47"/>
      <c r="FM32" s="47"/>
      <c r="FN32" s="47"/>
      <c r="FO32" s="47"/>
      <c r="FP32" s="47"/>
      <c r="FQ32" s="47"/>
      <c r="FR32" s="47"/>
      <c r="FS32" s="47"/>
      <c r="FT32" s="47"/>
      <c r="FU32" s="47"/>
      <c r="FV32" s="47"/>
      <c r="FW32" s="47"/>
      <c r="FX32" s="47"/>
      <c r="FY32" s="47"/>
      <c r="FZ32" s="47"/>
      <c r="GA32" s="47"/>
      <c r="GB32" s="47"/>
      <c r="GC32" s="47"/>
      <c r="GD32" s="47"/>
      <c r="GE32" s="47"/>
      <c r="GF32" s="47"/>
      <c r="GG32" s="47"/>
      <c r="GH32" s="47"/>
      <c r="GI32" s="47"/>
      <c r="GJ32" s="47"/>
      <c r="GK32" s="47"/>
      <c r="GL32" s="47"/>
      <c r="GM32" s="47"/>
      <c r="GN32" s="47"/>
      <c r="GO32" s="47"/>
      <c r="GP32" s="47"/>
      <c r="GQ32" s="47"/>
      <c r="GR32" s="47"/>
      <c r="GS32" s="47"/>
      <c r="GT32" s="47"/>
      <c r="GU32" s="47"/>
      <c r="GV32" s="47"/>
      <c r="GW32" s="47"/>
      <c r="GX32" s="47"/>
      <c r="GY32" s="47"/>
      <c r="GZ32" s="47"/>
      <c r="HA32" s="47"/>
      <c r="HB32" s="47"/>
      <c r="HC32" s="47"/>
      <c r="HD32" s="47"/>
      <c r="HE32" s="47"/>
      <c r="HF32" s="47"/>
      <c r="HG32" s="47"/>
      <c r="HH32" s="47"/>
      <c r="HI32" s="47"/>
      <c r="HJ32" s="47"/>
      <c r="HK32" s="47"/>
      <c r="HL32" s="47"/>
      <c r="HM32" s="47"/>
      <c r="HN32" s="47"/>
      <c r="HO32" s="47"/>
      <c r="HP32" s="47"/>
      <c r="HQ32" s="47"/>
      <c r="HR32" s="47"/>
      <c r="HS32" s="47"/>
      <c r="HT32" s="47"/>
      <c r="HU32" s="47"/>
      <c r="HV32" s="47"/>
      <c r="HW32" s="47"/>
      <c r="HX32" s="47"/>
      <c r="HY32" s="47"/>
      <c r="HZ32" s="47"/>
      <c r="IA32" s="47"/>
      <c r="IB32" s="47"/>
      <c r="IC32" s="47"/>
      <c r="ID32" s="47"/>
      <c r="IE32" s="47"/>
      <c r="IF32" s="47"/>
      <c r="IG32" s="47"/>
      <c r="IH32" s="47"/>
      <c r="II32" s="47"/>
      <c r="IJ32" s="47"/>
      <c r="IK32" s="47"/>
      <c r="IL32" s="47"/>
      <c r="IM32" s="47"/>
      <c r="IN32" s="47"/>
      <c r="IO32" s="47"/>
      <c r="IP32" s="47"/>
      <c r="IQ32" s="47"/>
      <c r="IR32" s="47"/>
      <c r="IS32" s="47"/>
      <c r="IT32" s="47"/>
      <c r="IU32" s="47"/>
      <c r="IV32" s="47"/>
      <c r="IW32" s="47"/>
      <c r="IX32" s="47"/>
      <c r="IY32" s="47"/>
      <c r="IZ32" s="47"/>
      <c r="JA32" s="47"/>
      <c r="JB32" s="47"/>
      <c r="JC32" s="47"/>
      <c r="JD32" s="47"/>
      <c r="JE32" s="47"/>
      <c r="JF32" s="47"/>
      <c r="JG32" s="47"/>
      <c r="JH32" s="47"/>
      <c r="JI32" s="47"/>
      <c r="JJ32" s="47"/>
      <c r="JK32" s="47"/>
      <c r="JL32" s="47"/>
      <c r="JM32" s="47"/>
      <c r="JN32" s="47"/>
      <c r="JO32" s="47"/>
      <c r="JP32" s="47"/>
      <c r="JQ32" s="47"/>
      <c r="JR32" s="47"/>
      <c r="JS32" s="47"/>
      <c r="JT32" s="47"/>
      <c r="JU32" s="47"/>
      <c r="JV32" s="47"/>
      <c r="JW32" s="47"/>
      <c r="JX32" s="47"/>
      <c r="JY32" s="47"/>
      <c r="JZ32" s="47"/>
      <c r="KA32" s="47"/>
      <c r="KB32" s="47"/>
      <c r="KC32" s="47"/>
      <c r="KD32" s="47"/>
      <c r="KE32" s="47"/>
      <c r="KF32" s="47"/>
      <c r="KG32" s="47"/>
      <c r="KH32" s="47"/>
      <c r="KI32" s="47"/>
      <c r="KJ32" s="47"/>
      <c r="KK32" s="47"/>
      <c r="KL32" s="47"/>
      <c r="KM32" s="47"/>
      <c r="KN32" s="47"/>
      <c r="KO32" s="47"/>
      <c r="KP32" s="47"/>
      <c r="KQ32" s="47"/>
      <c r="KR32" s="47"/>
      <c r="KS32" s="47"/>
      <c r="KT32" s="47"/>
      <c r="KU32" s="47"/>
      <c r="KV32" s="47"/>
      <c r="KW32" s="47"/>
      <c r="KX32" s="47"/>
      <c r="KY32" s="47"/>
      <c r="KZ32" s="47"/>
      <c r="LA32" s="47"/>
      <c r="LB32" s="47"/>
      <c r="LC32" s="47"/>
      <c r="LD32" s="47"/>
      <c r="LE32" s="47"/>
      <c r="LF32" s="47"/>
      <c r="LG32" s="47"/>
      <c r="LH32" s="47"/>
      <c r="LI32" s="47"/>
      <c r="LJ32" s="47"/>
      <c r="LK32" s="47"/>
      <c r="LL32" s="47"/>
      <c r="LM32" s="47"/>
      <c r="LN32" s="47"/>
      <c r="LO32" s="47"/>
      <c r="LP32" s="47"/>
      <c r="LQ32" s="47"/>
      <c r="LR32" s="47"/>
      <c r="LS32" s="47"/>
      <c r="LT32" s="47"/>
      <c r="LU32" s="47"/>
      <c r="LV32" s="47"/>
      <c r="LW32" s="47"/>
      <c r="LX32" s="47"/>
      <c r="LY32" s="47"/>
      <c r="LZ32" s="47"/>
      <c r="MA32" s="47"/>
      <c r="MB32" s="47"/>
      <c r="MC32" s="47"/>
      <c r="MD32" s="47"/>
      <c r="ME32" s="47"/>
      <c r="MF32" s="47"/>
      <c r="MG32" s="47"/>
      <c r="MH32" s="47"/>
      <c r="MI32" s="47"/>
      <c r="MJ32" s="47"/>
      <c r="MK32" s="47"/>
      <c r="ML32" s="47"/>
      <c r="MM32" s="47"/>
      <c r="MN32" s="47"/>
      <c r="MO32" s="47"/>
      <c r="MP32" s="47"/>
      <c r="MQ32" s="47"/>
      <c r="MR32" s="47"/>
      <c r="MS32" s="47"/>
      <c r="MT32" s="47"/>
      <c r="MU32" s="47"/>
      <c r="MV32" s="47"/>
      <c r="MW32" s="47"/>
      <c r="MX32" s="47"/>
      <c r="MY32" s="47"/>
      <c r="MZ32" s="47"/>
      <c r="NA32" s="47"/>
      <c r="NB32" s="47"/>
      <c r="NC32" s="47"/>
      <c r="ND32" s="47"/>
      <c r="NE32" s="47"/>
      <c r="NF32" s="47"/>
      <c r="NG32" s="47"/>
      <c r="NH32" s="47"/>
      <c r="NI32" s="47"/>
      <c r="NJ32" s="47"/>
      <c r="NK32" s="47"/>
      <c r="NL32" s="47"/>
      <c r="NM32" s="47"/>
      <c r="NN32" s="47"/>
      <c r="NO32" s="47"/>
      <c r="NP32" s="47"/>
      <c r="NQ32" s="47"/>
      <c r="NR32" s="47"/>
      <c r="NS32" s="47"/>
      <c r="NT32" s="47"/>
      <c r="NU32" s="47"/>
      <c r="NV32" s="47"/>
      <c r="NW32" s="47"/>
      <c r="NX32" s="47"/>
      <c r="NY32" s="47"/>
      <c r="NZ32" s="47"/>
      <c r="OA32" s="47"/>
      <c r="OB32" s="47"/>
      <c r="OC32" s="47"/>
      <c r="OD32" s="47"/>
      <c r="OE32" s="48"/>
    </row>
    <row r="33" spans="1:395">
      <c r="A33" s="33" t="str">
        <f t="shared" si="18"/>
        <v/>
      </c>
      <c r="C33" s="2" t="str">
        <f>IF(ISBLANK($B33),"",_xlfn.XLOOKUP($B33,Task_No,Project!$C$3:$C$144,"INVALID TASK"))</f>
        <v/>
      </c>
      <c r="D33" s="27"/>
      <c r="E33" s="7" t="str">
        <f t="shared" si="19"/>
        <v/>
      </c>
      <c r="F33" s="7" t="str">
        <f t="shared" si="17"/>
        <v/>
      </c>
      <c r="G33" s="34"/>
      <c r="H33" s="34" t="str" cm="1">
        <f t="array" ref="H33">IF($C33="","",SUMPRODUCT((TEXT($AE$5:$OE$5, "mmm")=LOWER(G$3))*$AE33:$OE33))</f>
        <v/>
      </c>
      <c r="I33" s="34"/>
      <c r="J33" s="34" t="str" cm="1">
        <f t="array" ref="J33">IF($C33="","",SUMPRODUCT((TEXT($AE$5:$OE$5, "mmm")=LOWER(I$3))*$AE33:$OE33))</f>
        <v/>
      </c>
      <c r="K33" s="34"/>
      <c r="L33" s="34" t="str" cm="1">
        <f t="array" ref="L33">IF($C33="","",SUMPRODUCT((TEXT($AE$5:$OE$5, "mmm")=LOWER(K$3))*$AE33:$OE33))</f>
        <v/>
      </c>
      <c r="M33" s="34"/>
      <c r="N33" s="34" t="str" cm="1">
        <f t="array" ref="N33">IF($C33="","",SUMPRODUCT((TEXT($AE$5:$OE$5, "mmm")=LOWER(M$3))*$AE33:$OE33))</f>
        <v/>
      </c>
      <c r="O33" s="34"/>
      <c r="P33" s="34" t="str" cm="1">
        <f t="array" ref="P33">IF($C33="","",SUMPRODUCT((TEXT($AE$5:$OE$5, "mmm")=LOWER(O$3))*$AE33:$OE33))</f>
        <v/>
      </c>
      <c r="Q33" s="34"/>
      <c r="R33" s="34" t="str" cm="1">
        <f t="array" ref="R33">IF($C33="","",SUMPRODUCT((TEXT($AE$5:$OE$5, "mmm")=LOWER(Q$3))*$AE33:$OE33))</f>
        <v/>
      </c>
      <c r="S33" s="34"/>
      <c r="T33" s="34" t="str" cm="1">
        <f t="array" ref="T33">IF($C33="","",SUMPRODUCT((TEXT($AE$5:$OE$5, "mmm")=LOWER(S$3))*$AE33:$OE33))</f>
        <v/>
      </c>
      <c r="U33" s="34"/>
      <c r="V33" s="34" t="str" cm="1">
        <f t="array" ref="V33">IF($C33="","",SUMPRODUCT((TEXT($AE$5:$OE$5, "mmm")=LOWER(U$3))*$AE33:$OE33))</f>
        <v/>
      </c>
      <c r="W33" s="34"/>
      <c r="X33" s="34" t="str" cm="1">
        <f t="array" ref="X33">IF($C33="","",SUMPRODUCT((TEXT($AE$5:$OE$5, "mmm")=LOWER(W$3))*$AE33:$OE33))</f>
        <v/>
      </c>
      <c r="Y33" s="34"/>
      <c r="Z33" s="34" t="str" cm="1">
        <f t="array" ref="Z33">IF($C33="","",SUMPRODUCT((TEXT($AE$5:$OE$5, "mmm")=LOWER(Y$3))*$AE33:$OE33))</f>
        <v/>
      </c>
      <c r="AA33" s="34"/>
      <c r="AB33" s="34" t="str" cm="1">
        <f t="array" ref="AB33">IF($C33="","",SUMPRODUCT((TEXT($AE$5:$OE$5, "mmm")=LOWER(AA$3))*$AE33:$OE33))</f>
        <v/>
      </c>
      <c r="AC33" s="34"/>
      <c r="AD33" s="34" t="str" cm="1">
        <f t="array" ref="AD33">IF($C33="","",SUMPRODUCT((TEXT($AE$5:$OE$5, "mmm")=LOWER(AC$3))*$AE33:$OE33))</f>
        <v/>
      </c>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47"/>
      <c r="BN33" s="47"/>
      <c r="BO33" s="47"/>
      <c r="BP33" s="47"/>
      <c r="BQ33" s="47"/>
      <c r="BR33" s="47"/>
      <c r="BS33" s="47"/>
      <c r="BT33" s="47"/>
      <c r="BU33" s="47"/>
      <c r="BV33" s="47"/>
      <c r="BW33" s="47"/>
      <c r="BX33" s="47"/>
      <c r="BY33" s="47"/>
      <c r="BZ33" s="47"/>
      <c r="CA33" s="47"/>
      <c r="CB33" s="47"/>
      <c r="CC33" s="47"/>
      <c r="CD33" s="47"/>
      <c r="CE33" s="47"/>
      <c r="CF33" s="47"/>
      <c r="CG33" s="47"/>
      <c r="CH33" s="47"/>
      <c r="CI33" s="47"/>
      <c r="CJ33" s="47"/>
      <c r="CK33" s="47"/>
      <c r="CL33" s="47"/>
      <c r="CM33" s="47"/>
      <c r="CN33" s="47"/>
      <c r="CO33" s="47"/>
      <c r="CP33" s="47"/>
      <c r="CQ33" s="47"/>
      <c r="CR33" s="47"/>
      <c r="CS33" s="47"/>
      <c r="CT33" s="47"/>
      <c r="CU33" s="47"/>
      <c r="CV33" s="47"/>
      <c r="CW33" s="47"/>
      <c r="CX33" s="47"/>
      <c r="CY33" s="47"/>
      <c r="CZ33" s="47"/>
      <c r="DA33" s="47"/>
      <c r="DB33" s="47"/>
      <c r="DC33" s="47"/>
      <c r="DD33" s="47"/>
      <c r="DE33" s="47"/>
      <c r="DF33" s="47"/>
      <c r="DG33" s="47"/>
      <c r="DH33" s="47"/>
      <c r="DI33" s="47"/>
      <c r="DJ33" s="47"/>
      <c r="DK33" s="47"/>
      <c r="DL33" s="47"/>
      <c r="DM33" s="47"/>
      <c r="DN33" s="47"/>
      <c r="DO33" s="47"/>
      <c r="DP33" s="47"/>
      <c r="DQ33" s="47"/>
      <c r="DR33" s="47"/>
      <c r="DS33" s="47"/>
      <c r="DT33" s="47"/>
      <c r="DU33" s="47"/>
      <c r="DV33" s="47"/>
      <c r="DW33" s="47"/>
      <c r="DX33" s="47"/>
      <c r="DY33" s="47"/>
      <c r="DZ33" s="47"/>
      <c r="EA33" s="47"/>
      <c r="EB33" s="47"/>
      <c r="EC33" s="47"/>
      <c r="ED33" s="47"/>
      <c r="EE33" s="47"/>
      <c r="EF33" s="47"/>
      <c r="EG33" s="47"/>
      <c r="EH33" s="47"/>
      <c r="EI33" s="47"/>
      <c r="EJ33" s="47"/>
      <c r="EK33" s="47"/>
      <c r="EL33" s="47"/>
      <c r="EM33" s="47"/>
      <c r="EN33" s="47"/>
      <c r="EO33" s="47"/>
      <c r="EP33" s="47"/>
      <c r="EQ33" s="47"/>
      <c r="ER33" s="47"/>
      <c r="ES33" s="47"/>
      <c r="ET33" s="47"/>
      <c r="EU33" s="47"/>
      <c r="EV33" s="47"/>
      <c r="EW33" s="47"/>
      <c r="EX33" s="47"/>
      <c r="EY33" s="47"/>
      <c r="EZ33" s="47"/>
      <c r="FA33" s="47"/>
      <c r="FB33" s="47"/>
      <c r="FC33" s="47"/>
      <c r="FD33" s="47"/>
      <c r="FE33" s="47"/>
      <c r="FF33" s="47"/>
      <c r="FG33" s="47"/>
      <c r="FH33" s="47"/>
      <c r="FI33" s="47"/>
      <c r="FJ33" s="47"/>
      <c r="FK33" s="47"/>
      <c r="FL33" s="47"/>
      <c r="FM33" s="47"/>
      <c r="FN33" s="47"/>
      <c r="FO33" s="47"/>
      <c r="FP33" s="47"/>
      <c r="FQ33" s="47"/>
      <c r="FR33" s="47"/>
      <c r="FS33" s="47"/>
      <c r="FT33" s="47"/>
      <c r="FU33" s="47"/>
      <c r="FV33" s="47"/>
      <c r="FW33" s="47"/>
      <c r="FX33" s="47"/>
      <c r="FY33" s="47"/>
      <c r="FZ33" s="47"/>
      <c r="GA33" s="47"/>
      <c r="GB33" s="47"/>
      <c r="GC33" s="47"/>
      <c r="GD33" s="47"/>
      <c r="GE33" s="47"/>
      <c r="GF33" s="47"/>
      <c r="GG33" s="47"/>
      <c r="GH33" s="47"/>
      <c r="GI33" s="47"/>
      <c r="GJ33" s="47"/>
      <c r="GK33" s="47"/>
      <c r="GL33" s="47"/>
      <c r="GM33" s="47"/>
      <c r="GN33" s="47"/>
      <c r="GO33" s="47"/>
      <c r="GP33" s="47"/>
      <c r="GQ33" s="47"/>
      <c r="GR33" s="47"/>
      <c r="GS33" s="47"/>
      <c r="GT33" s="47"/>
      <c r="GU33" s="47"/>
      <c r="GV33" s="47"/>
      <c r="GW33" s="47"/>
      <c r="GX33" s="47"/>
      <c r="GY33" s="47"/>
      <c r="GZ33" s="47"/>
      <c r="HA33" s="47"/>
      <c r="HB33" s="47"/>
      <c r="HC33" s="47"/>
      <c r="HD33" s="47"/>
      <c r="HE33" s="47"/>
      <c r="HF33" s="47"/>
      <c r="HG33" s="47"/>
      <c r="HH33" s="47"/>
      <c r="HI33" s="47"/>
      <c r="HJ33" s="47"/>
      <c r="HK33" s="47"/>
      <c r="HL33" s="47"/>
      <c r="HM33" s="47"/>
      <c r="HN33" s="47"/>
      <c r="HO33" s="47"/>
      <c r="HP33" s="47"/>
      <c r="HQ33" s="47"/>
      <c r="HR33" s="47"/>
      <c r="HS33" s="47"/>
      <c r="HT33" s="47"/>
      <c r="HU33" s="47"/>
      <c r="HV33" s="47"/>
      <c r="HW33" s="47"/>
      <c r="HX33" s="47"/>
      <c r="HY33" s="47"/>
      <c r="HZ33" s="47"/>
      <c r="IA33" s="47"/>
      <c r="IB33" s="47"/>
      <c r="IC33" s="47"/>
      <c r="ID33" s="47"/>
      <c r="IE33" s="47"/>
      <c r="IF33" s="47"/>
      <c r="IG33" s="47"/>
      <c r="IH33" s="47"/>
      <c r="II33" s="47"/>
      <c r="IJ33" s="47"/>
      <c r="IK33" s="47"/>
      <c r="IL33" s="47"/>
      <c r="IM33" s="47"/>
      <c r="IN33" s="47"/>
      <c r="IO33" s="47"/>
      <c r="IP33" s="47"/>
      <c r="IQ33" s="47"/>
      <c r="IR33" s="47"/>
      <c r="IS33" s="47"/>
      <c r="IT33" s="47"/>
      <c r="IU33" s="47"/>
      <c r="IV33" s="47"/>
      <c r="IW33" s="47"/>
      <c r="IX33" s="47"/>
      <c r="IY33" s="47"/>
      <c r="IZ33" s="47"/>
      <c r="JA33" s="47"/>
      <c r="JB33" s="47"/>
      <c r="JC33" s="47"/>
      <c r="JD33" s="47"/>
      <c r="JE33" s="47"/>
      <c r="JF33" s="47"/>
      <c r="JG33" s="47"/>
      <c r="JH33" s="47"/>
      <c r="JI33" s="47"/>
      <c r="JJ33" s="47"/>
      <c r="JK33" s="47"/>
      <c r="JL33" s="47"/>
      <c r="JM33" s="47"/>
      <c r="JN33" s="47"/>
      <c r="JO33" s="47"/>
      <c r="JP33" s="47"/>
      <c r="JQ33" s="47"/>
      <c r="JR33" s="47"/>
      <c r="JS33" s="47"/>
      <c r="JT33" s="47"/>
      <c r="JU33" s="47"/>
      <c r="JV33" s="47"/>
      <c r="JW33" s="47"/>
      <c r="JX33" s="47"/>
      <c r="JY33" s="47"/>
      <c r="JZ33" s="47"/>
      <c r="KA33" s="47"/>
      <c r="KB33" s="47"/>
      <c r="KC33" s="47"/>
      <c r="KD33" s="47"/>
      <c r="KE33" s="47"/>
      <c r="KF33" s="47"/>
      <c r="KG33" s="47"/>
      <c r="KH33" s="47"/>
      <c r="KI33" s="47"/>
      <c r="KJ33" s="47"/>
      <c r="KK33" s="47"/>
      <c r="KL33" s="47"/>
      <c r="KM33" s="47"/>
      <c r="KN33" s="47"/>
      <c r="KO33" s="47"/>
      <c r="KP33" s="47"/>
      <c r="KQ33" s="47"/>
      <c r="KR33" s="47"/>
      <c r="KS33" s="47"/>
      <c r="KT33" s="47"/>
      <c r="KU33" s="47"/>
      <c r="KV33" s="47"/>
      <c r="KW33" s="47"/>
      <c r="KX33" s="47"/>
      <c r="KY33" s="47"/>
      <c r="KZ33" s="47"/>
      <c r="LA33" s="47"/>
      <c r="LB33" s="47"/>
      <c r="LC33" s="47"/>
      <c r="LD33" s="47"/>
      <c r="LE33" s="47"/>
      <c r="LF33" s="47"/>
      <c r="LG33" s="47"/>
      <c r="LH33" s="47"/>
      <c r="LI33" s="47"/>
      <c r="LJ33" s="47"/>
      <c r="LK33" s="47"/>
      <c r="LL33" s="47"/>
      <c r="LM33" s="47"/>
      <c r="LN33" s="47"/>
      <c r="LO33" s="47"/>
      <c r="LP33" s="47"/>
      <c r="LQ33" s="47"/>
      <c r="LR33" s="47"/>
      <c r="LS33" s="47"/>
      <c r="LT33" s="47"/>
      <c r="LU33" s="47"/>
      <c r="LV33" s="47"/>
      <c r="LW33" s="47"/>
      <c r="LX33" s="47"/>
      <c r="LY33" s="47"/>
      <c r="LZ33" s="47"/>
      <c r="MA33" s="47"/>
      <c r="MB33" s="47"/>
      <c r="MC33" s="47"/>
      <c r="MD33" s="47"/>
      <c r="ME33" s="47"/>
      <c r="MF33" s="47"/>
      <c r="MG33" s="47"/>
      <c r="MH33" s="47"/>
      <c r="MI33" s="47"/>
      <c r="MJ33" s="47"/>
      <c r="MK33" s="47"/>
      <c r="ML33" s="47"/>
      <c r="MM33" s="47"/>
      <c r="MN33" s="47"/>
      <c r="MO33" s="47"/>
      <c r="MP33" s="47"/>
      <c r="MQ33" s="47"/>
      <c r="MR33" s="47"/>
      <c r="MS33" s="47"/>
      <c r="MT33" s="47"/>
      <c r="MU33" s="47"/>
      <c r="MV33" s="47"/>
      <c r="MW33" s="47"/>
      <c r="MX33" s="47"/>
      <c r="MY33" s="47"/>
      <c r="MZ33" s="47"/>
      <c r="NA33" s="47"/>
      <c r="NB33" s="47"/>
      <c r="NC33" s="47"/>
      <c r="ND33" s="47"/>
      <c r="NE33" s="47"/>
      <c r="NF33" s="47"/>
      <c r="NG33" s="47"/>
      <c r="NH33" s="47"/>
      <c r="NI33" s="47"/>
      <c r="NJ33" s="47"/>
      <c r="NK33" s="47"/>
      <c r="NL33" s="47"/>
      <c r="NM33" s="47"/>
      <c r="NN33" s="47"/>
      <c r="NO33" s="47"/>
      <c r="NP33" s="47"/>
      <c r="NQ33" s="47"/>
      <c r="NR33" s="47"/>
      <c r="NS33" s="47"/>
      <c r="NT33" s="47"/>
      <c r="NU33" s="47"/>
      <c r="NV33" s="47"/>
      <c r="NW33" s="47"/>
      <c r="NX33" s="47"/>
      <c r="NY33" s="47"/>
      <c r="NZ33" s="47"/>
      <c r="OA33" s="47"/>
      <c r="OB33" s="47"/>
      <c r="OC33" s="47"/>
      <c r="OD33" s="47"/>
      <c r="OE33" s="48"/>
    </row>
    <row r="34" spans="1:395">
      <c r="A34" s="33" t="str">
        <f t="shared" si="18"/>
        <v/>
      </c>
      <c r="C34" s="2" t="str">
        <f>IF(ISBLANK($B34),"",_xlfn.XLOOKUP($B34,Task_No,Project!$C$3:$C$144,"INVALID TASK"))</f>
        <v/>
      </c>
      <c r="D34" s="27"/>
      <c r="E34" s="7" t="str">
        <f t="shared" si="19"/>
        <v/>
      </c>
      <c r="F34" s="7" t="str">
        <f t="shared" si="17"/>
        <v/>
      </c>
      <c r="G34" s="34"/>
      <c r="H34" s="34" t="str" cm="1">
        <f t="array" ref="H34">IF($C34="","",SUMPRODUCT((TEXT($AE$5:$OE$5, "mmm")=LOWER(G$3))*$AE34:$OE34))</f>
        <v/>
      </c>
      <c r="I34" s="34"/>
      <c r="J34" s="34" t="str" cm="1">
        <f t="array" ref="J34">IF($C34="","",SUMPRODUCT((TEXT($AE$5:$OE$5, "mmm")=LOWER(I$3))*$AE34:$OE34))</f>
        <v/>
      </c>
      <c r="K34" s="34"/>
      <c r="L34" s="34" t="str" cm="1">
        <f t="array" ref="L34">IF($C34="","",SUMPRODUCT((TEXT($AE$5:$OE$5, "mmm")=LOWER(K$3))*$AE34:$OE34))</f>
        <v/>
      </c>
      <c r="M34" s="34"/>
      <c r="N34" s="34" t="str" cm="1">
        <f t="array" ref="N34">IF($C34="","",SUMPRODUCT((TEXT($AE$5:$OE$5, "mmm")=LOWER(M$3))*$AE34:$OE34))</f>
        <v/>
      </c>
      <c r="O34" s="34"/>
      <c r="P34" s="34" t="str" cm="1">
        <f t="array" ref="P34">IF($C34="","",SUMPRODUCT((TEXT($AE$5:$OE$5, "mmm")=LOWER(O$3))*$AE34:$OE34))</f>
        <v/>
      </c>
      <c r="Q34" s="34"/>
      <c r="R34" s="34" t="str" cm="1">
        <f t="array" ref="R34">IF($C34="","",SUMPRODUCT((TEXT($AE$5:$OE$5, "mmm")=LOWER(Q$3))*$AE34:$OE34))</f>
        <v/>
      </c>
      <c r="S34" s="34"/>
      <c r="T34" s="34" t="str" cm="1">
        <f t="array" ref="T34">IF($C34="","",SUMPRODUCT((TEXT($AE$5:$OE$5, "mmm")=LOWER(S$3))*$AE34:$OE34))</f>
        <v/>
      </c>
      <c r="U34" s="34"/>
      <c r="V34" s="34" t="str" cm="1">
        <f t="array" ref="V34">IF($C34="","",SUMPRODUCT((TEXT($AE$5:$OE$5, "mmm")=LOWER(U$3))*$AE34:$OE34))</f>
        <v/>
      </c>
      <c r="W34" s="34"/>
      <c r="X34" s="34" t="str" cm="1">
        <f t="array" ref="X34">IF($C34="","",SUMPRODUCT((TEXT($AE$5:$OE$5, "mmm")=LOWER(W$3))*$AE34:$OE34))</f>
        <v/>
      </c>
      <c r="Y34" s="34"/>
      <c r="Z34" s="34" t="str" cm="1">
        <f t="array" ref="Z34">IF($C34="","",SUMPRODUCT((TEXT($AE$5:$OE$5, "mmm")=LOWER(Y$3))*$AE34:$OE34))</f>
        <v/>
      </c>
      <c r="AA34" s="34"/>
      <c r="AB34" s="34" t="str" cm="1">
        <f t="array" ref="AB34">IF($C34="","",SUMPRODUCT((TEXT($AE$5:$OE$5, "mmm")=LOWER(AA$3))*$AE34:$OE34))</f>
        <v/>
      </c>
      <c r="AC34" s="34"/>
      <c r="AD34" s="34" t="str" cm="1">
        <f t="array" ref="AD34">IF($C34="","",SUMPRODUCT((TEXT($AE$5:$OE$5, "mmm")=LOWER(AC$3))*$AE34:$OE34))</f>
        <v/>
      </c>
      <c r="AE34" s="47"/>
      <c r="AF34" s="47"/>
      <c r="AG34" s="47"/>
      <c r="AH34" s="47"/>
      <c r="AI34" s="47"/>
      <c r="AJ34" s="47"/>
      <c r="AK34" s="47"/>
      <c r="AL34" s="47"/>
      <c r="AM34" s="47"/>
      <c r="AN34" s="47"/>
      <c r="AO34" s="47"/>
      <c r="AP34" s="47"/>
      <c r="AQ34" s="47"/>
      <c r="AR34" s="47"/>
      <c r="AS34" s="47"/>
      <c r="AT34" s="47"/>
      <c r="AU34" s="47"/>
      <c r="AV34" s="47"/>
      <c r="AW34" s="47"/>
      <c r="AX34" s="47"/>
      <c r="AY34" s="47"/>
      <c r="AZ34" s="47"/>
      <c r="BA34" s="47"/>
      <c r="BB34" s="47"/>
      <c r="BC34" s="47"/>
      <c r="BD34" s="47"/>
      <c r="BE34" s="47"/>
      <c r="BF34" s="47"/>
      <c r="BG34" s="47"/>
      <c r="BH34" s="47"/>
      <c r="BI34" s="47"/>
      <c r="BJ34" s="47"/>
      <c r="BK34" s="47"/>
      <c r="BL34" s="47"/>
      <c r="BM34" s="47"/>
      <c r="BN34" s="47"/>
      <c r="BO34" s="47"/>
      <c r="BP34" s="47"/>
      <c r="BQ34" s="47"/>
      <c r="BR34" s="47"/>
      <c r="BS34" s="47"/>
      <c r="BT34" s="47"/>
      <c r="BU34" s="47"/>
      <c r="BV34" s="47"/>
      <c r="BW34" s="47"/>
      <c r="BX34" s="47"/>
      <c r="BY34" s="47"/>
      <c r="BZ34" s="47"/>
      <c r="CA34" s="47"/>
      <c r="CB34" s="47"/>
      <c r="CC34" s="47"/>
      <c r="CD34" s="47"/>
      <c r="CE34" s="47"/>
      <c r="CF34" s="47"/>
      <c r="CG34" s="47"/>
      <c r="CH34" s="47"/>
      <c r="CI34" s="47"/>
      <c r="CJ34" s="47"/>
      <c r="CK34" s="47"/>
      <c r="CL34" s="47"/>
      <c r="CM34" s="47"/>
      <c r="CN34" s="47"/>
      <c r="CO34" s="47"/>
      <c r="CP34" s="47"/>
      <c r="CQ34" s="47"/>
      <c r="CR34" s="47"/>
      <c r="CS34" s="47"/>
      <c r="CT34" s="47"/>
      <c r="CU34" s="47"/>
      <c r="CV34" s="47"/>
      <c r="CW34" s="47"/>
      <c r="CX34" s="47"/>
      <c r="CY34" s="47"/>
      <c r="CZ34" s="47"/>
      <c r="DA34" s="47"/>
      <c r="DB34" s="47"/>
      <c r="DC34" s="47"/>
      <c r="DD34" s="47"/>
      <c r="DE34" s="47"/>
      <c r="DF34" s="47"/>
      <c r="DG34" s="47"/>
      <c r="DH34" s="47"/>
      <c r="DI34" s="47"/>
      <c r="DJ34" s="47"/>
      <c r="DK34" s="47"/>
      <c r="DL34" s="47"/>
      <c r="DM34" s="47"/>
      <c r="DN34" s="47"/>
      <c r="DO34" s="47"/>
      <c r="DP34" s="47"/>
      <c r="DQ34" s="47"/>
      <c r="DR34" s="47"/>
      <c r="DS34" s="47"/>
      <c r="DT34" s="47"/>
      <c r="DU34" s="47"/>
      <c r="DV34" s="47"/>
      <c r="DW34" s="47"/>
      <c r="DX34" s="47"/>
      <c r="DY34" s="47"/>
      <c r="DZ34" s="47"/>
      <c r="EA34" s="47"/>
      <c r="EB34" s="47"/>
      <c r="EC34" s="47"/>
      <c r="ED34" s="47"/>
      <c r="EE34" s="47"/>
      <c r="EF34" s="47"/>
      <c r="EG34" s="47"/>
      <c r="EH34" s="47"/>
      <c r="EI34" s="47"/>
      <c r="EJ34" s="47"/>
      <c r="EK34" s="47"/>
      <c r="EL34" s="47"/>
      <c r="EM34" s="47"/>
      <c r="EN34" s="47"/>
      <c r="EO34" s="47"/>
      <c r="EP34" s="47"/>
      <c r="EQ34" s="47"/>
      <c r="ER34" s="47"/>
      <c r="ES34" s="47"/>
      <c r="ET34" s="47"/>
      <c r="EU34" s="47"/>
      <c r="EV34" s="47"/>
      <c r="EW34" s="47"/>
      <c r="EX34" s="47"/>
      <c r="EY34" s="47"/>
      <c r="EZ34" s="47"/>
      <c r="FA34" s="47"/>
      <c r="FB34" s="47"/>
      <c r="FC34" s="47"/>
      <c r="FD34" s="47"/>
      <c r="FE34" s="47"/>
      <c r="FF34" s="47"/>
      <c r="FG34" s="47"/>
      <c r="FH34" s="47"/>
      <c r="FI34" s="47"/>
      <c r="FJ34" s="47"/>
      <c r="FK34" s="47"/>
      <c r="FL34" s="47"/>
      <c r="FM34" s="47"/>
      <c r="FN34" s="47"/>
      <c r="FO34" s="47"/>
      <c r="FP34" s="47"/>
      <c r="FQ34" s="47"/>
      <c r="FR34" s="47"/>
      <c r="FS34" s="47"/>
      <c r="FT34" s="47"/>
      <c r="FU34" s="47"/>
      <c r="FV34" s="47"/>
      <c r="FW34" s="47"/>
      <c r="FX34" s="47"/>
      <c r="FY34" s="47"/>
      <c r="FZ34" s="47"/>
      <c r="GA34" s="47"/>
      <c r="GB34" s="47"/>
      <c r="GC34" s="47"/>
      <c r="GD34" s="47"/>
      <c r="GE34" s="47"/>
      <c r="GF34" s="47"/>
      <c r="GG34" s="47"/>
      <c r="GH34" s="47"/>
      <c r="GI34" s="47"/>
      <c r="GJ34" s="47"/>
      <c r="GK34" s="47"/>
      <c r="GL34" s="47"/>
      <c r="GM34" s="47"/>
      <c r="GN34" s="47"/>
      <c r="GO34" s="47"/>
      <c r="GP34" s="47"/>
      <c r="GQ34" s="47"/>
      <c r="GR34" s="47"/>
      <c r="GS34" s="47"/>
      <c r="GT34" s="47"/>
      <c r="GU34" s="47"/>
      <c r="GV34" s="47"/>
      <c r="GW34" s="47"/>
      <c r="GX34" s="47"/>
      <c r="GY34" s="47"/>
      <c r="GZ34" s="47"/>
      <c r="HA34" s="47"/>
      <c r="HB34" s="47"/>
      <c r="HC34" s="47"/>
      <c r="HD34" s="47"/>
      <c r="HE34" s="47"/>
      <c r="HF34" s="47"/>
      <c r="HG34" s="47"/>
      <c r="HH34" s="47"/>
      <c r="HI34" s="47"/>
      <c r="HJ34" s="47"/>
      <c r="HK34" s="47"/>
      <c r="HL34" s="47"/>
      <c r="HM34" s="47"/>
      <c r="HN34" s="47"/>
      <c r="HO34" s="47"/>
      <c r="HP34" s="47"/>
      <c r="HQ34" s="47"/>
      <c r="HR34" s="47"/>
      <c r="HS34" s="47"/>
      <c r="HT34" s="47"/>
      <c r="HU34" s="47"/>
      <c r="HV34" s="47"/>
      <c r="HW34" s="47"/>
      <c r="HX34" s="47"/>
      <c r="HY34" s="47"/>
      <c r="HZ34" s="47"/>
      <c r="IA34" s="47"/>
      <c r="IB34" s="47"/>
      <c r="IC34" s="47"/>
      <c r="ID34" s="47"/>
      <c r="IE34" s="47"/>
      <c r="IF34" s="47"/>
      <c r="IG34" s="47"/>
      <c r="IH34" s="47"/>
      <c r="II34" s="47"/>
      <c r="IJ34" s="47"/>
      <c r="IK34" s="47"/>
      <c r="IL34" s="47"/>
      <c r="IM34" s="47"/>
      <c r="IN34" s="47"/>
      <c r="IO34" s="47"/>
      <c r="IP34" s="47"/>
      <c r="IQ34" s="47"/>
      <c r="IR34" s="47"/>
      <c r="IS34" s="47"/>
      <c r="IT34" s="47"/>
      <c r="IU34" s="47"/>
      <c r="IV34" s="47"/>
      <c r="IW34" s="47"/>
      <c r="IX34" s="47"/>
      <c r="IY34" s="47"/>
      <c r="IZ34" s="47"/>
      <c r="JA34" s="47"/>
      <c r="JB34" s="47"/>
      <c r="JC34" s="47"/>
      <c r="JD34" s="47"/>
      <c r="JE34" s="47"/>
      <c r="JF34" s="47"/>
      <c r="JG34" s="47"/>
      <c r="JH34" s="47"/>
      <c r="JI34" s="47"/>
      <c r="JJ34" s="47"/>
      <c r="JK34" s="47"/>
      <c r="JL34" s="47"/>
      <c r="JM34" s="47"/>
      <c r="JN34" s="47"/>
      <c r="JO34" s="47"/>
      <c r="JP34" s="47"/>
      <c r="JQ34" s="47"/>
      <c r="JR34" s="47"/>
      <c r="JS34" s="47"/>
      <c r="JT34" s="47"/>
      <c r="JU34" s="47"/>
      <c r="JV34" s="47"/>
      <c r="JW34" s="47"/>
      <c r="JX34" s="47"/>
      <c r="JY34" s="47"/>
      <c r="JZ34" s="47"/>
      <c r="KA34" s="47"/>
      <c r="KB34" s="47"/>
      <c r="KC34" s="47"/>
      <c r="KD34" s="47"/>
      <c r="KE34" s="47"/>
      <c r="KF34" s="47"/>
      <c r="KG34" s="47"/>
      <c r="KH34" s="47"/>
      <c r="KI34" s="47"/>
      <c r="KJ34" s="47"/>
      <c r="KK34" s="47"/>
      <c r="KL34" s="47"/>
      <c r="KM34" s="47"/>
      <c r="KN34" s="47"/>
      <c r="KO34" s="47"/>
      <c r="KP34" s="47"/>
      <c r="KQ34" s="47"/>
      <c r="KR34" s="47"/>
      <c r="KS34" s="47"/>
      <c r="KT34" s="47"/>
      <c r="KU34" s="47"/>
      <c r="KV34" s="47"/>
      <c r="KW34" s="47"/>
      <c r="KX34" s="47"/>
      <c r="KY34" s="47"/>
      <c r="KZ34" s="47"/>
      <c r="LA34" s="47"/>
      <c r="LB34" s="47"/>
      <c r="LC34" s="47"/>
      <c r="LD34" s="47"/>
      <c r="LE34" s="47"/>
      <c r="LF34" s="47"/>
      <c r="LG34" s="47"/>
      <c r="LH34" s="47"/>
      <c r="LI34" s="47"/>
      <c r="LJ34" s="47"/>
      <c r="LK34" s="47"/>
      <c r="LL34" s="47"/>
      <c r="LM34" s="47"/>
      <c r="LN34" s="47"/>
      <c r="LO34" s="47"/>
      <c r="LP34" s="47"/>
      <c r="LQ34" s="47"/>
      <c r="LR34" s="47"/>
      <c r="LS34" s="47"/>
      <c r="LT34" s="47"/>
      <c r="LU34" s="47"/>
      <c r="LV34" s="47"/>
      <c r="LW34" s="47"/>
      <c r="LX34" s="47"/>
      <c r="LY34" s="47"/>
      <c r="LZ34" s="47"/>
      <c r="MA34" s="47"/>
      <c r="MB34" s="47"/>
      <c r="MC34" s="47"/>
      <c r="MD34" s="47"/>
      <c r="ME34" s="47"/>
      <c r="MF34" s="47"/>
      <c r="MG34" s="47"/>
      <c r="MH34" s="47"/>
      <c r="MI34" s="47"/>
      <c r="MJ34" s="47"/>
      <c r="MK34" s="47"/>
      <c r="ML34" s="47"/>
      <c r="MM34" s="47"/>
      <c r="MN34" s="47"/>
      <c r="MO34" s="47"/>
      <c r="MP34" s="47"/>
      <c r="MQ34" s="47"/>
      <c r="MR34" s="47"/>
      <c r="MS34" s="47"/>
      <c r="MT34" s="47"/>
      <c r="MU34" s="47"/>
      <c r="MV34" s="47"/>
      <c r="MW34" s="47"/>
      <c r="MX34" s="47"/>
      <c r="MY34" s="47"/>
      <c r="MZ34" s="47"/>
      <c r="NA34" s="47"/>
      <c r="NB34" s="47"/>
      <c r="NC34" s="47"/>
      <c r="ND34" s="47"/>
      <c r="NE34" s="47"/>
      <c r="NF34" s="47"/>
      <c r="NG34" s="47"/>
      <c r="NH34" s="47"/>
      <c r="NI34" s="47"/>
      <c r="NJ34" s="47"/>
      <c r="NK34" s="47"/>
      <c r="NL34" s="47"/>
      <c r="NM34" s="47"/>
      <c r="NN34" s="47"/>
      <c r="NO34" s="47"/>
      <c r="NP34" s="47"/>
      <c r="NQ34" s="47"/>
      <c r="NR34" s="47"/>
      <c r="NS34" s="47"/>
      <c r="NT34" s="47"/>
      <c r="NU34" s="47"/>
      <c r="NV34" s="47"/>
      <c r="NW34" s="47"/>
      <c r="NX34" s="47"/>
      <c r="NY34" s="47"/>
      <c r="NZ34" s="47"/>
      <c r="OA34" s="47"/>
      <c r="OB34" s="47"/>
      <c r="OC34" s="47"/>
      <c r="OD34" s="47"/>
      <c r="OE34" s="48"/>
    </row>
    <row r="35" spans="1:395">
      <c r="A35" s="33" t="str">
        <f t="shared" si="18"/>
        <v/>
      </c>
      <c r="C35" s="2" t="str">
        <f>IF(ISBLANK($B35),"",_xlfn.XLOOKUP($B35,Task_No,Project!$C$3:$C$144,"INVALID TASK"))</f>
        <v/>
      </c>
      <c r="D35" s="27"/>
      <c r="E35" s="7" t="str">
        <f t="shared" si="19"/>
        <v/>
      </c>
      <c r="F35" s="7" t="str">
        <f t="shared" si="17"/>
        <v/>
      </c>
      <c r="G35" s="34"/>
      <c r="H35" s="34" t="str" cm="1">
        <f t="array" ref="H35">IF($C35="","",SUMPRODUCT((TEXT($AE$5:$OE$5, "mmm")=LOWER(G$3))*$AE35:$OE35))</f>
        <v/>
      </c>
      <c r="I35" s="34"/>
      <c r="J35" s="34" t="str" cm="1">
        <f t="array" ref="J35">IF($C35="","",SUMPRODUCT((TEXT($AE$5:$OE$5, "mmm")=LOWER(I$3))*$AE35:$OE35))</f>
        <v/>
      </c>
      <c r="K35" s="34"/>
      <c r="L35" s="34" t="str" cm="1">
        <f t="array" ref="L35">IF($C35="","",SUMPRODUCT((TEXT($AE$5:$OE$5, "mmm")=LOWER(K$3))*$AE35:$OE35))</f>
        <v/>
      </c>
      <c r="M35" s="34"/>
      <c r="N35" s="34" t="str" cm="1">
        <f t="array" ref="N35">IF($C35="","",SUMPRODUCT((TEXT($AE$5:$OE$5, "mmm")=LOWER(M$3))*$AE35:$OE35))</f>
        <v/>
      </c>
      <c r="O35" s="34"/>
      <c r="P35" s="34" t="str" cm="1">
        <f t="array" ref="P35">IF($C35="","",SUMPRODUCT((TEXT($AE$5:$OE$5, "mmm")=LOWER(O$3))*$AE35:$OE35))</f>
        <v/>
      </c>
      <c r="Q35" s="34"/>
      <c r="R35" s="34" t="str" cm="1">
        <f t="array" ref="R35">IF($C35="","",SUMPRODUCT((TEXT($AE$5:$OE$5, "mmm")=LOWER(Q$3))*$AE35:$OE35))</f>
        <v/>
      </c>
      <c r="S35" s="34"/>
      <c r="T35" s="34" t="str" cm="1">
        <f t="array" ref="T35">IF($C35="","",SUMPRODUCT((TEXT($AE$5:$OE$5, "mmm")=LOWER(S$3))*$AE35:$OE35))</f>
        <v/>
      </c>
      <c r="U35" s="34"/>
      <c r="V35" s="34" t="str" cm="1">
        <f t="array" ref="V35">IF($C35="","",SUMPRODUCT((TEXT($AE$5:$OE$5, "mmm")=LOWER(U$3))*$AE35:$OE35))</f>
        <v/>
      </c>
      <c r="W35" s="34"/>
      <c r="X35" s="34" t="str" cm="1">
        <f t="array" ref="X35">IF($C35="","",SUMPRODUCT((TEXT($AE$5:$OE$5, "mmm")=LOWER(W$3))*$AE35:$OE35))</f>
        <v/>
      </c>
      <c r="Y35" s="34"/>
      <c r="Z35" s="34" t="str" cm="1">
        <f t="array" ref="Z35">IF($C35="","",SUMPRODUCT((TEXT($AE$5:$OE$5, "mmm")=LOWER(Y$3))*$AE35:$OE35))</f>
        <v/>
      </c>
      <c r="AA35" s="34"/>
      <c r="AB35" s="34" t="str" cm="1">
        <f t="array" ref="AB35">IF($C35="","",SUMPRODUCT((TEXT($AE$5:$OE$5, "mmm")=LOWER(AA$3))*$AE35:$OE35))</f>
        <v/>
      </c>
      <c r="AC35" s="34"/>
      <c r="AD35" s="34" t="str" cm="1">
        <f t="array" ref="AD35">IF($C35="","",SUMPRODUCT((TEXT($AE$5:$OE$5, "mmm")=LOWER(AC$3))*$AE35:$OE35))</f>
        <v/>
      </c>
      <c r="AE35" s="47"/>
      <c r="AF35" s="47"/>
      <c r="AG35" s="47"/>
      <c r="AH35" s="47"/>
      <c r="AI35" s="47"/>
      <c r="AJ35" s="47"/>
      <c r="AK35" s="47"/>
      <c r="AL35" s="47"/>
      <c r="AM35" s="47"/>
      <c r="AN35" s="47"/>
      <c r="AO35" s="47"/>
      <c r="AP35" s="47"/>
      <c r="AQ35" s="47"/>
      <c r="AR35" s="47"/>
      <c r="AS35" s="47"/>
      <c r="AT35" s="47"/>
      <c r="AU35" s="47"/>
      <c r="AV35" s="47"/>
      <c r="AW35" s="47"/>
      <c r="AX35" s="47"/>
      <c r="AY35" s="47"/>
      <c r="AZ35" s="47"/>
      <c r="BA35" s="47"/>
      <c r="BB35" s="47"/>
      <c r="BC35" s="47"/>
      <c r="BD35" s="47"/>
      <c r="BE35" s="47"/>
      <c r="BF35" s="47"/>
      <c r="BG35" s="47"/>
      <c r="BH35" s="47"/>
      <c r="BI35" s="47"/>
      <c r="BJ35" s="47"/>
      <c r="BK35" s="47"/>
      <c r="BL35" s="47"/>
      <c r="BM35" s="47"/>
      <c r="BN35" s="47"/>
      <c r="BO35" s="47"/>
      <c r="BP35" s="47"/>
      <c r="BQ35" s="47"/>
      <c r="BR35" s="47"/>
      <c r="BS35" s="47"/>
      <c r="BT35" s="47"/>
      <c r="BU35" s="47"/>
      <c r="BV35" s="47"/>
      <c r="BW35" s="47"/>
      <c r="BX35" s="47"/>
      <c r="BY35" s="47"/>
      <c r="BZ35" s="47"/>
      <c r="CA35" s="47"/>
      <c r="CB35" s="47"/>
      <c r="CC35" s="47"/>
      <c r="CD35" s="47"/>
      <c r="CE35" s="47"/>
      <c r="CF35" s="47"/>
      <c r="CG35" s="47"/>
      <c r="CH35" s="47"/>
      <c r="CI35" s="47"/>
      <c r="CJ35" s="47"/>
      <c r="CK35" s="47"/>
      <c r="CL35" s="47"/>
      <c r="CM35" s="47"/>
      <c r="CN35" s="47"/>
      <c r="CO35" s="47"/>
      <c r="CP35" s="47"/>
      <c r="CQ35" s="47"/>
      <c r="CR35" s="47"/>
      <c r="CS35" s="47"/>
      <c r="CT35" s="47"/>
      <c r="CU35" s="47"/>
      <c r="CV35" s="47"/>
      <c r="CW35" s="47"/>
      <c r="CX35" s="47"/>
      <c r="CY35" s="47"/>
      <c r="CZ35" s="47"/>
      <c r="DA35" s="47"/>
      <c r="DB35" s="47"/>
      <c r="DC35" s="47"/>
      <c r="DD35" s="47"/>
      <c r="DE35" s="47"/>
      <c r="DF35" s="47"/>
      <c r="DG35" s="47"/>
      <c r="DH35" s="47"/>
      <c r="DI35" s="47"/>
      <c r="DJ35" s="47"/>
      <c r="DK35" s="47"/>
      <c r="DL35" s="47"/>
      <c r="DM35" s="47"/>
      <c r="DN35" s="47"/>
      <c r="DO35" s="47"/>
      <c r="DP35" s="47"/>
      <c r="DQ35" s="47"/>
      <c r="DR35" s="47"/>
      <c r="DS35" s="47"/>
      <c r="DT35" s="47"/>
      <c r="DU35" s="47"/>
      <c r="DV35" s="47"/>
      <c r="DW35" s="47"/>
      <c r="DX35" s="47"/>
      <c r="DY35" s="47"/>
      <c r="DZ35" s="47"/>
      <c r="EA35" s="47"/>
      <c r="EB35" s="47"/>
      <c r="EC35" s="47"/>
      <c r="ED35" s="47"/>
      <c r="EE35" s="47"/>
      <c r="EF35" s="47"/>
      <c r="EG35" s="47"/>
      <c r="EH35" s="47"/>
      <c r="EI35" s="47"/>
      <c r="EJ35" s="47"/>
      <c r="EK35" s="47"/>
      <c r="EL35" s="47"/>
      <c r="EM35" s="47"/>
      <c r="EN35" s="47"/>
      <c r="EO35" s="47"/>
      <c r="EP35" s="47"/>
      <c r="EQ35" s="47"/>
      <c r="ER35" s="47"/>
      <c r="ES35" s="47"/>
      <c r="ET35" s="47"/>
      <c r="EU35" s="47"/>
      <c r="EV35" s="47"/>
      <c r="EW35" s="47"/>
      <c r="EX35" s="47"/>
      <c r="EY35" s="47"/>
      <c r="EZ35" s="47"/>
      <c r="FA35" s="47"/>
      <c r="FB35" s="47"/>
      <c r="FC35" s="47"/>
      <c r="FD35" s="47"/>
      <c r="FE35" s="47"/>
      <c r="FF35" s="47"/>
      <c r="FG35" s="47"/>
      <c r="FH35" s="47"/>
      <c r="FI35" s="47"/>
      <c r="FJ35" s="47"/>
      <c r="FK35" s="47"/>
      <c r="FL35" s="47"/>
      <c r="FM35" s="47"/>
      <c r="FN35" s="47"/>
      <c r="FO35" s="47"/>
      <c r="FP35" s="47"/>
      <c r="FQ35" s="47"/>
      <c r="FR35" s="47"/>
      <c r="FS35" s="47"/>
      <c r="FT35" s="47"/>
      <c r="FU35" s="47"/>
      <c r="FV35" s="47"/>
      <c r="FW35" s="47"/>
      <c r="FX35" s="47"/>
      <c r="FY35" s="47"/>
      <c r="FZ35" s="47"/>
      <c r="GA35" s="47"/>
      <c r="GB35" s="47"/>
      <c r="GC35" s="47"/>
      <c r="GD35" s="47"/>
      <c r="GE35" s="47"/>
      <c r="GF35" s="47"/>
      <c r="GG35" s="47"/>
      <c r="GH35" s="47"/>
      <c r="GI35" s="47"/>
      <c r="GJ35" s="47"/>
      <c r="GK35" s="47"/>
      <c r="GL35" s="47"/>
      <c r="GM35" s="47"/>
      <c r="GN35" s="47"/>
      <c r="GO35" s="47"/>
      <c r="GP35" s="47"/>
      <c r="GQ35" s="47"/>
      <c r="GR35" s="47"/>
      <c r="GS35" s="47"/>
      <c r="GT35" s="47"/>
      <c r="GU35" s="47"/>
      <c r="GV35" s="47"/>
      <c r="GW35" s="47"/>
      <c r="GX35" s="47"/>
      <c r="GY35" s="47"/>
      <c r="GZ35" s="47"/>
      <c r="HA35" s="47"/>
      <c r="HB35" s="47"/>
      <c r="HC35" s="47"/>
      <c r="HD35" s="47"/>
      <c r="HE35" s="47"/>
      <c r="HF35" s="47"/>
      <c r="HG35" s="47"/>
      <c r="HH35" s="47"/>
      <c r="HI35" s="47"/>
      <c r="HJ35" s="47"/>
      <c r="HK35" s="47"/>
      <c r="HL35" s="47"/>
      <c r="HM35" s="47"/>
      <c r="HN35" s="47"/>
      <c r="HO35" s="47"/>
      <c r="HP35" s="47"/>
      <c r="HQ35" s="47"/>
      <c r="HR35" s="47"/>
      <c r="HS35" s="47"/>
      <c r="HT35" s="47"/>
      <c r="HU35" s="47"/>
      <c r="HV35" s="47"/>
      <c r="HW35" s="47"/>
      <c r="HX35" s="47"/>
      <c r="HY35" s="47"/>
      <c r="HZ35" s="47"/>
      <c r="IA35" s="47"/>
      <c r="IB35" s="47"/>
      <c r="IC35" s="47"/>
      <c r="ID35" s="47"/>
      <c r="IE35" s="47"/>
      <c r="IF35" s="47"/>
      <c r="IG35" s="47"/>
      <c r="IH35" s="47"/>
      <c r="II35" s="47"/>
      <c r="IJ35" s="47"/>
      <c r="IK35" s="47"/>
      <c r="IL35" s="47"/>
      <c r="IM35" s="47"/>
      <c r="IN35" s="47"/>
      <c r="IO35" s="47"/>
      <c r="IP35" s="47"/>
      <c r="IQ35" s="47"/>
      <c r="IR35" s="47"/>
      <c r="IS35" s="47"/>
      <c r="IT35" s="47"/>
      <c r="IU35" s="47"/>
      <c r="IV35" s="47"/>
      <c r="IW35" s="47"/>
      <c r="IX35" s="47"/>
      <c r="IY35" s="47"/>
      <c r="IZ35" s="47"/>
      <c r="JA35" s="47"/>
      <c r="JB35" s="47"/>
      <c r="JC35" s="47"/>
      <c r="JD35" s="47"/>
      <c r="JE35" s="47"/>
      <c r="JF35" s="47"/>
      <c r="JG35" s="47"/>
      <c r="JH35" s="47"/>
      <c r="JI35" s="47"/>
      <c r="JJ35" s="47"/>
      <c r="JK35" s="47"/>
      <c r="JL35" s="47"/>
      <c r="JM35" s="47"/>
      <c r="JN35" s="47"/>
      <c r="JO35" s="47"/>
      <c r="JP35" s="47"/>
      <c r="JQ35" s="47"/>
      <c r="JR35" s="47"/>
      <c r="JS35" s="47"/>
      <c r="JT35" s="47"/>
      <c r="JU35" s="47"/>
      <c r="JV35" s="47"/>
      <c r="JW35" s="47"/>
      <c r="JX35" s="47"/>
      <c r="JY35" s="47"/>
      <c r="JZ35" s="47"/>
      <c r="KA35" s="47"/>
      <c r="KB35" s="47"/>
      <c r="KC35" s="47"/>
      <c r="KD35" s="47"/>
      <c r="KE35" s="47"/>
      <c r="KF35" s="47"/>
      <c r="KG35" s="47"/>
      <c r="KH35" s="47"/>
      <c r="KI35" s="47"/>
      <c r="KJ35" s="47"/>
      <c r="KK35" s="47"/>
      <c r="KL35" s="47"/>
      <c r="KM35" s="47"/>
      <c r="KN35" s="47"/>
      <c r="KO35" s="47"/>
      <c r="KP35" s="47"/>
      <c r="KQ35" s="47"/>
      <c r="KR35" s="47"/>
      <c r="KS35" s="47"/>
      <c r="KT35" s="47"/>
      <c r="KU35" s="47"/>
      <c r="KV35" s="47"/>
      <c r="KW35" s="47"/>
      <c r="KX35" s="47"/>
      <c r="KY35" s="47"/>
      <c r="KZ35" s="47"/>
      <c r="LA35" s="47"/>
      <c r="LB35" s="47"/>
      <c r="LC35" s="47"/>
      <c r="LD35" s="47"/>
      <c r="LE35" s="47"/>
      <c r="LF35" s="47"/>
      <c r="LG35" s="47"/>
      <c r="LH35" s="47"/>
      <c r="LI35" s="47"/>
      <c r="LJ35" s="47"/>
      <c r="LK35" s="47"/>
      <c r="LL35" s="47"/>
      <c r="LM35" s="47"/>
      <c r="LN35" s="47"/>
      <c r="LO35" s="47"/>
      <c r="LP35" s="47"/>
      <c r="LQ35" s="47"/>
      <c r="LR35" s="47"/>
      <c r="LS35" s="47"/>
      <c r="LT35" s="47"/>
      <c r="LU35" s="47"/>
      <c r="LV35" s="47"/>
      <c r="LW35" s="47"/>
      <c r="LX35" s="47"/>
      <c r="LY35" s="47"/>
      <c r="LZ35" s="47"/>
      <c r="MA35" s="47"/>
      <c r="MB35" s="47"/>
      <c r="MC35" s="47"/>
      <c r="MD35" s="47"/>
      <c r="ME35" s="47"/>
      <c r="MF35" s="47"/>
      <c r="MG35" s="47"/>
      <c r="MH35" s="47"/>
      <c r="MI35" s="47"/>
      <c r="MJ35" s="47"/>
      <c r="MK35" s="47"/>
      <c r="ML35" s="47"/>
      <c r="MM35" s="47"/>
      <c r="MN35" s="47"/>
      <c r="MO35" s="47"/>
      <c r="MP35" s="47"/>
      <c r="MQ35" s="47"/>
      <c r="MR35" s="47"/>
      <c r="MS35" s="47"/>
      <c r="MT35" s="47"/>
      <c r="MU35" s="47"/>
      <c r="MV35" s="47"/>
      <c r="MW35" s="47"/>
      <c r="MX35" s="47"/>
      <c r="MY35" s="47"/>
      <c r="MZ35" s="47"/>
      <c r="NA35" s="47"/>
      <c r="NB35" s="47"/>
      <c r="NC35" s="47"/>
      <c r="ND35" s="47"/>
      <c r="NE35" s="47"/>
      <c r="NF35" s="47"/>
      <c r="NG35" s="47"/>
      <c r="NH35" s="47"/>
      <c r="NI35" s="47"/>
      <c r="NJ35" s="47"/>
      <c r="NK35" s="47"/>
      <c r="NL35" s="47"/>
      <c r="NM35" s="47"/>
      <c r="NN35" s="47"/>
      <c r="NO35" s="47"/>
      <c r="NP35" s="47"/>
      <c r="NQ35" s="47"/>
      <c r="NR35" s="47"/>
      <c r="NS35" s="47"/>
      <c r="NT35" s="47"/>
      <c r="NU35" s="47"/>
      <c r="NV35" s="47"/>
      <c r="NW35" s="47"/>
      <c r="NX35" s="47"/>
      <c r="NY35" s="47"/>
      <c r="NZ35" s="47"/>
      <c r="OA35" s="47"/>
      <c r="OB35" s="47"/>
      <c r="OC35" s="47"/>
      <c r="OD35" s="47"/>
      <c r="OE35" s="48"/>
    </row>
    <row r="36" spans="1:395">
      <c r="A36" s="33" t="str">
        <f t="shared" si="18"/>
        <v/>
      </c>
      <c r="C36" s="2" t="str">
        <f>IF(ISBLANK($B36),"",_xlfn.XLOOKUP($B36,Task_No,Project!$C$3:$C$144,"INVALID TASK"))</f>
        <v/>
      </c>
      <c r="D36" s="27"/>
      <c r="E36" s="7" t="str">
        <f t="shared" si="19"/>
        <v/>
      </c>
      <c r="F36" s="7" t="str">
        <f t="shared" si="17"/>
        <v/>
      </c>
      <c r="G36" s="34"/>
      <c r="H36" s="34" t="str" cm="1">
        <f t="array" ref="H36">IF($C36="","",SUMPRODUCT((TEXT($AE$5:$OE$5, "mmm")=LOWER(G$3))*$AE36:$OE36))</f>
        <v/>
      </c>
      <c r="I36" s="34"/>
      <c r="J36" s="34" t="str" cm="1">
        <f t="array" ref="J36">IF($C36="","",SUMPRODUCT((TEXT($AE$5:$OE$5, "mmm")=LOWER(I$3))*$AE36:$OE36))</f>
        <v/>
      </c>
      <c r="K36" s="34"/>
      <c r="L36" s="34" t="str" cm="1">
        <f t="array" ref="L36">IF($C36="","",SUMPRODUCT((TEXT($AE$5:$OE$5, "mmm")=LOWER(K$3))*$AE36:$OE36))</f>
        <v/>
      </c>
      <c r="M36" s="34"/>
      <c r="N36" s="34" t="str" cm="1">
        <f t="array" ref="N36">IF($C36="","",SUMPRODUCT((TEXT($AE$5:$OE$5, "mmm")=LOWER(M$3))*$AE36:$OE36))</f>
        <v/>
      </c>
      <c r="O36" s="34"/>
      <c r="P36" s="34" t="str" cm="1">
        <f t="array" ref="P36">IF($C36="","",SUMPRODUCT((TEXT($AE$5:$OE$5, "mmm")=LOWER(O$3))*$AE36:$OE36))</f>
        <v/>
      </c>
      <c r="Q36" s="34"/>
      <c r="R36" s="34" t="str" cm="1">
        <f t="array" ref="R36">IF($C36="","",SUMPRODUCT((TEXT($AE$5:$OE$5, "mmm")=LOWER(Q$3))*$AE36:$OE36))</f>
        <v/>
      </c>
      <c r="S36" s="34"/>
      <c r="T36" s="34" t="str" cm="1">
        <f t="array" ref="T36">IF($C36="","",SUMPRODUCT((TEXT($AE$5:$OE$5, "mmm")=LOWER(S$3))*$AE36:$OE36))</f>
        <v/>
      </c>
      <c r="U36" s="34"/>
      <c r="V36" s="34" t="str" cm="1">
        <f t="array" ref="V36">IF($C36="","",SUMPRODUCT((TEXT($AE$5:$OE$5, "mmm")=LOWER(U$3))*$AE36:$OE36))</f>
        <v/>
      </c>
      <c r="W36" s="34"/>
      <c r="X36" s="34" t="str" cm="1">
        <f t="array" ref="X36">IF($C36="","",SUMPRODUCT((TEXT($AE$5:$OE$5, "mmm")=LOWER(W$3))*$AE36:$OE36))</f>
        <v/>
      </c>
      <c r="Y36" s="34"/>
      <c r="Z36" s="34" t="str" cm="1">
        <f t="array" ref="Z36">IF($C36="","",SUMPRODUCT((TEXT($AE$5:$OE$5, "mmm")=LOWER(Y$3))*$AE36:$OE36))</f>
        <v/>
      </c>
      <c r="AA36" s="34"/>
      <c r="AB36" s="34" t="str" cm="1">
        <f t="array" ref="AB36">IF($C36="","",SUMPRODUCT((TEXT($AE$5:$OE$5, "mmm")=LOWER(AA$3))*$AE36:$OE36))</f>
        <v/>
      </c>
      <c r="AC36" s="34"/>
      <c r="AD36" s="34" t="str" cm="1">
        <f t="array" ref="AD36">IF($C36="","",SUMPRODUCT((TEXT($AE$5:$OE$5, "mmm")=LOWER(AC$3))*$AE36:$OE36))</f>
        <v/>
      </c>
      <c r="AE36" s="47"/>
      <c r="AF36" s="47"/>
      <c r="AG36" s="47"/>
      <c r="AH36" s="47"/>
      <c r="AI36" s="47"/>
      <c r="AJ36" s="47"/>
      <c r="AK36" s="47"/>
      <c r="AL36" s="47"/>
      <c r="AM36" s="47"/>
      <c r="AN36" s="47"/>
      <c r="AO36" s="47"/>
      <c r="AP36" s="47"/>
      <c r="AQ36" s="47"/>
      <c r="AR36" s="47"/>
      <c r="AS36" s="47"/>
      <c r="AT36" s="47"/>
      <c r="AU36" s="47"/>
      <c r="AV36" s="47"/>
      <c r="AW36" s="47"/>
      <c r="AX36" s="47"/>
      <c r="AY36" s="47"/>
      <c r="AZ36" s="47"/>
      <c r="BA36" s="47"/>
      <c r="BB36" s="47"/>
      <c r="BC36" s="47"/>
      <c r="BD36" s="47"/>
      <c r="BE36" s="47"/>
      <c r="BF36" s="47"/>
      <c r="BG36" s="47"/>
      <c r="BH36" s="47"/>
      <c r="BI36" s="47"/>
      <c r="BJ36" s="47"/>
      <c r="BK36" s="47"/>
      <c r="BL36" s="47"/>
      <c r="BM36" s="47"/>
      <c r="BN36" s="47"/>
      <c r="BO36" s="47"/>
      <c r="BP36" s="47"/>
      <c r="BQ36" s="47"/>
      <c r="BR36" s="47"/>
      <c r="BS36" s="47"/>
      <c r="BT36" s="47"/>
      <c r="BU36" s="47"/>
      <c r="BV36" s="47"/>
      <c r="BW36" s="47"/>
      <c r="BX36" s="47"/>
      <c r="BY36" s="47"/>
      <c r="BZ36" s="47"/>
      <c r="CA36" s="47"/>
      <c r="CB36" s="47"/>
      <c r="CC36" s="47"/>
      <c r="CD36" s="47"/>
      <c r="CE36" s="47"/>
      <c r="CF36" s="47"/>
      <c r="CG36" s="47"/>
      <c r="CH36" s="47"/>
      <c r="CI36" s="47"/>
      <c r="CJ36" s="47"/>
      <c r="CK36" s="47"/>
      <c r="CL36" s="47"/>
      <c r="CM36" s="47"/>
      <c r="CN36" s="47"/>
      <c r="CO36" s="47"/>
      <c r="CP36" s="47"/>
      <c r="CQ36" s="47"/>
      <c r="CR36" s="47"/>
      <c r="CS36" s="47"/>
      <c r="CT36" s="47"/>
      <c r="CU36" s="47"/>
      <c r="CV36" s="47"/>
      <c r="CW36" s="47"/>
      <c r="CX36" s="47"/>
      <c r="CY36" s="47"/>
      <c r="CZ36" s="47"/>
      <c r="DA36" s="47"/>
      <c r="DB36" s="47"/>
      <c r="DC36" s="47"/>
      <c r="DD36" s="47"/>
      <c r="DE36" s="47"/>
      <c r="DF36" s="47"/>
      <c r="DG36" s="47"/>
      <c r="DH36" s="47"/>
      <c r="DI36" s="47"/>
      <c r="DJ36" s="47"/>
      <c r="DK36" s="47"/>
      <c r="DL36" s="47"/>
      <c r="DM36" s="47"/>
      <c r="DN36" s="47"/>
      <c r="DO36" s="47"/>
      <c r="DP36" s="47"/>
      <c r="DQ36" s="47"/>
      <c r="DR36" s="47"/>
      <c r="DS36" s="47"/>
      <c r="DT36" s="47"/>
      <c r="DU36" s="47"/>
      <c r="DV36" s="47"/>
      <c r="DW36" s="47"/>
      <c r="DX36" s="47"/>
      <c r="DY36" s="47"/>
      <c r="DZ36" s="47"/>
      <c r="EA36" s="47"/>
      <c r="EB36" s="47"/>
      <c r="EC36" s="47"/>
      <c r="ED36" s="47"/>
      <c r="EE36" s="47"/>
      <c r="EF36" s="47"/>
      <c r="EG36" s="47"/>
      <c r="EH36" s="47"/>
      <c r="EI36" s="47"/>
      <c r="EJ36" s="47"/>
      <c r="EK36" s="47"/>
      <c r="EL36" s="47"/>
      <c r="EM36" s="47"/>
      <c r="EN36" s="47"/>
      <c r="EO36" s="47"/>
      <c r="EP36" s="47"/>
      <c r="EQ36" s="47"/>
      <c r="ER36" s="47"/>
      <c r="ES36" s="47"/>
      <c r="ET36" s="47"/>
      <c r="EU36" s="47"/>
      <c r="EV36" s="47"/>
      <c r="EW36" s="47"/>
      <c r="EX36" s="47"/>
      <c r="EY36" s="47"/>
      <c r="EZ36" s="47"/>
      <c r="FA36" s="47"/>
      <c r="FB36" s="47"/>
      <c r="FC36" s="47"/>
      <c r="FD36" s="47"/>
      <c r="FE36" s="47"/>
      <c r="FF36" s="47"/>
      <c r="FG36" s="47"/>
      <c r="FH36" s="47"/>
      <c r="FI36" s="47"/>
      <c r="FJ36" s="47"/>
      <c r="FK36" s="47"/>
      <c r="FL36" s="47"/>
      <c r="FM36" s="47"/>
      <c r="FN36" s="47"/>
      <c r="FO36" s="47"/>
      <c r="FP36" s="47"/>
      <c r="FQ36" s="47"/>
      <c r="FR36" s="47"/>
      <c r="FS36" s="47"/>
      <c r="FT36" s="47"/>
      <c r="FU36" s="47"/>
      <c r="FV36" s="47"/>
      <c r="FW36" s="47"/>
      <c r="FX36" s="47"/>
      <c r="FY36" s="47"/>
      <c r="FZ36" s="47"/>
      <c r="GA36" s="47"/>
      <c r="GB36" s="47"/>
      <c r="GC36" s="47"/>
      <c r="GD36" s="47"/>
      <c r="GE36" s="47"/>
      <c r="GF36" s="47"/>
      <c r="GG36" s="47"/>
      <c r="GH36" s="47"/>
      <c r="GI36" s="47"/>
      <c r="GJ36" s="47"/>
      <c r="GK36" s="47"/>
      <c r="GL36" s="47"/>
      <c r="GM36" s="47"/>
      <c r="GN36" s="47"/>
      <c r="GO36" s="47"/>
      <c r="GP36" s="47"/>
      <c r="GQ36" s="47"/>
      <c r="GR36" s="47"/>
      <c r="GS36" s="47"/>
      <c r="GT36" s="47"/>
      <c r="GU36" s="47"/>
      <c r="GV36" s="47"/>
      <c r="GW36" s="47"/>
      <c r="GX36" s="47"/>
      <c r="GY36" s="47"/>
      <c r="GZ36" s="47"/>
      <c r="HA36" s="47"/>
      <c r="HB36" s="47"/>
      <c r="HC36" s="47"/>
      <c r="HD36" s="47"/>
      <c r="HE36" s="47"/>
      <c r="HF36" s="47"/>
      <c r="HG36" s="47"/>
      <c r="HH36" s="47"/>
      <c r="HI36" s="47"/>
      <c r="HJ36" s="47"/>
      <c r="HK36" s="47"/>
      <c r="HL36" s="47"/>
      <c r="HM36" s="47"/>
      <c r="HN36" s="47"/>
      <c r="HO36" s="47"/>
      <c r="HP36" s="47"/>
      <c r="HQ36" s="47"/>
      <c r="HR36" s="47"/>
      <c r="HS36" s="47"/>
      <c r="HT36" s="47"/>
      <c r="HU36" s="47"/>
      <c r="HV36" s="47"/>
      <c r="HW36" s="47"/>
      <c r="HX36" s="47"/>
      <c r="HY36" s="47"/>
      <c r="HZ36" s="47"/>
      <c r="IA36" s="47"/>
      <c r="IB36" s="47"/>
      <c r="IC36" s="47"/>
      <c r="ID36" s="47"/>
      <c r="IE36" s="47"/>
      <c r="IF36" s="47"/>
      <c r="IG36" s="47"/>
      <c r="IH36" s="47"/>
      <c r="II36" s="47"/>
      <c r="IJ36" s="47"/>
      <c r="IK36" s="47"/>
      <c r="IL36" s="47"/>
      <c r="IM36" s="47"/>
      <c r="IN36" s="47"/>
      <c r="IO36" s="47"/>
      <c r="IP36" s="47"/>
      <c r="IQ36" s="47"/>
      <c r="IR36" s="47"/>
      <c r="IS36" s="47"/>
      <c r="IT36" s="47"/>
      <c r="IU36" s="47"/>
      <c r="IV36" s="47"/>
      <c r="IW36" s="47"/>
      <c r="IX36" s="47"/>
      <c r="IY36" s="47"/>
      <c r="IZ36" s="47"/>
      <c r="JA36" s="47"/>
      <c r="JB36" s="47"/>
      <c r="JC36" s="47"/>
      <c r="JD36" s="47"/>
      <c r="JE36" s="47"/>
      <c r="JF36" s="47"/>
      <c r="JG36" s="47"/>
      <c r="JH36" s="47"/>
      <c r="JI36" s="47"/>
      <c r="JJ36" s="47"/>
      <c r="JK36" s="47"/>
      <c r="JL36" s="47"/>
      <c r="JM36" s="47"/>
      <c r="JN36" s="47"/>
      <c r="JO36" s="47"/>
      <c r="JP36" s="47"/>
      <c r="JQ36" s="47"/>
      <c r="JR36" s="47"/>
      <c r="JS36" s="47"/>
      <c r="JT36" s="47"/>
      <c r="JU36" s="47"/>
      <c r="JV36" s="47"/>
      <c r="JW36" s="47"/>
      <c r="JX36" s="47"/>
      <c r="JY36" s="47"/>
      <c r="JZ36" s="47"/>
      <c r="KA36" s="47"/>
      <c r="KB36" s="47"/>
      <c r="KC36" s="47"/>
      <c r="KD36" s="47"/>
      <c r="KE36" s="47"/>
      <c r="KF36" s="47"/>
      <c r="KG36" s="47"/>
      <c r="KH36" s="47"/>
      <c r="KI36" s="47"/>
      <c r="KJ36" s="47"/>
      <c r="KK36" s="47"/>
      <c r="KL36" s="47"/>
      <c r="KM36" s="47"/>
      <c r="KN36" s="47"/>
      <c r="KO36" s="47"/>
      <c r="KP36" s="47"/>
      <c r="KQ36" s="47"/>
      <c r="KR36" s="47"/>
      <c r="KS36" s="47"/>
      <c r="KT36" s="47"/>
      <c r="KU36" s="47"/>
      <c r="KV36" s="47"/>
      <c r="KW36" s="47"/>
      <c r="KX36" s="47"/>
      <c r="KY36" s="47"/>
      <c r="KZ36" s="47"/>
      <c r="LA36" s="47"/>
      <c r="LB36" s="47"/>
      <c r="LC36" s="47"/>
      <c r="LD36" s="47"/>
      <c r="LE36" s="47"/>
      <c r="LF36" s="47"/>
      <c r="LG36" s="47"/>
      <c r="LH36" s="47"/>
      <c r="LI36" s="47"/>
      <c r="LJ36" s="47"/>
      <c r="LK36" s="47"/>
      <c r="LL36" s="47"/>
      <c r="LM36" s="47"/>
      <c r="LN36" s="47"/>
      <c r="LO36" s="47"/>
      <c r="LP36" s="47"/>
      <c r="LQ36" s="47"/>
      <c r="LR36" s="47"/>
      <c r="LS36" s="47"/>
      <c r="LT36" s="47"/>
      <c r="LU36" s="47"/>
      <c r="LV36" s="47"/>
      <c r="LW36" s="47"/>
      <c r="LX36" s="47"/>
      <c r="LY36" s="47"/>
      <c r="LZ36" s="47"/>
      <c r="MA36" s="47"/>
      <c r="MB36" s="47"/>
      <c r="MC36" s="47"/>
      <c r="MD36" s="47"/>
      <c r="ME36" s="47"/>
      <c r="MF36" s="47"/>
      <c r="MG36" s="47"/>
      <c r="MH36" s="47"/>
      <c r="MI36" s="47"/>
      <c r="MJ36" s="47"/>
      <c r="MK36" s="47"/>
      <c r="ML36" s="47"/>
      <c r="MM36" s="47"/>
      <c r="MN36" s="47"/>
      <c r="MO36" s="47"/>
      <c r="MP36" s="47"/>
      <c r="MQ36" s="47"/>
      <c r="MR36" s="47"/>
      <c r="MS36" s="47"/>
      <c r="MT36" s="47"/>
      <c r="MU36" s="47"/>
      <c r="MV36" s="47"/>
      <c r="MW36" s="47"/>
      <c r="MX36" s="47"/>
      <c r="MY36" s="47"/>
      <c r="MZ36" s="47"/>
      <c r="NA36" s="47"/>
      <c r="NB36" s="47"/>
      <c r="NC36" s="47"/>
      <c r="ND36" s="47"/>
      <c r="NE36" s="47"/>
      <c r="NF36" s="47"/>
      <c r="NG36" s="47"/>
      <c r="NH36" s="47"/>
      <c r="NI36" s="47"/>
      <c r="NJ36" s="47"/>
      <c r="NK36" s="47"/>
      <c r="NL36" s="47"/>
      <c r="NM36" s="47"/>
      <c r="NN36" s="47"/>
      <c r="NO36" s="47"/>
      <c r="NP36" s="47"/>
      <c r="NQ36" s="47"/>
      <c r="NR36" s="47"/>
      <c r="NS36" s="47"/>
      <c r="NT36" s="47"/>
      <c r="NU36" s="47"/>
      <c r="NV36" s="47"/>
      <c r="NW36" s="47"/>
      <c r="NX36" s="47"/>
      <c r="NY36" s="47"/>
      <c r="NZ36" s="47"/>
      <c r="OA36" s="47"/>
      <c r="OB36" s="47"/>
      <c r="OC36" s="47"/>
      <c r="OD36" s="47"/>
      <c r="OE36" s="48"/>
    </row>
    <row r="37" spans="1:395">
      <c r="A37" s="33" t="str">
        <f t="shared" si="18"/>
        <v/>
      </c>
      <c r="C37" s="2" t="str">
        <f>IF(ISBLANK($B37),"",_xlfn.XLOOKUP($B37,Task_No,Project!$C$3:$C$144,"INVALID TASK"))</f>
        <v/>
      </c>
      <c r="D37" s="27"/>
      <c r="E37" s="7" t="str">
        <f t="shared" si="19"/>
        <v/>
      </c>
      <c r="F37" s="7" t="str">
        <f t="shared" si="17"/>
        <v/>
      </c>
      <c r="G37" s="34"/>
      <c r="H37" s="34" t="str" cm="1">
        <f t="array" ref="H37">IF($C37="","",SUMPRODUCT((TEXT($AE$5:$OE$5, "mmm")=LOWER(G$3))*$AE37:$OE37))</f>
        <v/>
      </c>
      <c r="I37" s="34"/>
      <c r="J37" s="34" t="str" cm="1">
        <f t="array" ref="J37">IF($C37="","",SUMPRODUCT((TEXT($AE$5:$OE$5, "mmm")=LOWER(I$3))*$AE37:$OE37))</f>
        <v/>
      </c>
      <c r="K37" s="34"/>
      <c r="L37" s="34" t="str" cm="1">
        <f t="array" ref="L37">IF($C37="","",SUMPRODUCT((TEXT($AE$5:$OE$5, "mmm")=LOWER(K$3))*$AE37:$OE37))</f>
        <v/>
      </c>
      <c r="M37" s="34"/>
      <c r="N37" s="34" t="str" cm="1">
        <f t="array" ref="N37">IF($C37="","",SUMPRODUCT((TEXT($AE$5:$OE$5, "mmm")=LOWER(M$3))*$AE37:$OE37))</f>
        <v/>
      </c>
      <c r="O37" s="34"/>
      <c r="P37" s="34" t="str" cm="1">
        <f t="array" ref="P37">IF($C37="","",SUMPRODUCT((TEXT($AE$5:$OE$5, "mmm")=LOWER(O$3))*$AE37:$OE37))</f>
        <v/>
      </c>
      <c r="Q37" s="34"/>
      <c r="R37" s="34" t="str" cm="1">
        <f t="array" ref="R37">IF($C37="","",SUMPRODUCT((TEXT($AE$5:$OE$5, "mmm")=LOWER(Q$3))*$AE37:$OE37))</f>
        <v/>
      </c>
      <c r="S37" s="34"/>
      <c r="T37" s="34" t="str" cm="1">
        <f t="array" ref="T37">IF($C37="","",SUMPRODUCT((TEXT($AE$5:$OE$5, "mmm")=LOWER(S$3))*$AE37:$OE37))</f>
        <v/>
      </c>
      <c r="U37" s="34"/>
      <c r="V37" s="34" t="str" cm="1">
        <f t="array" ref="V37">IF($C37="","",SUMPRODUCT((TEXT($AE$5:$OE$5, "mmm")=LOWER(U$3))*$AE37:$OE37))</f>
        <v/>
      </c>
      <c r="W37" s="34"/>
      <c r="X37" s="34" t="str" cm="1">
        <f t="array" ref="X37">IF($C37="","",SUMPRODUCT((TEXT($AE$5:$OE$5, "mmm")=LOWER(W$3))*$AE37:$OE37))</f>
        <v/>
      </c>
      <c r="Y37" s="34"/>
      <c r="Z37" s="34" t="str" cm="1">
        <f t="array" ref="Z37">IF($C37="","",SUMPRODUCT((TEXT($AE$5:$OE$5, "mmm")=LOWER(Y$3))*$AE37:$OE37))</f>
        <v/>
      </c>
      <c r="AA37" s="34"/>
      <c r="AB37" s="34" t="str" cm="1">
        <f t="array" ref="AB37">IF($C37="","",SUMPRODUCT((TEXT($AE$5:$OE$5, "mmm")=LOWER(AA$3))*$AE37:$OE37))</f>
        <v/>
      </c>
      <c r="AC37" s="34"/>
      <c r="AD37" s="34" t="str" cm="1">
        <f t="array" ref="AD37">IF($C37="","",SUMPRODUCT((TEXT($AE$5:$OE$5, "mmm")=LOWER(AC$3))*$AE37:$OE37))</f>
        <v/>
      </c>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c r="CT37" s="47"/>
      <c r="CU37" s="47"/>
      <c r="CV37" s="47"/>
      <c r="CW37" s="47"/>
      <c r="CX37" s="47"/>
      <c r="CY37" s="47"/>
      <c r="CZ37" s="47"/>
      <c r="DA37" s="47"/>
      <c r="DB37" s="47"/>
      <c r="DC37" s="47"/>
      <c r="DD37" s="47"/>
      <c r="DE37" s="47"/>
      <c r="DF37" s="47"/>
      <c r="DG37" s="47"/>
      <c r="DH37" s="47"/>
      <c r="DI37" s="47"/>
      <c r="DJ37" s="47"/>
      <c r="DK37" s="47"/>
      <c r="DL37" s="47"/>
      <c r="DM37" s="47"/>
      <c r="DN37" s="47"/>
      <c r="DO37" s="47"/>
      <c r="DP37" s="47"/>
      <c r="DQ37" s="47"/>
      <c r="DR37" s="47"/>
      <c r="DS37" s="47"/>
      <c r="DT37" s="47"/>
      <c r="DU37" s="47"/>
      <c r="DV37" s="47"/>
      <c r="DW37" s="47"/>
      <c r="DX37" s="47"/>
      <c r="DY37" s="47"/>
      <c r="DZ37" s="47"/>
      <c r="EA37" s="47"/>
      <c r="EB37" s="47"/>
      <c r="EC37" s="47"/>
      <c r="ED37" s="47"/>
      <c r="EE37" s="47"/>
      <c r="EF37" s="47"/>
      <c r="EG37" s="47"/>
      <c r="EH37" s="47"/>
      <c r="EI37" s="47"/>
      <c r="EJ37" s="47"/>
      <c r="EK37" s="47"/>
      <c r="EL37" s="47"/>
      <c r="EM37" s="47"/>
      <c r="EN37" s="47"/>
      <c r="EO37" s="47"/>
      <c r="EP37" s="47"/>
      <c r="EQ37" s="47"/>
      <c r="ER37" s="47"/>
      <c r="ES37" s="47"/>
      <c r="ET37" s="47"/>
      <c r="EU37" s="47"/>
      <c r="EV37" s="47"/>
      <c r="EW37" s="47"/>
      <c r="EX37" s="47"/>
      <c r="EY37" s="47"/>
      <c r="EZ37" s="47"/>
      <c r="FA37" s="47"/>
      <c r="FB37" s="47"/>
      <c r="FC37" s="47"/>
      <c r="FD37" s="47"/>
      <c r="FE37" s="47"/>
      <c r="FF37" s="47"/>
      <c r="FG37" s="47"/>
      <c r="FH37" s="47"/>
      <c r="FI37" s="47"/>
      <c r="FJ37" s="47"/>
      <c r="FK37" s="47"/>
      <c r="FL37" s="47"/>
      <c r="FM37" s="47"/>
      <c r="FN37" s="47"/>
      <c r="FO37" s="47"/>
      <c r="FP37" s="47"/>
      <c r="FQ37" s="47"/>
      <c r="FR37" s="47"/>
      <c r="FS37" s="47"/>
      <c r="FT37" s="47"/>
      <c r="FU37" s="47"/>
      <c r="FV37" s="47"/>
      <c r="FW37" s="47"/>
      <c r="FX37" s="47"/>
      <c r="FY37" s="47"/>
      <c r="FZ37" s="47"/>
      <c r="GA37" s="47"/>
      <c r="GB37" s="47"/>
      <c r="GC37" s="47"/>
      <c r="GD37" s="47"/>
      <c r="GE37" s="47"/>
      <c r="GF37" s="47"/>
      <c r="GG37" s="47"/>
      <c r="GH37" s="47"/>
      <c r="GI37" s="47"/>
      <c r="GJ37" s="47"/>
      <c r="GK37" s="47"/>
      <c r="GL37" s="47"/>
      <c r="GM37" s="47"/>
      <c r="GN37" s="47"/>
      <c r="GO37" s="47"/>
      <c r="GP37" s="47"/>
      <c r="GQ37" s="47"/>
      <c r="GR37" s="47"/>
      <c r="GS37" s="47"/>
      <c r="GT37" s="47"/>
      <c r="GU37" s="47"/>
      <c r="GV37" s="47"/>
      <c r="GW37" s="47"/>
      <c r="GX37" s="47"/>
      <c r="GY37" s="47"/>
      <c r="GZ37" s="47"/>
      <c r="HA37" s="47"/>
      <c r="HB37" s="47"/>
      <c r="HC37" s="47"/>
      <c r="HD37" s="47"/>
      <c r="HE37" s="47"/>
      <c r="HF37" s="47"/>
      <c r="HG37" s="47"/>
      <c r="HH37" s="47"/>
      <c r="HI37" s="47"/>
      <c r="HJ37" s="47"/>
      <c r="HK37" s="47"/>
      <c r="HL37" s="47"/>
      <c r="HM37" s="47"/>
      <c r="HN37" s="47"/>
      <c r="HO37" s="47"/>
      <c r="HP37" s="47"/>
      <c r="HQ37" s="47"/>
      <c r="HR37" s="47"/>
      <c r="HS37" s="47"/>
      <c r="HT37" s="47"/>
      <c r="HU37" s="47"/>
      <c r="HV37" s="47"/>
      <c r="HW37" s="47"/>
      <c r="HX37" s="47"/>
      <c r="HY37" s="47"/>
      <c r="HZ37" s="47"/>
      <c r="IA37" s="47"/>
      <c r="IB37" s="47"/>
      <c r="IC37" s="47"/>
      <c r="ID37" s="47"/>
      <c r="IE37" s="47"/>
      <c r="IF37" s="47"/>
      <c r="IG37" s="47"/>
      <c r="IH37" s="47"/>
      <c r="II37" s="47"/>
      <c r="IJ37" s="47"/>
      <c r="IK37" s="47"/>
      <c r="IL37" s="47"/>
      <c r="IM37" s="47"/>
      <c r="IN37" s="47"/>
      <c r="IO37" s="47"/>
      <c r="IP37" s="47"/>
      <c r="IQ37" s="47"/>
      <c r="IR37" s="47"/>
      <c r="IS37" s="47"/>
      <c r="IT37" s="47"/>
      <c r="IU37" s="47"/>
      <c r="IV37" s="47"/>
      <c r="IW37" s="47"/>
      <c r="IX37" s="47"/>
      <c r="IY37" s="47"/>
      <c r="IZ37" s="47"/>
      <c r="JA37" s="47"/>
      <c r="JB37" s="47"/>
      <c r="JC37" s="47"/>
      <c r="JD37" s="47"/>
      <c r="JE37" s="47"/>
      <c r="JF37" s="47"/>
      <c r="JG37" s="47"/>
      <c r="JH37" s="47"/>
      <c r="JI37" s="47"/>
      <c r="JJ37" s="47"/>
      <c r="JK37" s="47"/>
      <c r="JL37" s="47"/>
      <c r="JM37" s="47"/>
      <c r="JN37" s="47"/>
      <c r="JO37" s="47"/>
      <c r="JP37" s="47"/>
      <c r="JQ37" s="47"/>
      <c r="JR37" s="47"/>
      <c r="JS37" s="47"/>
      <c r="JT37" s="47"/>
      <c r="JU37" s="47"/>
      <c r="JV37" s="47"/>
      <c r="JW37" s="47"/>
      <c r="JX37" s="47"/>
      <c r="JY37" s="47"/>
      <c r="JZ37" s="47"/>
      <c r="KA37" s="47"/>
      <c r="KB37" s="47"/>
      <c r="KC37" s="47"/>
      <c r="KD37" s="47"/>
      <c r="KE37" s="47"/>
      <c r="KF37" s="47"/>
      <c r="KG37" s="47"/>
      <c r="KH37" s="47"/>
      <c r="KI37" s="47"/>
      <c r="KJ37" s="47"/>
      <c r="KK37" s="47"/>
      <c r="KL37" s="47"/>
      <c r="KM37" s="47"/>
      <c r="KN37" s="47"/>
      <c r="KO37" s="47"/>
      <c r="KP37" s="47"/>
      <c r="KQ37" s="47"/>
      <c r="KR37" s="47"/>
      <c r="KS37" s="47"/>
      <c r="KT37" s="47"/>
      <c r="KU37" s="47"/>
      <c r="KV37" s="47"/>
      <c r="KW37" s="47"/>
      <c r="KX37" s="47"/>
      <c r="KY37" s="47"/>
      <c r="KZ37" s="47"/>
      <c r="LA37" s="47"/>
      <c r="LB37" s="47"/>
      <c r="LC37" s="47"/>
      <c r="LD37" s="47"/>
      <c r="LE37" s="47"/>
      <c r="LF37" s="47"/>
      <c r="LG37" s="47"/>
      <c r="LH37" s="47"/>
      <c r="LI37" s="47"/>
      <c r="LJ37" s="47"/>
      <c r="LK37" s="47"/>
      <c r="LL37" s="47"/>
      <c r="LM37" s="47"/>
      <c r="LN37" s="47"/>
      <c r="LO37" s="47"/>
      <c r="LP37" s="47"/>
      <c r="LQ37" s="47"/>
      <c r="LR37" s="47"/>
      <c r="LS37" s="47"/>
      <c r="LT37" s="47"/>
      <c r="LU37" s="47"/>
      <c r="LV37" s="47"/>
      <c r="LW37" s="47"/>
      <c r="LX37" s="47"/>
      <c r="LY37" s="47"/>
      <c r="LZ37" s="47"/>
      <c r="MA37" s="47"/>
      <c r="MB37" s="47"/>
      <c r="MC37" s="47"/>
      <c r="MD37" s="47"/>
      <c r="ME37" s="47"/>
      <c r="MF37" s="47"/>
      <c r="MG37" s="47"/>
      <c r="MH37" s="47"/>
      <c r="MI37" s="47"/>
      <c r="MJ37" s="47"/>
      <c r="MK37" s="47"/>
      <c r="ML37" s="47"/>
      <c r="MM37" s="47"/>
      <c r="MN37" s="47"/>
      <c r="MO37" s="47"/>
      <c r="MP37" s="47"/>
      <c r="MQ37" s="47"/>
      <c r="MR37" s="47"/>
      <c r="MS37" s="47"/>
      <c r="MT37" s="47"/>
      <c r="MU37" s="47"/>
      <c r="MV37" s="47"/>
      <c r="MW37" s="47"/>
      <c r="MX37" s="47"/>
      <c r="MY37" s="47"/>
      <c r="MZ37" s="47"/>
      <c r="NA37" s="47"/>
      <c r="NB37" s="47"/>
      <c r="NC37" s="47"/>
      <c r="ND37" s="47"/>
      <c r="NE37" s="47"/>
      <c r="NF37" s="47"/>
      <c r="NG37" s="47"/>
      <c r="NH37" s="47"/>
      <c r="NI37" s="47"/>
      <c r="NJ37" s="47"/>
      <c r="NK37" s="47"/>
      <c r="NL37" s="47"/>
      <c r="NM37" s="47"/>
      <c r="NN37" s="47"/>
      <c r="NO37" s="47"/>
      <c r="NP37" s="47"/>
      <c r="NQ37" s="47"/>
      <c r="NR37" s="47"/>
      <c r="NS37" s="47"/>
      <c r="NT37" s="47"/>
      <c r="NU37" s="47"/>
      <c r="NV37" s="47"/>
      <c r="NW37" s="47"/>
      <c r="NX37" s="47"/>
      <c r="NY37" s="47"/>
      <c r="NZ37" s="47"/>
      <c r="OA37" s="47"/>
      <c r="OB37" s="47"/>
      <c r="OC37" s="47"/>
      <c r="OD37" s="47"/>
      <c r="OE37" s="48"/>
    </row>
    <row r="38" spans="1:395">
      <c r="A38" s="33" t="str">
        <f t="shared" si="18"/>
        <v/>
      </c>
      <c r="C38" s="2" t="str">
        <f>IF(ISBLANK($B38),"",_xlfn.XLOOKUP($B38,Task_No,Project!$C$3:$C$144,"INVALID TASK"))</f>
        <v/>
      </c>
      <c r="D38" s="27"/>
      <c r="E38" s="7" t="str">
        <f t="shared" si="19"/>
        <v/>
      </c>
      <c r="F38" s="7" t="str">
        <f t="shared" si="17"/>
        <v/>
      </c>
      <c r="G38" s="34"/>
      <c r="H38" s="34" t="str" cm="1">
        <f t="array" ref="H38">IF($C38="","",SUMPRODUCT((TEXT($AE$5:$OE$5, "mmm")=LOWER(G$3))*$AE38:$OE38))</f>
        <v/>
      </c>
      <c r="I38" s="34"/>
      <c r="J38" s="34" t="str" cm="1">
        <f t="array" ref="J38">IF($C38="","",SUMPRODUCT((TEXT($AE$5:$OE$5, "mmm")=LOWER(I$3))*$AE38:$OE38))</f>
        <v/>
      </c>
      <c r="K38" s="34"/>
      <c r="L38" s="34" t="str" cm="1">
        <f t="array" ref="L38">IF($C38="","",SUMPRODUCT((TEXT($AE$5:$OE$5, "mmm")=LOWER(K$3))*$AE38:$OE38))</f>
        <v/>
      </c>
      <c r="M38" s="34"/>
      <c r="N38" s="34" t="str" cm="1">
        <f t="array" ref="N38">IF($C38="","",SUMPRODUCT((TEXT($AE$5:$OE$5, "mmm")=LOWER(M$3))*$AE38:$OE38))</f>
        <v/>
      </c>
      <c r="O38" s="34"/>
      <c r="P38" s="34" t="str" cm="1">
        <f t="array" ref="P38">IF($C38="","",SUMPRODUCT((TEXT($AE$5:$OE$5, "mmm")=LOWER(O$3))*$AE38:$OE38))</f>
        <v/>
      </c>
      <c r="Q38" s="34"/>
      <c r="R38" s="34" t="str" cm="1">
        <f t="array" ref="R38">IF($C38="","",SUMPRODUCT((TEXT($AE$5:$OE$5, "mmm")=LOWER(Q$3))*$AE38:$OE38))</f>
        <v/>
      </c>
      <c r="S38" s="34"/>
      <c r="T38" s="34" t="str" cm="1">
        <f t="array" ref="T38">IF($C38="","",SUMPRODUCT((TEXT($AE$5:$OE$5, "mmm")=LOWER(S$3))*$AE38:$OE38))</f>
        <v/>
      </c>
      <c r="U38" s="34"/>
      <c r="V38" s="34" t="str" cm="1">
        <f t="array" ref="V38">IF($C38="","",SUMPRODUCT((TEXT($AE$5:$OE$5, "mmm")=LOWER(U$3))*$AE38:$OE38))</f>
        <v/>
      </c>
      <c r="W38" s="34"/>
      <c r="X38" s="34" t="str" cm="1">
        <f t="array" ref="X38">IF($C38="","",SUMPRODUCT((TEXT($AE$5:$OE$5, "mmm")=LOWER(W$3))*$AE38:$OE38))</f>
        <v/>
      </c>
      <c r="Y38" s="34"/>
      <c r="Z38" s="34" t="str" cm="1">
        <f t="array" ref="Z38">IF($C38="","",SUMPRODUCT((TEXT($AE$5:$OE$5, "mmm")=LOWER(Y$3))*$AE38:$OE38))</f>
        <v/>
      </c>
      <c r="AA38" s="34"/>
      <c r="AB38" s="34" t="str" cm="1">
        <f t="array" ref="AB38">IF($C38="","",SUMPRODUCT((TEXT($AE$5:$OE$5, "mmm")=LOWER(AA$3))*$AE38:$OE38))</f>
        <v/>
      </c>
      <c r="AC38" s="34"/>
      <c r="AD38" s="34" t="str" cm="1">
        <f t="array" ref="AD38">IF($C38="","",SUMPRODUCT((TEXT($AE$5:$OE$5, "mmm")=LOWER(AC$3))*$AE38:$OE38))</f>
        <v/>
      </c>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c r="CG38" s="47"/>
      <c r="CH38" s="47"/>
      <c r="CI38" s="47"/>
      <c r="CJ38" s="47"/>
      <c r="CK38" s="47"/>
      <c r="CL38" s="47"/>
      <c r="CM38" s="47"/>
      <c r="CN38" s="47"/>
      <c r="CO38" s="47"/>
      <c r="CP38" s="47"/>
      <c r="CQ38" s="47"/>
      <c r="CR38" s="47"/>
      <c r="CS38" s="47"/>
      <c r="CT38" s="47"/>
      <c r="CU38" s="47"/>
      <c r="CV38" s="47"/>
      <c r="CW38" s="47"/>
      <c r="CX38" s="47"/>
      <c r="CY38" s="47"/>
      <c r="CZ38" s="47"/>
      <c r="DA38" s="47"/>
      <c r="DB38" s="47"/>
      <c r="DC38" s="47"/>
      <c r="DD38" s="47"/>
      <c r="DE38" s="47"/>
      <c r="DF38" s="47"/>
      <c r="DG38" s="47"/>
      <c r="DH38" s="47"/>
      <c r="DI38" s="47"/>
      <c r="DJ38" s="47"/>
      <c r="DK38" s="47"/>
      <c r="DL38" s="47"/>
      <c r="DM38" s="47"/>
      <c r="DN38" s="47"/>
      <c r="DO38" s="47"/>
      <c r="DP38" s="47"/>
      <c r="DQ38" s="47"/>
      <c r="DR38" s="47"/>
      <c r="DS38" s="47"/>
      <c r="DT38" s="47"/>
      <c r="DU38" s="47"/>
      <c r="DV38" s="47"/>
      <c r="DW38" s="47"/>
      <c r="DX38" s="47"/>
      <c r="DY38" s="47"/>
      <c r="DZ38" s="47"/>
      <c r="EA38" s="47"/>
      <c r="EB38" s="47"/>
      <c r="EC38" s="47"/>
      <c r="ED38" s="47"/>
      <c r="EE38" s="47"/>
      <c r="EF38" s="47"/>
      <c r="EG38" s="47"/>
      <c r="EH38" s="47"/>
      <c r="EI38" s="47"/>
      <c r="EJ38" s="47"/>
      <c r="EK38" s="47"/>
      <c r="EL38" s="47"/>
      <c r="EM38" s="47"/>
      <c r="EN38" s="47"/>
      <c r="EO38" s="47"/>
      <c r="EP38" s="47"/>
      <c r="EQ38" s="47"/>
      <c r="ER38" s="47"/>
      <c r="ES38" s="47"/>
      <c r="ET38" s="47"/>
      <c r="EU38" s="47"/>
      <c r="EV38" s="47"/>
      <c r="EW38" s="47"/>
      <c r="EX38" s="47"/>
      <c r="EY38" s="47"/>
      <c r="EZ38" s="47"/>
      <c r="FA38" s="47"/>
      <c r="FB38" s="47"/>
      <c r="FC38" s="47"/>
      <c r="FD38" s="47"/>
      <c r="FE38" s="47"/>
      <c r="FF38" s="47"/>
      <c r="FG38" s="47"/>
      <c r="FH38" s="47"/>
      <c r="FI38" s="47"/>
      <c r="FJ38" s="47"/>
      <c r="FK38" s="47"/>
      <c r="FL38" s="47"/>
      <c r="FM38" s="47"/>
      <c r="FN38" s="47"/>
      <c r="FO38" s="47"/>
      <c r="FP38" s="47"/>
      <c r="FQ38" s="47"/>
      <c r="FR38" s="47"/>
      <c r="FS38" s="47"/>
      <c r="FT38" s="47"/>
      <c r="FU38" s="47"/>
      <c r="FV38" s="47"/>
      <c r="FW38" s="47"/>
      <c r="FX38" s="47"/>
      <c r="FY38" s="47"/>
      <c r="FZ38" s="47"/>
      <c r="GA38" s="47"/>
      <c r="GB38" s="47"/>
      <c r="GC38" s="47"/>
      <c r="GD38" s="47"/>
      <c r="GE38" s="47"/>
      <c r="GF38" s="47"/>
      <c r="GG38" s="47"/>
      <c r="GH38" s="47"/>
      <c r="GI38" s="47"/>
      <c r="GJ38" s="47"/>
      <c r="GK38" s="47"/>
      <c r="GL38" s="47"/>
      <c r="GM38" s="47"/>
      <c r="GN38" s="47"/>
      <c r="GO38" s="47"/>
      <c r="GP38" s="47"/>
      <c r="GQ38" s="47"/>
      <c r="GR38" s="47"/>
      <c r="GS38" s="47"/>
      <c r="GT38" s="47"/>
      <c r="GU38" s="47"/>
      <c r="GV38" s="47"/>
      <c r="GW38" s="47"/>
      <c r="GX38" s="47"/>
      <c r="GY38" s="47"/>
      <c r="GZ38" s="47"/>
      <c r="HA38" s="47"/>
      <c r="HB38" s="47"/>
      <c r="HC38" s="47"/>
      <c r="HD38" s="47"/>
      <c r="HE38" s="47"/>
      <c r="HF38" s="47"/>
      <c r="HG38" s="47"/>
      <c r="HH38" s="47"/>
      <c r="HI38" s="47"/>
      <c r="HJ38" s="47"/>
      <c r="HK38" s="47"/>
      <c r="HL38" s="47"/>
      <c r="HM38" s="47"/>
      <c r="HN38" s="47"/>
      <c r="HO38" s="47"/>
      <c r="HP38" s="47"/>
      <c r="HQ38" s="47"/>
      <c r="HR38" s="47"/>
      <c r="HS38" s="47"/>
      <c r="HT38" s="47"/>
      <c r="HU38" s="47"/>
      <c r="HV38" s="47"/>
      <c r="HW38" s="47"/>
      <c r="HX38" s="47"/>
      <c r="HY38" s="47"/>
      <c r="HZ38" s="47"/>
      <c r="IA38" s="47"/>
      <c r="IB38" s="47"/>
      <c r="IC38" s="47"/>
      <c r="ID38" s="47"/>
      <c r="IE38" s="47"/>
      <c r="IF38" s="47"/>
      <c r="IG38" s="47"/>
      <c r="IH38" s="47"/>
      <c r="II38" s="47"/>
      <c r="IJ38" s="47"/>
      <c r="IK38" s="47"/>
      <c r="IL38" s="47"/>
      <c r="IM38" s="47"/>
      <c r="IN38" s="47"/>
      <c r="IO38" s="47"/>
      <c r="IP38" s="47"/>
      <c r="IQ38" s="47"/>
      <c r="IR38" s="47"/>
      <c r="IS38" s="47"/>
      <c r="IT38" s="47"/>
      <c r="IU38" s="47"/>
      <c r="IV38" s="47"/>
      <c r="IW38" s="47"/>
      <c r="IX38" s="47"/>
      <c r="IY38" s="47"/>
      <c r="IZ38" s="47"/>
      <c r="JA38" s="47"/>
      <c r="JB38" s="47"/>
      <c r="JC38" s="47"/>
      <c r="JD38" s="47"/>
      <c r="JE38" s="47"/>
      <c r="JF38" s="47"/>
      <c r="JG38" s="47"/>
      <c r="JH38" s="47"/>
      <c r="JI38" s="47"/>
      <c r="JJ38" s="47"/>
      <c r="JK38" s="47"/>
      <c r="JL38" s="47"/>
      <c r="JM38" s="47"/>
      <c r="JN38" s="47"/>
      <c r="JO38" s="47"/>
      <c r="JP38" s="47"/>
      <c r="JQ38" s="47"/>
      <c r="JR38" s="47"/>
      <c r="JS38" s="47"/>
      <c r="JT38" s="47"/>
      <c r="JU38" s="47"/>
      <c r="JV38" s="47"/>
      <c r="JW38" s="47"/>
      <c r="JX38" s="47"/>
      <c r="JY38" s="47"/>
      <c r="JZ38" s="47"/>
      <c r="KA38" s="47"/>
      <c r="KB38" s="47"/>
      <c r="KC38" s="47"/>
      <c r="KD38" s="47"/>
      <c r="KE38" s="47"/>
      <c r="KF38" s="47"/>
      <c r="KG38" s="47"/>
      <c r="KH38" s="47"/>
      <c r="KI38" s="47"/>
      <c r="KJ38" s="47"/>
      <c r="KK38" s="47"/>
      <c r="KL38" s="47"/>
      <c r="KM38" s="47"/>
      <c r="KN38" s="47"/>
      <c r="KO38" s="47"/>
      <c r="KP38" s="47"/>
      <c r="KQ38" s="47"/>
      <c r="KR38" s="47"/>
      <c r="KS38" s="47"/>
      <c r="KT38" s="47"/>
      <c r="KU38" s="47"/>
      <c r="KV38" s="47"/>
      <c r="KW38" s="47"/>
      <c r="KX38" s="47"/>
      <c r="KY38" s="47"/>
      <c r="KZ38" s="47"/>
      <c r="LA38" s="47"/>
      <c r="LB38" s="47"/>
      <c r="LC38" s="47"/>
      <c r="LD38" s="47"/>
      <c r="LE38" s="47"/>
      <c r="LF38" s="47"/>
      <c r="LG38" s="47"/>
      <c r="LH38" s="47"/>
      <c r="LI38" s="47"/>
      <c r="LJ38" s="47"/>
      <c r="LK38" s="47"/>
      <c r="LL38" s="47"/>
      <c r="LM38" s="47"/>
      <c r="LN38" s="47"/>
      <c r="LO38" s="47"/>
      <c r="LP38" s="47"/>
      <c r="LQ38" s="47"/>
      <c r="LR38" s="47"/>
      <c r="LS38" s="47"/>
      <c r="LT38" s="47"/>
      <c r="LU38" s="47"/>
      <c r="LV38" s="47"/>
      <c r="LW38" s="47"/>
      <c r="LX38" s="47"/>
      <c r="LY38" s="47"/>
      <c r="LZ38" s="47"/>
      <c r="MA38" s="47"/>
      <c r="MB38" s="47"/>
      <c r="MC38" s="47"/>
      <c r="MD38" s="47"/>
      <c r="ME38" s="47"/>
      <c r="MF38" s="47"/>
      <c r="MG38" s="47"/>
      <c r="MH38" s="47"/>
      <c r="MI38" s="47"/>
      <c r="MJ38" s="47"/>
      <c r="MK38" s="47"/>
      <c r="ML38" s="47"/>
      <c r="MM38" s="47"/>
      <c r="MN38" s="47"/>
      <c r="MO38" s="47"/>
      <c r="MP38" s="47"/>
      <c r="MQ38" s="47"/>
      <c r="MR38" s="47"/>
      <c r="MS38" s="47"/>
      <c r="MT38" s="47"/>
      <c r="MU38" s="47"/>
      <c r="MV38" s="47"/>
      <c r="MW38" s="47"/>
      <c r="MX38" s="47"/>
      <c r="MY38" s="47"/>
      <c r="MZ38" s="47"/>
      <c r="NA38" s="47"/>
      <c r="NB38" s="47"/>
      <c r="NC38" s="47"/>
      <c r="ND38" s="47"/>
      <c r="NE38" s="47"/>
      <c r="NF38" s="47"/>
      <c r="NG38" s="47"/>
      <c r="NH38" s="47"/>
      <c r="NI38" s="47"/>
      <c r="NJ38" s="47"/>
      <c r="NK38" s="47"/>
      <c r="NL38" s="47"/>
      <c r="NM38" s="47"/>
      <c r="NN38" s="47"/>
      <c r="NO38" s="47"/>
      <c r="NP38" s="47"/>
      <c r="NQ38" s="47"/>
      <c r="NR38" s="47"/>
      <c r="NS38" s="47"/>
      <c r="NT38" s="47"/>
      <c r="NU38" s="47"/>
      <c r="NV38" s="47"/>
      <c r="NW38" s="47"/>
      <c r="NX38" s="47"/>
      <c r="NY38" s="47"/>
      <c r="NZ38" s="47"/>
      <c r="OA38" s="47"/>
      <c r="OB38" s="47"/>
      <c r="OC38" s="47"/>
      <c r="OD38" s="47"/>
      <c r="OE38" s="48"/>
    </row>
    <row r="39" spans="1:395">
      <c r="A39" s="33" t="str">
        <f t="shared" si="18"/>
        <v/>
      </c>
      <c r="C39" s="2" t="str">
        <f>IF(ISBLANK($B39),"",_xlfn.XLOOKUP($B39,Task_No,Project!$C$3:$C$144,"INVALID TASK"))</f>
        <v/>
      </c>
      <c r="D39" s="27"/>
      <c r="E39" s="7" t="str">
        <f t="shared" si="19"/>
        <v/>
      </c>
      <c r="F39" s="7" t="str">
        <f t="shared" si="17"/>
        <v/>
      </c>
      <c r="G39" s="34"/>
      <c r="H39" s="34" t="str" cm="1">
        <f t="array" ref="H39">IF($C39="","",SUMPRODUCT((TEXT($AE$5:$OE$5, "mmm")=LOWER(G$3))*$AE39:$OE39))</f>
        <v/>
      </c>
      <c r="I39" s="34"/>
      <c r="J39" s="34" t="str" cm="1">
        <f t="array" ref="J39">IF($C39="","",SUMPRODUCT((TEXT($AE$5:$OE$5, "mmm")=LOWER(I$3))*$AE39:$OE39))</f>
        <v/>
      </c>
      <c r="K39" s="34"/>
      <c r="L39" s="34" t="str" cm="1">
        <f t="array" ref="L39">IF($C39="","",SUMPRODUCT((TEXT($AE$5:$OE$5, "mmm")=LOWER(K$3))*$AE39:$OE39))</f>
        <v/>
      </c>
      <c r="M39" s="34"/>
      <c r="N39" s="34" t="str" cm="1">
        <f t="array" ref="N39">IF($C39="","",SUMPRODUCT((TEXT($AE$5:$OE$5, "mmm")=LOWER(M$3))*$AE39:$OE39))</f>
        <v/>
      </c>
      <c r="O39" s="34"/>
      <c r="P39" s="34" t="str" cm="1">
        <f t="array" ref="P39">IF($C39="","",SUMPRODUCT((TEXT($AE$5:$OE$5, "mmm")=LOWER(O$3))*$AE39:$OE39))</f>
        <v/>
      </c>
      <c r="Q39" s="34"/>
      <c r="R39" s="34" t="str" cm="1">
        <f t="array" ref="R39">IF($C39="","",SUMPRODUCT((TEXT($AE$5:$OE$5, "mmm")=LOWER(Q$3))*$AE39:$OE39))</f>
        <v/>
      </c>
      <c r="S39" s="34"/>
      <c r="T39" s="34" t="str" cm="1">
        <f t="array" ref="T39">IF($C39="","",SUMPRODUCT((TEXT($AE$5:$OE$5, "mmm")=LOWER(S$3))*$AE39:$OE39))</f>
        <v/>
      </c>
      <c r="U39" s="34"/>
      <c r="V39" s="34" t="str" cm="1">
        <f t="array" ref="V39">IF($C39="","",SUMPRODUCT((TEXT($AE$5:$OE$5, "mmm")=LOWER(U$3))*$AE39:$OE39))</f>
        <v/>
      </c>
      <c r="W39" s="34"/>
      <c r="X39" s="34" t="str" cm="1">
        <f t="array" ref="X39">IF($C39="","",SUMPRODUCT((TEXT($AE$5:$OE$5, "mmm")=LOWER(W$3))*$AE39:$OE39))</f>
        <v/>
      </c>
      <c r="Y39" s="34"/>
      <c r="Z39" s="34" t="str" cm="1">
        <f t="array" ref="Z39">IF($C39="","",SUMPRODUCT((TEXT($AE$5:$OE$5, "mmm")=LOWER(Y$3))*$AE39:$OE39))</f>
        <v/>
      </c>
      <c r="AA39" s="34"/>
      <c r="AB39" s="34" t="str" cm="1">
        <f t="array" ref="AB39">IF($C39="","",SUMPRODUCT((TEXT($AE$5:$OE$5, "mmm")=LOWER(AA$3))*$AE39:$OE39))</f>
        <v/>
      </c>
      <c r="AC39" s="34"/>
      <c r="AD39" s="34" t="str" cm="1">
        <f t="array" ref="AD39">IF($C39="","",SUMPRODUCT((TEXT($AE$5:$OE$5, "mmm")=LOWER(AC$3))*$AE39:$OE39))</f>
        <v/>
      </c>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c r="CK39" s="47"/>
      <c r="CL39" s="47"/>
      <c r="CM39" s="47"/>
      <c r="CN39" s="47"/>
      <c r="CO39" s="47"/>
      <c r="CP39" s="47"/>
      <c r="CQ39" s="47"/>
      <c r="CR39" s="47"/>
      <c r="CS39" s="47"/>
      <c r="CT39" s="47"/>
      <c r="CU39" s="47"/>
      <c r="CV39" s="47"/>
      <c r="CW39" s="47"/>
      <c r="CX39" s="47"/>
      <c r="CY39" s="47"/>
      <c r="CZ39" s="47"/>
      <c r="DA39" s="47"/>
      <c r="DB39" s="47"/>
      <c r="DC39" s="47"/>
      <c r="DD39" s="47"/>
      <c r="DE39" s="47"/>
      <c r="DF39" s="47"/>
      <c r="DG39" s="47"/>
      <c r="DH39" s="47"/>
      <c r="DI39" s="47"/>
      <c r="DJ39" s="47"/>
      <c r="DK39" s="47"/>
      <c r="DL39" s="47"/>
      <c r="DM39" s="47"/>
      <c r="DN39" s="47"/>
      <c r="DO39" s="47"/>
      <c r="DP39" s="47"/>
      <c r="DQ39" s="47"/>
      <c r="DR39" s="47"/>
      <c r="DS39" s="47"/>
      <c r="DT39" s="47"/>
      <c r="DU39" s="47"/>
      <c r="DV39" s="47"/>
      <c r="DW39" s="47"/>
      <c r="DX39" s="47"/>
      <c r="DY39" s="47"/>
      <c r="DZ39" s="47"/>
      <c r="EA39" s="47"/>
      <c r="EB39" s="47"/>
      <c r="EC39" s="47"/>
      <c r="ED39" s="47"/>
      <c r="EE39" s="47"/>
      <c r="EF39" s="47"/>
      <c r="EG39" s="47"/>
      <c r="EH39" s="47"/>
      <c r="EI39" s="47"/>
      <c r="EJ39" s="47"/>
      <c r="EK39" s="47"/>
      <c r="EL39" s="47"/>
      <c r="EM39" s="47"/>
      <c r="EN39" s="47"/>
      <c r="EO39" s="47"/>
      <c r="EP39" s="47"/>
      <c r="EQ39" s="47"/>
      <c r="ER39" s="47"/>
      <c r="ES39" s="47"/>
      <c r="ET39" s="47"/>
      <c r="EU39" s="47"/>
      <c r="EV39" s="47"/>
      <c r="EW39" s="47"/>
      <c r="EX39" s="47"/>
      <c r="EY39" s="47"/>
      <c r="EZ39" s="47"/>
      <c r="FA39" s="47"/>
      <c r="FB39" s="47"/>
      <c r="FC39" s="47"/>
      <c r="FD39" s="47"/>
      <c r="FE39" s="47"/>
      <c r="FF39" s="47"/>
      <c r="FG39" s="47"/>
      <c r="FH39" s="47"/>
      <c r="FI39" s="47"/>
      <c r="FJ39" s="47"/>
      <c r="FK39" s="47"/>
      <c r="FL39" s="47"/>
      <c r="FM39" s="47"/>
      <c r="FN39" s="47"/>
      <c r="FO39" s="47"/>
      <c r="FP39" s="47"/>
      <c r="FQ39" s="47"/>
      <c r="FR39" s="47"/>
      <c r="FS39" s="47"/>
      <c r="FT39" s="47"/>
      <c r="FU39" s="47"/>
      <c r="FV39" s="47"/>
      <c r="FW39" s="47"/>
      <c r="FX39" s="47"/>
      <c r="FY39" s="47"/>
      <c r="FZ39" s="47"/>
      <c r="GA39" s="47"/>
      <c r="GB39" s="47"/>
      <c r="GC39" s="47"/>
      <c r="GD39" s="47"/>
      <c r="GE39" s="47"/>
      <c r="GF39" s="47"/>
      <c r="GG39" s="47"/>
      <c r="GH39" s="47"/>
      <c r="GI39" s="47"/>
      <c r="GJ39" s="47"/>
      <c r="GK39" s="47"/>
      <c r="GL39" s="47"/>
      <c r="GM39" s="47"/>
      <c r="GN39" s="47"/>
      <c r="GO39" s="47"/>
      <c r="GP39" s="47"/>
      <c r="GQ39" s="47"/>
      <c r="GR39" s="47"/>
      <c r="GS39" s="47"/>
      <c r="GT39" s="47"/>
      <c r="GU39" s="47"/>
      <c r="GV39" s="47"/>
      <c r="GW39" s="47"/>
      <c r="GX39" s="47"/>
      <c r="GY39" s="47"/>
      <c r="GZ39" s="47"/>
      <c r="HA39" s="47"/>
      <c r="HB39" s="47"/>
      <c r="HC39" s="47"/>
      <c r="HD39" s="47"/>
      <c r="HE39" s="47"/>
      <c r="HF39" s="47"/>
      <c r="HG39" s="47"/>
      <c r="HH39" s="47"/>
      <c r="HI39" s="47"/>
      <c r="HJ39" s="47"/>
      <c r="HK39" s="47"/>
      <c r="HL39" s="47"/>
      <c r="HM39" s="47"/>
      <c r="HN39" s="47"/>
      <c r="HO39" s="47"/>
      <c r="HP39" s="47"/>
      <c r="HQ39" s="47"/>
      <c r="HR39" s="47"/>
      <c r="HS39" s="47"/>
      <c r="HT39" s="47"/>
      <c r="HU39" s="47"/>
      <c r="HV39" s="47"/>
      <c r="HW39" s="47"/>
      <c r="HX39" s="47"/>
      <c r="HY39" s="47"/>
      <c r="HZ39" s="47"/>
      <c r="IA39" s="47"/>
      <c r="IB39" s="47"/>
      <c r="IC39" s="47"/>
      <c r="ID39" s="47"/>
      <c r="IE39" s="47"/>
      <c r="IF39" s="47"/>
      <c r="IG39" s="47"/>
      <c r="IH39" s="47"/>
      <c r="II39" s="47"/>
      <c r="IJ39" s="47"/>
      <c r="IK39" s="47"/>
      <c r="IL39" s="47"/>
      <c r="IM39" s="47"/>
      <c r="IN39" s="47"/>
      <c r="IO39" s="47"/>
      <c r="IP39" s="47"/>
      <c r="IQ39" s="47"/>
      <c r="IR39" s="47"/>
      <c r="IS39" s="47"/>
      <c r="IT39" s="47"/>
      <c r="IU39" s="47"/>
      <c r="IV39" s="47"/>
      <c r="IW39" s="47"/>
      <c r="IX39" s="47"/>
      <c r="IY39" s="47"/>
      <c r="IZ39" s="47"/>
      <c r="JA39" s="47"/>
      <c r="JB39" s="47"/>
      <c r="JC39" s="47"/>
      <c r="JD39" s="47"/>
      <c r="JE39" s="47"/>
      <c r="JF39" s="47"/>
      <c r="JG39" s="47"/>
      <c r="JH39" s="47"/>
      <c r="JI39" s="47"/>
      <c r="JJ39" s="47"/>
      <c r="JK39" s="47"/>
      <c r="JL39" s="47"/>
      <c r="JM39" s="47"/>
      <c r="JN39" s="47"/>
      <c r="JO39" s="47"/>
      <c r="JP39" s="47"/>
      <c r="JQ39" s="47"/>
      <c r="JR39" s="47"/>
      <c r="JS39" s="47"/>
      <c r="JT39" s="47"/>
      <c r="JU39" s="47"/>
      <c r="JV39" s="47"/>
      <c r="JW39" s="47"/>
      <c r="JX39" s="47"/>
      <c r="JY39" s="47"/>
      <c r="JZ39" s="47"/>
      <c r="KA39" s="47"/>
      <c r="KB39" s="47"/>
      <c r="KC39" s="47"/>
      <c r="KD39" s="47"/>
      <c r="KE39" s="47"/>
      <c r="KF39" s="47"/>
      <c r="KG39" s="47"/>
      <c r="KH39" s="47"/>
      <c r="KI39" s="47"/>
      <c r="KJ39" s="47"/>
      <c r="KK39" s="47"/>
      <c r="KL39" s="47"/>
      <c r="KM39" s="47"/>
      <c r="KN39" s="47"/>
      <c r="KO39" s="47"/>
      <c r="KP39" s="47"/>
      <c r="KQ39" s="47"/>
      <c r="KR39" s="47"/>
      <c r="KS39" s="47"/>
      <c r="KT39" s="47"/>
      <c r="KU39" s="47"/>
      <c r="KV39" s="47"/>
      <c r="KW39" s="47"/>
      <c r="KX39" s="47"/>
      <c r="KY39" s="47"/>
      <c r="KZ39" s="47"/>
      <c r="LA39" s="47"/>
      <c r="LB39" s="47"/>
      <c r="LC39" s="47"/>
      <c r="LD39" s="47"/>
      <c r="LE39" s="47"/>
      <c r="LF39" s="47"/>
      <c r="LG39" s="47"/>
      <c r="LH39" s="47"/>
      <c r="LI39" s="47"/>
      <c r="LJ39" s="47"/>
      <c r="LK39" s="47"/>
      <c r="LL39" s="47"/>
      <c r="LM39" s="47"/>
      <c r="LN39" s="47"/>
      <c r="LO39" s="47"/>
      <c r="LP39" s="47"/>
      <c r="LQ39" s="47"/>
      <c r="LR39" s="47"/>
      <c r="LS39" s="47"/>
      <c r="LT39" s="47"/>
      <c r="LU39" s="47"/>
      <c r="LV39" s="47"/>
      <c r="LW39" s="47"/>
      <c r="LX39" s="47"/>
      <c r="LY39" s="47"/>
      <c r="LZ39" s="47"/>
      <c r="MA39" s="47"/>
      <c r="MB39" s="47"/>
      <c r="MC39" s="47"/>
      <c r="MD39" s="47"/>
      <c r="ME39" s="47"/>
      <c r="MF39" s="47"/>
      <c r="MG39" s="47"/>
      <c r="MH39" s="47"/>
      <c r="MI39" s="47"/>
      <c r="MJ39" s="47"/>
      <c r="MK39" s="47"/>
      <c r="ML39" s="47"/>
      <c r="MM39" s="47"/>
      <c r="MN39" s="47"/>
      <c r="MO39" s="47"/>
      <c r="MP39" s="47"/>
      <c r="MQ39" s="47"/>
      <c r="MR39" s="47"/>
      <c r="MS39" s="47"/>
      <c r="MT39" s="47"/>
      <c r="MU39" s="47"/>
      <c r="MV39" s="47"/>
      <c r="MW39" s="47"/>
      <c r="MX39" s="47"/>
      <c r="MY39" s="47"/>
      <c r="MZ39" s="47"/>
      <c r="NA39" s="47"/>
      <c r="NB39" s="47"/>
      <c r="NC39" s="47"/>
      <c r="ND39" s="47"/>
      <c r="NE39" s="47"/>
      <c r="NF39" s="47"/>
      <c r="NG39" s="47"/>
      <c r="NH39" s="47"/>
      <c r="NI39" s="47"/>
      <c r="NJ39" s="47"/>
      <c r="NK39" s="47"/>
      <c r="NL39" s="47"/>
      <c r="NM39" s="47"/>
      <c r="NN39" s="47"/>
      <c r="NO39" s="47"/>
      <c r="NP39" s="47"/>
      <c r="NQ39" s="47"/>
      <c r="NR39" s="47"/>
      <c r="NS39" s="47"/>
      <c r="NT39" s="47"/>
      <c r="NU39" s="47"/>
      <c r="NV39" s="47"/>
      <c r="NW39" s="47"/>
      <c r="NX39" s="47"/>
      <c r="NY39" s="47"/>
      <c r="NZ39" s="47"/>
      <c r="OA39" s="47"/>
      <c r="OB39" s="47"/>
      <c r="OC39" s="47"/>
      <c r="OD39" s="47"/>
      <c r="OE39" s="48"/>
    </row>
    <row r="40" spans="1:395">
      <c r="A40" s="33" t="str">
        <f t="shared" si="18"/>
        <v/>
      </c>
      <c r="C40" s="2" t="str">
        <f>IF(ISBLANK($B40),"",_xlfn.XLOOKUP($B40,Task_No,Project!$C$3:$C$144,"INVALID TASK"))</f>
        <v/>
      </c>
      <c r="D40" s="27"/>
      <c r="E40" s="7" t="str">
        <f t="shared" si="19"/>
        <v/>
      </c>
      <c r="F40" s="7" t="str">
        <f t="shared" si="17"/>
        <v/>
      </c>
      <c r="G40" s="34"/>
      <c r="H40" s="34" t="str" cm="1">
        <f t="array" ref="H40">IF($C40="","",SUMPRODUCT((TEXT($AE$5:$OE$5, "mmm")=LOWER(G$3))*$AE40:$OE40))</f>
        <v/>
      </c>
      <c r="I40" s="34"/>
      <c r="J40" s="34" t="str" cm="1">
        <f t="array" ref="J40">IF($C40="","",SUMPRODUCT((TEXT($AE$5:$OE$5, "mmm")=LOWER(I$3))*$AE40:$OE40))</f>
        <v/>
      </c>
      <c r="K40" s="34"/>
      <c r="L40" s="34" t="str" cm="1">
        <f t="array" ref="L40">IF($C40="","",SUMPRODUCT((TEXT($AE$5:$OE$5, "mmm")=LOWER(K$3))*$AE40:$OE40))</f>
        <v/>
      </c>
      <c r="M40" s="34"/>
      <c r="N40" s="34" t="str" cm="1">
        <f t="array" ref="N40">IF($C40="","",SUMPRODUCT((TEXT($AE$5:$OE$5, "mmm")=LOWER(M$3))*$AE40:$OE40))</f>
        <v/>
      </c>
      <c r="O40" s="34"/>
      <c r="P40" s="34" t="str" cm="1">
        <f t="array" ref="P40">IF($C40="","",SUMPRODUCT((TEXT($AE$5:$OE$5, "mmm")=LOWER(O$3))*$AE40:$OE40))</f>
        <v/>
      </c>
      <c r="Q40" s="34"/>
      <c r="R40" s="34" t="str" cm="1">
        <f t="array" ref="R40">IF($C40="","",SUMPRODUCT((TEXT($AE$5:$OE$5, "mmm")=LOWER(Q$3))*$AE40:$OE40))</f>
        <v/>
      </c>
      <c r="S40" s="34"/>
      <c r="T40" s="34" t="str" cm="1">
        <f t="array" ref="T40">IF($C40="","",SUMPRODUCT((TEXT($AE$5:$OE$5, "mmm")=LOWER(S$3))*$AE40:$OE40))</f>
        <v/>
      </c>
      <c r="U40" s="34"/>
      <c r="V40" s="34" t="str" cm="1">
        <f t="array" ref="V40">IF($C40="","",SUMPRODUCT((TEXT($AE$5:$OE$5, "mmm")=LOWER(U$3))*$AE40:$OE40))</f>
        <v/>
      </c>
      <c r="W40" s="34"/>
      <c r="X40" s="34" t="str" cm="1">
        <f t="array" ref="X40">IF($C40="","",SUMPRODUCT((TEXT($AE$5:$OE$5, "mmm")=LOWER(W$3))*$AE40:$OE40))</f>
        <v/>
      </c>
      <c r="Y40" s="34"/>
      <c r="Z40" s="34" t="str" cm="1">
        <f t="array" ref="Z40">IF($C40="","",SUMPRODUCT((TEXT($AE$5:$OE$5, "mmm")=LOWER(Y$3))*$AE40:$OE40))</f>
        <v/>
      </c>
      <c r="AA40" s="34"/>
      <c r="AB40" s="34" t="str" cm="1">
        <f t="array" ref="AB40">IF($C40="","",SUMPRODUCT((TEXT($AE$5:$OE$5, "mmm")=LOWER(AA$3))*$AE40:$OE40))</f>
        <v/>
      </c>
      <c r="AC40" s="34"/>
      <c r="AD40" s="34" t="str" cm="1">
        <f t="array" ref="AD40">IF($C40="","",SUMPRODUCT((TEXT($AE$5:$OE$5, "mmm")=LOWER(AC$3))*$AE40:$OE40))</f>
        <v/>
      </c>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c r="CK40" s="47"/>
      <c r="CL40" s="47"/>
      <c r="CM40" s="47"/>
      <c r="CN40" s="47"/>
      <c r="CO40" s="47"/>
      <c r="CP40" s="47"/>
      <c r="CQ40" s="47"/>
      <c r="CR40" s="47"/>
      <c r="CS40" s="47"/>
      <c r="CT40" s="47"/>
      <c r="CU40" s="47"/>
      <c r="CV40" s="47"/>
      <c r="CW40" s="47"/>
      <c r="CX40" s="47"/>
      <c r="CY40" s="47"/>
      <c r="CZ40" s="47"/>
      <c r="DA40" s="47"/>
      <c r="DB40" s="47"/>
      <c r="DC40" s="47"/>
      <c r="DD40" s="47"/>
      <c r="DE40" s="47"/>
      <c r="DF40" s="47"/>
      <c r="DG40" s="47"/>
      <c r="DH40" s="47"/>
      <c r="DI40" s="47"/>
      <c r="DJ40" s="47"/>
      <c r="DK40" s="47"/>
      <c r="DL40" s="47"/>
      <c r="DM40" s="47"/>
      <c r="DN40" s="47"/>
      <c r="DO40" s="47"/>
      <c r="DP40" s="47"/>
      <c r="DQ40" s="47"/>
      <c r="DR40" s="47"/>
      <c r="DS40" s="47"/>
      <c r="DT40" s="47"/>
      <c r="DU40" s="47"/>
      <c r="DV40" s="47"/>
      <c r="DW40" s="47"/>
      <c r="DX40" s="47"/>
      <c r="DY40" s="47"/>
      <c r="DZ40" s="47"/>
      <c r="EA40" s="47"/>
      <c r="EB40" s="47"/>
      <c r="EC40" s="47"/>
      <c r="ED40" s="47"/>
      <c r="EE40" s="47"/>
      <c r="EF40" s="47"/>
      <c r="EG40" s="47"/>
      <c r="EH40" s="47"/>
      <c r="EI40" s="47"/>
      <c r="EJ40" s="47"/>
      <c r="EK40" s="47"/>
      <c r="EL40" s="47"/>
      <c r="EM40" s="47"/>
      <c r="EN40" s="47"/>
      <c r="EO40" s="47"/>
      <c r="EP40" s="47"/>
      <c r="EQ40" s="47"/>
      <c r="ER40" s="47"/>
      <c r="ES40" s="47"/>
      <c r="ET40" s="47"/>
      <c r="EU40" s="47"/>
      <c r="EV40" s="47"/>
      <c r="EW40" s="47"/>
      <c r="EX40" s="47"/>
      <c r="EY40" s="47"/>
      <c r="EZ40" s="47"/>
      <c r="FA40" s="47"/>
      <c r="FB40" s="47"/>
      <c r="FC40" s="47"/>
      <c r="FD40" s="47"/>
      <c r="FE40" s="47"/>
      <c r="FF40" s="47"/>
      <c r="FG40" s="47"/>
      <c r="FH40" s="47"/>
      <c r="FI40" s="47"/>
      <c r="FJ40" s="47"/>
      <c r="FK40" s="47"/>
      <c r="FL40" s="47"/>
      <c r="FM40" s="47"/>
      <c r="FN40" s="47"/>
      <c r="FO40" s="47"/>
      <c r="FP40" s="47"/>
      <c r="FQ40" s="47"/>
      <c r="FR40" s="47"/>
      <c r="FS40" s="47"/>
      <c r="FT40" s="47"/>
      <c r="FU40" s="47"/>
      <c r="FV40" s="47"/>
      <c r="FW40" s="47"/>
      <c r="FX40" s="47"/>
      <c r="FY40" s="47"/>
      <c r="FZ40" s="47"/>
      <c r="GA40" s="47"/>
      <c r="GB40" s="47"/>
      <c r="GC40" s="47"/>
      <c r="GD40" s="47"/>
      <c r="GE40" s="47"/>
      <c r="GF40" s="47"/>
      <c r="GG40" s="47"/>
      <c r="GH40" s="47"/>
      <c r="GI40" s="47"/>
      <c r="GJ40" s="47"/>
      <c r="GK40" s="47"/>
      <c r="GL40" s="47"/>
      <c r="GM40" s="47"/>
      <c r="GN40" s="47"/>
      <c r="GO40" s="47"/>
      <c r="GP40" s="47"/>
      <c r="GQ40" s="47"/>
      <c r="GR40" s="47"/>
      <c r="GS40" s="47"/>
      <c r="GT40" s="47"/>
      <c r="GU40" s="47"/>
      <c r="GV40" s="47"/>
      <c r="GW40" s="47"/>
      <c r="GX40" s="47"/>
      <c r="GY40" s="47"/>
      <c r="GZ40" s="47"/>
      <c r="HA40" s="47"/>
      <c r="HB40" s="47"/>
      <c r="HC40" s="47"/>
      <c r="HD40" s="47"/>
      <c r="HE40" s="47"/>
      <c r="HF40" s="47"/>
      <c r="HG40" s="47"/>
      <c r="HH40" s="47"/>
      <c r="HI40" s="47"/>
      <c r="HJ40" s="47"/>
      <c r="HK40" s="47"/>
      <c r="HL40" s="47"/>
      <c r="HM40" s="47"/>
      <c r="HN40" s="47"/>
      <c r="HO40" s="47"/>
      <c r="HP40" s="47"/>
      <c r="HQ40" s="47"/>
      <c r="HR40" s="47"/>
      <c r="HS40" s="47"/>
      <c r="HT40" s="47"/>
      <c r="HU40" s="47"/>
      <c r="HV40" s="47"/>
      <c r="HW40" s="47"/>
      <c r="HX40" s="47"/>
      <c r="HY40" s="47"/>
      <c r="HZ40" s="47"/>
      <c r="IA40" s="47"/>
      <c r="IB40" s="47"/>
      <c r="IC40" s="47"/>
      <c r="ID40" s="47"/>
      <c r="IE40" s="47"/>
      <c r="IF40" s="47"/>
      <c r="IG40" s="47"/>
      <c r="IH40" s="47"/>
      <c r="II40" s="47"/>
      <c r="IJ40" s="47"/>
      <c r="IK40" s="47"/>
      <c r="IL40" s="47"/>
      <c r="IM40" s="47"/>
      <c r="IN40" s="47"/>
      <c r="IO40" s="47"/>
      <c r="IP40" s="47"/>
      <c r="IQ40" s="47"/>
      <c r="IR40" s="47"/>
      <c r="IS40" s="47"/>
      <c r="IT40" s="47"/>
      <c r="IU40" s="47"/>
      <c r="IV40" s="47"/>
      <c r="IW40" s="47"/>
      <c r="IX40" s="47"/>
      <c r="IY40" s="47"/>
      <c r="IZ40" s="47"/>
      <c r="JA40" s="47"/>
      <c r="JB40" s="47"/>
      <c r="JC40" s="47"/>
      <c r="JD40" s="47"/>
      <c r="JE40" s="47"/>
      <c r="JF40" s="47"/>
      <c r="JG40" s="47"/>
      <c r="JH40" s="47"/>
      <c r="JI40" s="47"/>
      <c r="JJ40" s="47"/>
      <c r="JK40" s="47"/>
      <c r="JL40" s="47"/>
      <c r="JM40" s="47"/>
      <c r="JN40" s="47"/>
      <c r="JO40" s="47"/>
      <c r="JP40" s="47"/>
      <c r="JQ40" s="47"/>
      <c r="JR40" s="47"/>
      <c r="JS40" s="47"/>
      <c r="JT40" s="47"/>
      <c r="JU40" s="47"/>
      <c r="JV40" s="47"/>
      <c r="JW40" s="47"/>
      <c r="JX40" s="47"/>
      <c r="JY40" s="47"/>
      <c r="JZ40" s="47"/>
      <c r="KA40" s="47"/>
      <c r="KB40" s="47"/>
      <c r="KC40" s="47"/>
      <c r="KD40" s="47"/>
      <c r="KE40" s="47"/>
      <c r="KF40" s="47"/>
      <c r="KG40" s="47"/>
      <c r="KH40" s="47"/>
      <c r="KI40" s="47"/>
      <c r="KJ40" s="47"/>
      <c r="KK40" s="47"/>
      <c r="KL40" s="47"/>
      <c r="KM40" s="47"/>
      <c r="KN40" s="47"/>
      <c r="KO40" s="47"/>
      <c r="KP40" s="47"/>
      <c r="KQ40" s="47"/>
      <c r="KR40" s="47"/>
      <c r="KS40" s="47"/>
      <c r="KT40" s="47"/>
      <c r="KU40" s="47"/>
      <c r="KV40" s="47"/>
      <c r="KW40" s="47"/>
      <c r="KX40" s="47"/>
      <c r="KY40" s="47"/>
      <c r="KZ40" s="47"/>
      <c r="LA40" s="47"/>
      <c r="LB40" s="47"/>
      <c r="LC40" s="47"/>
      <c r="LD40" s="47"/>
      <c r="LE40" s="47"/>
      <c r="LF40" s="47"/>
      <c r="LG40" s="47"/>
      <c r="LH40" s="47"/>
      <c r="LI40" s="47"/>
      <c r="LJ40" s="47"/>
      <c r="LK40" s="47"/>
      <c r="LL40" s="47"/>
      <c r="LM40" s="47"/>
      <c r="LN40" s="47"/>
      <c r="LO40" s="47"/>
      <c r="LP40" s="47"/>
      <c r="LQ40" s="47"/>
      <c r="LR40" s="47"/>
      <c r="LS40" s="47"/>
      <c r="LT40" s="47"/>
      <c r="LU40" s="47"/>
      <c r="LV40" s="47"/>
      <c r="LW40" s="47"/>
      <c r="LX40" s="47"/>
      <c r="LY40" s="47"/>
      <c r="LZ40" s="47"/>
      <c r="MA40" s="47"/>
      <c r="MB40" s="47"/>
      <c r="MC40" s="47"/>
      <c r="MD40" s="47"/>
      <c r="ME40" s="47"/>
      <c r="MF40" s="47"/>
      <c r="MG40" s="47"/>
      <c r="MH40" s="47"/>
      <c r="MI40" s="47"/>
      <c r="MJ40" s="47"/>
      <c r="MK40" s="47"/>
      <c r="ML40" s="47"/>
      <c r="MM40" s="47"/>
      <c r="MN40" s="47"/>
      <c r="MO40" s="47"/>
      <c r="MP40" s="47"/>
      <c r="MQ40" s="47"/>
      <c r="MR40" s="47"/>
      <c r="MS40" s="47"/>
      <c r="MT40" s="47"/>
      <c r="MU40" s="47"/>
      <c r="MV40" s="47"/>
      <c r="MW40" s="47"/>
      <c r="MX40" s="47"/>
      <c r="MY40" s="47"/>
      <c r="MZ40" s="47"/>
      <c r="NA40" s="47"/>
      <c r="NB40" s="47"/>
      <c r="NC40" s="47"/>
      <c r="ND40" s="47"/>
      <c r="NE40" s="47"/>
      <c r="NF40" s="47"/>
      <c r="NG40" s="47"/>
      <c r="NH40" s="47"/>
      <c r="NI40" s="47"/>
      <c r="NJ40" s="47"/>
      <c r="NK40" s="47"/>
      <c r="NL40" s="47"/>
      <c r="NM40" s="47"/>
      <c r="NN40" s="47"/>
      <c r="NO40" s="47"/>
      <c r="NP40" s="47"/>
      <c r="NQ40" s="47"/>
      <c r="NR40" s="47"/>
      <c r="NS40" s="47"/>
      <c r="NT40" s="47"/>
      <c r="NU40" s="47"/>
      <c r="NV40" s="47"/>
      <c r="NW40" s="47"/>
      <c r="NX40" s="47"/>
      <c r="NY40" s="47"/>
      <c r="NZ40" s="47"/>
      <c r="OA40" s="47"/>
      <c r="OB40" s="47"/>
      <c r="OC40" s="47"/>
      <c r="OD40" s="47"/>
      <c r="OE40" s="48"/>
    </row>
    <row r="41" spans="1:395">
      <c r="A41" s="33" t="str">
        <f t="shared" si="18"/>
        <v/>
      </c>
      <c r="C41" s="2" t="str">
        <f>IF(ISBLANK($B41),"",_xlfn.XLOOKUP($B41,Task_No,Project!$C$3:$C$144,"INVALID TASK"))</f>
        <v/>
      </c>
      <c r="D41" s="27"/>
      <c r="E41" s="7" t="str">
        <f t="shared" si="19"/>
        <v/>
      </c>
      <c r="F41" s="7" t="str">
        <f t="shared" si="17"/>
        <v/>
      </c>
      <c r="G41" s="34"/>
      <c r="H41" s="34" t="str" cm="1">
        <f t="array" ref="H41">IF($C41="","",SUMPRODUCT((TEXT($AE$5:$OE$5, "mmm")=LOWER(G$3))*$AE41:$OE41))</f>
        <v/>
      </c>
      <c r="I41" s="34"/>
      <c r="J41" s="34" t="str" cm="1">
        <f t="array" ref="J41">IF($C41="","",SUMPRODUCT((TEXT($AE$5:$OE$5, "mmm")=LOWER(I$3))*$AE41:$OE41))</f>
        <v/>
      </c>
      <c r="K41" s="34"/>
      <c r="L41" s="34" t="str" cm="1">
        <f t="array" ref="L41">IF($C41="","",SUMPRODUCT((TEXT($AE$5:$OE$5, "mmm")=LOWER(K$3))*$AE41:$OE41))</f>
        <v/>
      </c>
      <c r="M41" s="34"/>
      <c r="N41" s="34" t="str" cm="1">
        <f t="array" ref="N41">IF($C41="","",SUMPRODUCT((TEXT($AE$5:$OE$5, "mmm")=LOWER(M$3))*$AE41:$OE41))</f>
        <v/>
      </c>
      <c r="O41" s="34"/>
      <c r="P41" s="34" t="str" cm="1">
        <f t="array" ref="P41">IF($C41="","",SUMPRODUCT((TEXT($AE$5:$OE$5, "mmm")=LOWER(O$3))*$AE41:$OE41))</f>
        <v/>
      </c>
      <c r="Q41" s="34"/>
      <c r="R41" s="34" t="str" cm="1">
        <f t="array" ref="R41">IF($C41="","",SUMPRODUCT((TEXT($AE$5:$OE$5, "mmm")=LOWER(Q$3))*$AE41:$OE41))</f>
        <v/>
      </c>
      <c r="S41" s="34"/>
      <c r="T41" s="34" t="str" cm="1">
        <f t="array" ref="T41">IF($C41="","",SUMPRODUCT((TEXT($AE$5:$OE$5, "mmm")=LOWER(S$3))*$AE41:$OE41))</f>
        <v/>
      </c>
      <c r="U41" s="34"/>
      <c r="V41" s="34" t="str" cm="1">
        <f t="array" ref="V41">IF($C41="","",SUMPRODUCT((TEXT($AE$5:$OE$5, "mmm")=LOWER(U$3))*$AE41:$OE41))</f>
        <v/>
      </c>
      <c r="W41" s="34"/>
      <c r="X41" s="34" t="str" cm="1">
        <f t="array" ref="X41">IF($C41="","",SUMPRODUCT((TEXT($AE$5:$OE$5, "mmm")=LOWER(W$3))*$AE41:$OE41))</f>
        <v/>
      </c>
      <c r="Y41" s="34"/>
      <c r="Z41" s="34" t="str" cm="1">
        <f t="array" ref="Z41">IF($C41="","",SUMPRODUCT((TEXT($AE$5:$OE$5, "mmm")=LOWER(Y$3))*$AE41:$OE41))</f>
        <v/>
      </c>
      <c r="AA41" s="34"/>
      <c r="AB41" s="34" t="str" cm="1">
        <f t="array" ref="AB41">IF($C41="","",SUMPRODUCT((TEXT($AE$5:$OE$5, "mmm")=LOWER(AA$3))*$AE41:$OE41))</f>
        <v/>
      </c>
      <c r="AC41" s="34"/>
      <c r="AD41" s="34" t="str" cm="1">
        <f t="array" ref="AD41">IF($C41="","",SUMPRODUCT((TEXT($AE$5:$OE$5, "mmm")=LOWER(AC$3))*$AE41:$OE41))</f>
        <v/>
      </c>
      <c r="AE41" s="47"/>
      <c r="AF41" s="47"/>
      <c r="AG41" s="47"/>
      <c r="AH41" s="47"/>
      <c r="AI41" s="47"/>
      <c r="AJ41" s="47"/>
      <c r="AK41" s="47"/>
      <c r="AL41" s="47"/>
      <c r="AM41" s="47"/>
      <c r="AN41" s="47"/>
      <c r="AO41" s="47"/>
      <c r="AP41" s="47"/>
      <c r="AQ41" s="47"/>
      <c r="AR41" s="47"/>
      <c r="AS41" s="47"/>
      <c r="AT41" s="47"/>
      <c r="AU41" s="47"/>
      <c r="AV41" s="47"/>
      <c r="AW41" s="47"/>
      <c r="AX41" s="47"/>
      <c r="AY41" s="47"/>
      <c r="AZ41" s="47"/>
      <c r="BA41" s="47"/>
      <c r="BB41" s="47"/>
      <c r="BC41" s="47"/>
      <c r="BD41" s="47"/>
      <c r="BE41" s="47"/>
      <c r="BF41" s="47"/>
      <c r="BG41" s="47"/>
      <c r="BH41" s="47"/>
      <c r="BI41" s="47"/>
      <c r="BJ41" s="47"/>
      <c r="BK41" s="47"/>
      <c r="BL41" s="47"/>
      <c r="BM41" s="47"/>
      <c r="BN41" s="47"/>
      <c r="BO41" s="47"/>
      <c r="BP41" s="47"/>
      <c r="BQ41" s="47"/>
      <c r="BR41" s="47"/>
      <c r="BS41" s="47"/>
      <c r="BT41" s="47"/>
      <c r="BU41" s="47"/>
      <c r="BV41" s="47"/>
      <c r="BW41" s="47"/>
      <c r="BX41" s="47"/>
      <c r="BY41" s="47"/>
      <c r="BZ41" s="47"/>
      <c r="CA41" s="47"/>
      <c r="CB41" s="47"/>
      <c r="CC41" s="47"/>
      <c r="CD41" s="47"/>
      <c r="CE41" s="47"/>
      <c r="CF41" s="47"/>
      <c r="CG41" s="47"/>
      <c r="CH41" s="47"/>
      <c r="CI41" s="47"/>
      <c r="CJ41" s="47"/>
      <c r="CK41" s="47"/>
      <c r="CL41" s="47"/>
      <c r="CM41" s="47"/>
      <c r="CN41" s="47"/>
      <c r="CO41" s="47"/>
      <c r="CP41" s="47"/>
      <c r="CQ41" s="47"/>
      <c r="CR41" s="47"/>
      <c r="CS41" s="47"/>
      <c r="CT41" s="47"/>
      <c r="CU41" s="47"/>
      <c r="CV41" s="47"/>
      <c r="CW41" s="47"/>
      <c r="CX41" s="47"/>
      <c r="CY41" s="47"/>
      <c r="CZ41" s="47"/>
      <c r="DA41" s="47"/>
      <c r="DB41" s="47"/>
      <c r="DC41" s="47"/>
      <c r="DD41" s="47"/>
      <c r="DE41" s="47"/>
      <c r="DF41" s="47"/>
      <c r="DG41" s="47"/>
      <c r="DH41" s="47"/>
      <c r="DI41" s="47"/>
      <c r="DJ41" s="47"/>
      <c r="DK41" s="47"/>
      <c r="DL41" s="47"/>
      <c r="DM41" s="47"/>
      <c r="DN41" s="47"/>
      <c r="DO41" s="47"/>
      <c r="DP41" s="47"/>
      <c r="DQ41" s="47"/>
      <c r="DR41" s="47"/>
      <c r="DS41" s="47"/>
      <c r="DT41" s="47"/>
      <c r="DU41" s="47"/>
      <c r="DV41" s="47"/>
      <c r="DW41" s="47"/>
      <c r="DX41" s="47"/>
      <c r="DY41" s="47"/>
      <c r="DZ41" s="47"/>
      <c r="EA41" s="47"/>
      <c r="EB41" s="47"/>
      <c r="EC41" s="47"/>
      <c r="ED41" s="47"/>
      <c r="EE41" s="47"/>
      <c r="EF41" s="47"/>
      <c r="EG41" s="47"/>
      <c r="EH41" s="47"/>
      <c r="EI41" s="47"/>
      <c r="EJ41" s="47"/>
      <c r="EK41" s="47"/>
      <c r="EL41" s="47"/>
      <c r="EM41" s="47"/>
      <c r="EN41" s="47"/>
      <c r="EO41" s="47"/>
      <c r="EP41" s="47"/>
      <c r="EQ41" s="47"/>
      <c r="ER41" s="47"/>
      <c r="ES41" s="47"/>
      <c r="ET41" s="47"/>
      <c r="EU41" s="47"/>
      <c r="EV41" s="47"/>
      <c r="EW41" s="47"/>
      <c r="EX41" s="47"/>
      <c r="EY41" s="47"/>
      <c r="EZ41" s="47"/>
      <c r="FA41" s="47"/>
      <c r="FB41" s="47"/>
      <c r="FC41" s="47"/>
      <c r="FD41" s="47"/>
      <c r="FE41" s="47"/>
      <c r="FF41" s="47"/>
      <c r="FG41" s="47"/>
      <c r="FH41" s="47"/>
      <c r="FI41" s="47"/>
      <c r="FJ41" s="47"/>
      <c r="FK41" s="47"/>
      <c r="FL41" s="47"/>
      <c r="FM41" s="47"/>
      <c r="FN41" s="47"/>
      <c r="FO41" s="47"/>
      <c r="FP41" s="47"/>
      <c r="FQ41" s="47"/>
      <c r="FR41" s="47"/>
      <c r="FS41" s="47"/>
      <c r="FT41" s="47"/>
      <c r="FU41" s="47"/>
      <c r="FV41" s="47"/>
      <c r="FW41" s="47"/>
      <c r="FX41" s="47"/>
      <c r="FY41" s="47"/>
      <c r="FZ41" s="47"/>
      <c r="GA41" s="47"/>
      <c r="GB41" s="47"/>
      <c r="GC41" s="47"/>
      <c r="GD41" s="47"/>
      <c r="GE41" s="47"/>
      <c r="GF41" s="47"/>
      <c r="GG41" s="47"/>
      <c r="GH41" s="47"/>
      <c r="GI41" s="47"/>
      <c r="GJ41" s="47"/>
      <c r="GK41" s="47"/>
      <c r="GL41" s="47"/>
      <c r="GM41" s="47"/>
      <c r="GN41" s="47"/>
      <c r="GO41" s="47"/>
      <c r="GP41" s="47"/>
      <c r="GQ41" s="47"/>
      <c r="GR41" s="47"/>
      <c r="GS41" s="47"/>
      <c r="GT41" s="47"/>
      <c r="GU41" s="47"/>
      <c r="GV41" s="47"/>
      <c r="GW41" s="47"/>
      <c r="GX41" s="47"/>
      <c r="GY41" s="47"/>
      <c r="GZ41" s="47"/>
      <c r="HA41" s="47"/>
      <c r="HB41" s="47"/>
      <c r="HC41" s="47"/>
      <c r="HD41" s="47"/>
      <c r="HE41" s="47"/>
      <c r="HF41" s="47"/>
      <c r="HG41" s="47"/>
      <c r="HH41" s="47"/>
      <c r="HI41" s="47"/>
      <c r="HJ41" s="47"/>
      <c r="HK41" s="47"/>
      <c r="HL41" s="47"/>
      <c r="HM41" s="47"/>
      <c r="HN41" s="47"/>
      <c r="HO41" s="47"/>
      <c r="HP41" s="47"/>
      <c r="HQ41" s="47"/>
      <c r="HR41" s="47"/>
      <c r="HS41" s="47"/>
      <c r="HT41" s="47"/>
      <c r="HU41" s="47"/>
      <c r="HV41" s="47"/>
      <c r="HW41" s="47"/>
      <c r="HX41" s="47"/>
      <c r="HY41" s="47"/>
      <c r="HZ41" s="47"/>
      <c r="IA41" s="47"/>
      <c r="IB41" s="47"/>
      <c r="IC41" s="47"/>
      <c r="ID41" s="47"/>
      <c r="IE41" s="47"/>
      <c r="IF41" s="47"/>
      <c r="IG41" s="47"/>
      <c r="IH41" s="47"/>
      <c r="II41" s="47"/>
      <c r="IJ41" s="47"/>
      <c r="IK41" s="47"/>
      <c r="IL41" s="47"/>
      <c r="IM41" s="47"/>
      <c r="IN41" s="47"/>
      <c r="IO41" s="47"/>
      <c r="IP41" s="47"/>
      <c r="IQ41" s="47"/>
      <c r="IR41" s="47"/>
      <c r="IS41" s="47"/>
      <c r="IT41" s="47"/>
      <c r="IU41" s="47"/>
      <c r="IV41" s="47"/>
      <c r="IW41" s="47"/>
      <c r="IX41" s="47"/>
      <c r="IY41" s="47"/>
      <c r="IZ41" s="47"/>
      <c r="JA41" s="47"/>
      <c r="JB41" s="47"/>
      <c r="JC41" s="47"/>
      <c r="JD41" s="47"/>
      <c r="JE41" s="47"/>
      <c r="JF41" s="47"/>
      <c r="JG41" s="47"/>
      <c r="JH41" s="47"/>
      <c r="JI41" s="47"/>
      <c r="JJ41" s="47"/>
      <c r="JK41" s="47"/>
      <c r="JL41" s="47"/>
      <c r="JM41" s="47"/>
      <c r="JN41" s="47"/>
      <c r="JO41" s="47"/>
      <c r="JP41" s="47"/>
      <c r="JQ41" s="47"/>
      <c r="JR41" s="47"/>
      <c r="JS41" s="47"/>
      <c r="JT41" s="47"/>
      <c r="JU41" s="47"/>
      <c r="JV41" s="47"/>
      <c r="JW41" s="47"/>
      <c r="JX41" s="47"/>
      <c r="JY41" s="47"/>
      <c r="JZ41" s="47"/>
      <c r="KA41" s="47"/>
      <c r="KB41" s="47"/>
      <c r="KC41" s="47"/>
      <c r="KD41" s="47"/>
      <c r="KE41" s="47"/>
      <c r="KF41" s="47"/>
      <c r="KG41" s="47"/>
      <c r="KH41" s="47"/>
      <c r="KI41" s="47"/>
      <c r="KJ41" s="47"/>
      <c r="KK41" s="47"/>
      <c r="KL41" s="47"/>
      <c r="KM41" s="47"/>
      <c r="KN41" s="47"/>
      <c r="KO41" s="47"/>
      <c r="KP41" s="47"/>
      <c r="KQ41" s="47"/>
      <c r="KR41" s="47"/>
      <c r="KS41" s="47"/>
      <c r="KT41" s="47"/>
      <c r="KU41" s="47"/>
      <c r="KV41" s="47"/>
      <c r="KW41" s="47"/>
      <c r="KX41" s="47"/>
      <c r="KY41" s="47"/>
      <c r="KZ41" s="47"/>
      <c r="LA41" s="47"/>
      <c r="LB41" s="47"/>
      <c r="LC41" s="47"/>
      <c r="LD41" s="47"/>
      <c r="LE41" s="47"/>
      <c r="LF41" s="47"/>
      <c r="LG41" s="47"/>
      <c r="LH41" s="47"/>
      <c r="LI41" s="47"/>
      <c r="LJ41" s="47"/>
      <c r="LK41" s="47"/>
      <c r="LL41" s="47"/>
      <c r="LM41" s="47"/>
      <c r="LN41" s="47"/>
      <c r="LO41" s="47"/>
      <c r="LP41" s="47"/>
      <c r="LQ41" s="47"/>
      <c r="LR41" s="47"/>
      <c r="LS41" s="47"/>
      <c r="LT41" s="47"/>
      <c r="LU41" s="47"/>
      <c r="LV41" s="47"/>
      <c r="LW41" s="47"/>
      <c r="LX41" s="47"/>
      <c r="LY41" s="47"/>
      <c r="LZ41" s="47"/>
      <c r="MA41" s="47"/>
      <c r="MB41" s="47"/>
      <c r="MC41" s="47"/>
      <c r="MD41" s="47"/>
      <c r="ME41" s="47"/>
      <c r="MF41" s="47"/>
      <c r="MG41" s="47"/>
      <c r="MH41" s="47"/>
      <c r="MI41" s="47"/>
      <c r="MJ41" s="47"/>
      <c r="MK41" s="47"/>
      <c r="ML41" s="47"/>
      <c r="MM41" s="47"/>
      <c r="MN41" s="47"/>
      <c r="MO41" s="47"/>
      <c r="MP41" s="47"/>
      <c r="MQ41" s="47"/>
      <c r="MR41" s="47"/>
      <c r="MS41" s="47"/>
      <c r="MT41" s="47"/>
      <c r="MU41" s="47"/>
      <c r="MV41" s="47"/>
      <c r="MW41" s="47"/>
      <c r="MX41" s="47"/>
      <c r="MY41" s="47"/>
      <c r="MZ41" s="47"/>
      <c r="NA41" s="47"/>
      <c r="NB41" s="47"/>
      <c r="NC41" s="47"/>
      <c r="ND41" s="47"/>
      <c r="NE41" s="47"/>
      <c r="NF41" s="47"/>
      <c r="NG41" s="47"/>
      <c r="NH41" s="47"/>
      <c r="NI41" s="47"/>
      <c r="NJ41" s="47"/>
      <c r="NK41" s="47"/>
      <c r="NL41" s="47"/>
      <c r="NM41" s="47"/>
      <c r="NN41" s="47"/>
      <c r="NO41" s="47"/>
      <c r="NP41" s="47"/>
      <c r="NQ41" s="47"/>
      <c r="NR41" s="47"/>
      <c r="NS41" s="47"/>
      <c r="NT41" s="47"/>
      <c r="NU41" s="47"/>
      <c r="NV41" s="47"/>
      <c r="NW41" s="47"/>
      <c r="NX41" s="47"/>
      <c r="NY41" s="47"/>
      <c r="NZ41" s="47"/>
      <c r="OA41" s="47"/>
      <c r="OB41" s="47"/>
      <c r="OC41" s="47"/>
      <c r="OD41" s="47"/>
      <c r="OE41" s="48"/>
    </row>
    <row r="42" spans="1:395">
      <c r="A42" s="33" t="str">
        <f t="shared" si="18"/>
        <v/>
      </c>
      <c r="C42" s="2" t="str">
        <f>IF(ISBLANK($B42),"",_xlfn.XLOOKUP($B42,Task_No,Project!$C$3:$C$144,"INVALID TASK"))</f>
        <v/>
      </c>
      <c r="D42" s="27"/>
      <c r="E42" s="7" t="str">
        <f t="shared" si="19"/>
        <v/>
      </c>
      <c r="F42" s="7" t="str">
        <f t="shared" si="17"/>
        <v/>
      </c>
      <c r="G42" s="34"/>
      <c r="H42" s="34" t="str" cm="1">
        <f t="array" ref="H42">IF($C42="","",SUMPRODUCT((TEXT($AE$5:$OE$5, "mmm")=LOWER(G$3))*$AE42:$OE42))</f>
        <v/>
      </c>
      <c r="I42" s="34"/>
      <c r="J42" s="34" t="str" cm="1">
        <f t="array" ref="J42">IF($C42="","",SUMPRODUCT((TEXT($AE$5:$OE$5, "mmm")=LOWER(I$3))*$AE42:$OE42))</f>
        <v/>
      </c>
      <c r="K42" s="34"/>
      <c r="L42" s="34" t="str" cm="1">
        <f t="array" ref="L42">IF($C42="","",SUMPRODUCT((TEXT($AE$5:$OE$5, "mmm")=LOWER(K$3))*$AE42:$OE42))</f>
        <v/>
      </c>
      <c r="M42" s="34"/>
      <c r="N42" s="34" t="str" cm="1">
        <f t="array" ref="N42">IF($C42="","",SUMPRODUCT((TEXT($AE$5:$OE$5, "mmm")=LOWER(M$3))*$AE42:$OE42))</f>
        <v/>
      </c>
      <c r="O42" s="34"/>
      <c r="P42" s="34" t="str" cm="1">
        <f t="array" ref="P42">IF($C42="","",SUMPRODUCT((TEXT($AE$5:$OE$5, "mmm")=LOWER(O$3))*$AE42:$OE42))</f>
        <v/>
      </c>
      <c r="Q42" s="34"/>
      <c r="R42" s="34" t="str" cm="1">
        <f t="array" ref="R42">IF($C42="","",SUMPRODUCT((TEXT($AE$5:$OE$5, "mmm")=LOWER(Q$3))*$AE42:$OE42))</f>
        <v/>
      </c>
      <c r="S42" s="34"/>
      <c r="T42" s="34" t="str" cm="1">
        <f t="array" ref="T42">IF($C42="","",SUMPRODUCT((TEXT($AE$5:$OE$5, "mmm")=LOWER(S$3))*$AE42:$OE42))</f>
        <v/>
      </c>
      <c r="U42" s="34"/>
      <c r="V42" s="34" t="str" cm="1">
        <f t="array" ref="V42">IF($C42="","",SUMPRODUCT((TEXT($AE$5:$OE$5, "mmm")=LOWER(U$3))*$AE42:$OE42))</f>
        <v/>
      </c>
      <c r="W42" s="34"/>
      <c r="X42" s="34" t="str" cm="1">
        <f t="array" ref="X42">IF($C42="","",SUMPRODUCT((TEXT($AE$5:$OE$5, "mmm")=LOWER(W$3))*$AE42:$OE42))</f>
        <v/>
      </c>
      <c r="Y42" s="34"/>
      <c r="Z42" s="34" t="str" cm="1">
        <f t="array" ref="Z42">IF($C42="","",SUMPRODUCT((TEXT($AE$5:$OE$5, "mmm")=LOWER(Y$3))*$AE42:$OE42))</f>
        <v/>
      </c>
      <c r="AA42" s="34"/>
      <c r="AB42" s="34" t="str" cm="1">
        <f t="array" ref="AB42">IF($C42="","",SUMPRODUCT((TEXT($AE$5:$OE$5, "mmm")=LOWER(AA$3))*$AE42:$OE42))</f>
        <v/>
      </c>
      <c r="AC42" s="34"/>
      <c r="AD42" s="34" t="str" cm="1">
        <f t="array" ref="AD42">IF($C42="","",SUMPRODUCT((TEXT($AE$5:$OE$5, "mmm")=LOWER(AC$3))*$AE42:$OE42))</f>
        <v/>
      </c>
      <c r="AE42" s="47"/>
      <c r="AF42" s="47"/>
      <c r="AG42" s="47"/>
      <c r="AH42" s="47"/>
      <c r="AI42" s="47"/>
      <c r="AJ42" s="47"/>
      <c r="AK42" s="47"/>
      <c r="AL42" s="47"/>
      <c r="AM42" s="47"/>
      <c r="AN42" s="47"/>
      <c r="AO42" s="47"/>
      <c r="AP42" s="47"/>
      <c r="AQ42" s="47"/>
      <c r="AR42" s="47"/>
      <c r="AS42" s="47"/>
      <c r="AT42" s="47"/>
      <c r="AU42" s="47"/>
      <c r="AV42" s="47"/>
      <c r="AW42" s="47"/>
      <c r="AX42" s="47"/>
      <c r="AY42" s="47"/>
      <c r="AZ42" s="47"/>
      <c r="BA42" s="47"/>
      <c r="BB42" s="47"/>
      <c r="BC42" s="47"/>
      <c r="BD42" s="47"/>
      <c r="BE42" s="47"/>
      <c r="BF42" s="47"/>
      <c r="BG42" s="47"/>
      <c r="BH42" s="47"/>
      <c r="BI42" s="47"/>
      <c r="BJ42" s="47"/>
      <c r="BK42" s="47"/>
      <c r="BL42" s="47"/>
      <c r="BM42" s="47"/>
      <c r="BN42" s="47"/>
      <c r="BO42" s="47"/>
      <c r="BP42" s="47"/>
      <c r="BQ42" s="47"/>
      <c r="BR42" s="47"/>
      <c r="BS42" s="47"/>
      <c r="BT42" s="47"/>
      <c r="BU42" s="47"/>
      <c r="BV42" s="47"/>
      <c r="BW42" s="47"/>
      <c r="BX42" s="47"/>
      <c r="BY42" s="47"/>
      <c r="BZ42" s="47"/>
      <c r="CA42" s="47"/>
      <c r="CB42" s="47"/>
      <c r="CC42" s="47"/>
      <c r="CD42" s="47"/>
      <c r="CE42" s="47"/>
      <c r="CF42" s="47"/>
      <c r="CG42" s="47"/>
      <c r="CH42" s="47"/>
      <c r="CI42" s="47"/>
      <c r="CJ42" s="47"/>
      <c r="CK42" s="47"/>
      <c r="CL42" s="47"/>
      <c r="CM42" s="47"/>
      <c r="CN42" s="47"/>
      <c r="CO42" s="47"/>
      <c r="CP42" s="47"/>
      <c r="CQ42" s="47"/>
      <c r="CR42" s="47"/>
      <c r="CS42" s="47"/>
      <c r="CT42" s="47"/>
      <c r="CU42" s="47"/>
      <c r="CV42" s="47"/>
      <c r="CW42" s="47"/>
      <c r="CX42" s="47"/>
      <c r="CY42" s="47"/>
      <c r="CZ42" s="47"/>
      <c r="DA42" s="47"/>
      <c r="DB42" s="47"/>
      <c r="DC42" s="47"/>
      <c r="DD42" s="47"/>
      <c r="DE42" s="47"/>
      <c r="DF42" s="47"/>
      <c r="DG42" s="47"/>
      <c r="DH42" s="47"/>
      <c r="DI42" s="47"/>
      <c r="DJ42" s="47"/>
      <c r="DK42" s="47"/>
      <c r="DL42" s="47"/>
      <c r="DM42" s="47"/>
      <c r="DN42" s="47"/>
      <c r="DO42" s="47"/>
      <c r="DP42" s="47"/>
      <c r="DQ42" s="47"/>
      <c r="DR42" s="47"/>
      <c r="DS42" s="47"/>
      <c r="DT42" s="47"/>
      <c r="DU42" s="47"/>
      <c r="DV42" s="47"/>
      <c r="DW42" s="47"/>
      <c r="DX42" s="47"/>
      <c r="DY42" s="47"/>
      <c r="DZ42" s="47"/>
      <c r="EA42" s="47"/>
      <c r="EB42" s="47"/>
      <c r="EC42" s="47"/>
      <c r="ED42" s="47"/>
      <c r="EE42" s="47"/>
      <c r="EF42" s="47"/>
      <c r="EG42" s="47"/>
      <c r="EH42" s="47"/>
      <c r="EI42" s="47"/>
      <c r="EJ42" s="47"/>
      <c r="EK42" s="47"/>
      <c r="EL42" s="47"/>
      <c r="EM42" s="47"/>
      <c r="EN42" s="47"/>
      <c r="EO42" s="47"/>
      <c r="EP42" s="47"/>
      <c r="EQ42" s="47"/>
      <c r="ER42" s="47"/>
      <c r="ES42" s="47"/>
      <c r="ET42" s="47"/>
      <c r="EU42" s="47"/>
      <c r="EV42" s="47"/>
      <c r="EW42" s="47"/>
      <c r="EX42" s="47"/>
      <c r="EY42" s="47"/>
      <c r="EZ42" s="47"/>
      <c r="FA42" s="47"/>
      <c r="FB42" s="47"/>
      <c r="FC42" s="47"/>
      <c r="FD42" s="47"/>
      <c r="FE42" s="47"/>
      <c r="FF42" s="47"/>
      <c r="FG42" s="47"/>
      <c r="FH42" s="47"/>
      <c r="FI42" s="47"/>
      <c r="FJ42" s="47"/>
      <c r="FK42" s="47"/>
      <c r="FL42" s="47"/>
      <c r="FM42" s="47"/>
      <c r="FN42" s="47"/>
      <c r="FO42" s="47"/>
      <c r="FP42" s="47"/>
      <c r="FQ42" s="47"/>
      <c r="FR42" s="47"/>
      <c r="FS42" s="47"/>
      <c r="FT42" s="47"/>
      <c r="FU42" s="47"/>
      <c r="FV42" s="47"/>
      <c r="FW42" s="47"/>
      <c r="FX42" s="47"/>
      <c r="FY42" s="47"/>
      <c r="FZ42" s="47"/>
      <c r="GA42" s="47"/>
      <c r="GB42" s="47"/>
      <c r="GC42" s="47"/>
      <c r="GD42" s="47"/>
      <c r="GE42" s="47"/>
      <c r="GF42" s="47"/>
      <c r="GG42" s="47"/>
      <c r="GH42" s="47"/>
      <c r="GI42" s="47"/>
      <c r="GJ42" s="47"/>
      <c r="GK42" s="47"/>
      <c r="GL42" s="47"/>
      <c r="GM42" s="47"/>
      <c r="GN42" s="47"/>
      <c r="GO42" s="47"/>
      <c r="GP42" s="47"/>
      <c r="GQ42" s="47"/>
      <c r="GR42" s="47"/>
      <c r="GS42" s="47"/>
      <c r="GT42" s="47"/>
      <c r="GU42" s="47"/>
      <c r="GV42" s="47"/>
      <c r="GW42" s="47"/>
      <c r="GX42" s="47"/>
      <c r="GY42" s="47"/>
      <c r="GZ42" s="47"/>
      <c r="HA42" s="47"/>
      <c r="HB42" s="47"/>
      <c r="HC42" s="47"/>
      <c r="HD42" s="47"/>
      <c r="HE42" s="47"/>
      <c r="HF42" s="47"/>
      <c r="HG42" s="47"/>
      <c r="HH42" s="47"/>
      <c r="HI42" s="47"/>
      <c r="HJ42" s="47"/>
      <c r="HK42" s="47"/>
      <c r="HL42" s="47"/>
      <c r="HM42" s="47"/>
      <c r="HN42" s="47"/>
      <c r="HO42" s="47"/>
      <c r="HP42" s="47"/>
      <c r="HQ42" s="47"/>
      <c r="HR42" s="47"/>
      <c r="HS42" s="47"/>
      <c r="HT42" s="47"/>
      <c r="HU42" s="47"/>
      <c r="HV42" s="47"/>
      <c r="HW42" s="47"/>
      <c r="HX42" s="47"/>
      <c r="HY42" s="47"/>
      <c r="HZ42" s="47"/>
      <c r="IA42" s="47"/>
      <c r="IB42" s="47"/>
      <c r="IC42" s="47"/>
      <c r="ID42" s="47"/>
      <c r="IE42" s="47"/>
      <c r="IF42" s="47"/>
      <c r="IG42" s="47"/>
      <c r="IH42" s="47"/>
      <c r="II42" s="47"/>
      <c r="IJ42" s="47"/>
      <c r="IK42" s="47"/>
      <c r="IL42" s="47"/>
      <c r="IM42" s="47"/>
      <c r="IN42" s="47"/>
      <c r="IO42" s="47"/>
      <c r="IP42" s="47"/>
      <c r="IQ42" s="47"/>
      <c r="IR42" s="47"/>
      <c r="IS42" s="47"/>
      <c r="IT42" s="47"/>
      <c r="IU42" s="47"/>
      <c r="IV42" s="47"/>
      <c r="IW42" s="47"/>
      <c r="IX42" s="47"/>
      <c r="IY42" s="47"/>
      <c r="IZ42" s="47"/>
      <c r="JA42" s="47"/>
      <c r="JB42" s="47"/>
      <c r="JC42" s="47"/>
      <c r="JD42" s="47"/>
      <c r="JE42" s="47"/>
      <c r="JF42" s="47"/>
      <c r="JG42" s="47"/>
      <c r="JH42" s="47"/>
      <c r="JI42" s="47"/>
      <c r="JJ42" s="47"/>
      <c r="JK42" s="47"/>
      <c r="JL42" s="47"/>
      <c r="JM42" s="47"/>
      <c r="JN42" s="47"/>
      <c r="JO42" s="47"/>
      <c r="JP42" s="47"/>
      <c r="JQ42" s="47"/>
      <c r="JR42" s="47"/>
      <c r="JS42" s="47"/>
      <c r="JT42" s="47"/>
      <c r="JU42" s="47"/>
      <c r="JV42" s="47"/>
      <c r="JW42" s="47"/>
      <c r="JX42" s="47"/>
      <c r="JY42" s="47"/>
      <c r="JZ42" s="47"/>
      <c r="KA42" s="47"/>
      <c r="KB42" s="47"/>
      <c r="KC42" s="47"/>
      <c r="KD42" s="47"/>
      <c r="KE42" s="47"/>
      <c r="KF42" s="47"/>
      <c r="KG42" s="47"/>
      <c r="KH42" s="47"/>
      <c r="KI42" s="47"/>
      <c r="KJ42" s="47"/>
      <c r="KK42" s="47"/>
      <c r="KL42" s="47"/>
      <c r="KM42" s="47"/>
      <c r="KN42" s="47"/>
      <c r="KO42" s="47"/>
      <c r="KP42" s="47"/>
      <c r="KQ42" s="47"/>
      <c r="KR42" s="47"/>
      <c r="KS42" s="47"/>
      <c r="KT42" s="47"/>
      <c r="KU42" s="47"/>
      <c r="KV42" s="47"/>
      <c r="KW42" s="47"/>
      <c r="KX42" s="47"/>
      <c r="KY42" s="47"/>
      <c r="KZ42" s="47"/>
      <c r="LA42" s="47"/>
      <c r="LB42" s="47"/>
      <c r="LC42" s="47"/>
      <c r="LD42" s="47"/>
      <c r="LE42" s="47"/>
      <c r="LF42" s="47"/>
      <c r="LG42" s="47"/>
      <c r="LH42" s="47"/>
      <c r="LI42" s="47"/>
      <c r="LJ42" s="47"/>
      <c r="LK42" s="47"/>
      <c r="LL42" s="47"/>
      <c r="LM42" s="47"/>
      <c r="LN42" s="47"/>
      <c r="LO42" s="47"/>
      <c r="LP42" s="47"/>
      <c r="LQ42" s="47"/>
      <c r="LR42" s="47"/>
      <c r="LS42" s="47"/>
      <c r="LT42" s="47"/>
      <c r="LU42" s="47"/>
      <c r="LV42" s="47"/>
      <c r="LW42" s="47"/>
      <c r="LX42" s="47"/>
      <c r="LY42" s="47"/>
      <c r="LZ42" s="47"/>
      <c r="MA42" s="47"/>
      <c r="MB42" s="47"/>
      <c r="MC42" s="47"/>
      <c r="MD42" s="47"/>
      <c r="ME42" s="47"/>
      <c r="MF42" s="47"/>
      <c r="MG42" s="47"/>
      <c r="MH42" s="47"/>
      <c r="MI42" s="47"/>
      <c r="MJ42" s="47"/>
      <c r="MK42" s="47"/>
      <c r="ML42" s="47"/>
      <c r="MM42" s="47"/>
      <c r="MN42" s="47"/>
      <c r="MO42" s="47"/>
      <c r="MP42" s="47"/>
      <c r="MQ42" s="47"/>
      <c r="MR42" s="47"/>
      <c r="MS42" s="47"/>
      <c r="MT42" s="47"/>
      <c r="MU42" s="47"/>
      <c r="MV42" s="47"/>
      <c r="MW42" s="47"/>
      <c r="MX42" s="47"/>
      <c r="MY42" s="47"/>
      <c r="MZ42" s="47"/>
      <c r="NA42" s="47"/>
      <c r="NB42" s="47"/>
      <c r="NC42" s="47"/>
      <c r="ND42" s="47"/>
      <c r="NE42" s="47"/>
      <c r="NF42" s="47"/>
      <c r="NG42" s="47"/>
      <c r="NH42" s="47"/>
      <c r="NI42" s="47"/>
      <c r="NJ42" s="47"/>
      <c r="NK42" s="47"/>
      <c r="NL42" s="47"/>
      <c r="NM42" s="47"/>
      <c r="NN42" s="47"/>
      <c r="NO42" s="47"/>
      <c r="NP42" s="47"/>
      <c r="NQ42" s="47"/>
      <c r="NR42" s="47"/>
      <c r="NS42" s="47"/>
      <c r="NT42" s="47"/>
      <c r="NU42" s="47"/>
      <c r="NV42" s="47"/>
      <c r="NW42" s="47"/>
      <c r="NX42" s="47"/>
      <c r="NY42" s="47"/>
      <c r="NZ42" s="47"/>
      <c r="OA42" s="47"/>
      <c r="OB42" s="47"/>
      <c r="OC42" s="47"/>
      <c r="OD42" s="47"/>
      <c r="OE42" s="48"/>
    </row>
    <row r="43" spans="1:395">
      <c r="A43" s="33" t="str">
        <f t="shared" si="18"/>
        <v/>
      </c>
      <c r="C43" s="2" t="str">
        <f>IF(ISBLANK($B43),"",_xlfn.XLOOKUP($B43,Task_No,Project!$C$3:$C$144,"INVALID TASK"))</f>
        <v/>
      </c>
      <c r="D43" s="27"/>
      <c r="E43" s="7" t="str">
        <f t="shared" si="19"/>
        <v/>
      </c>
      <c r="F43" s="7" t="str">
        <f t="shared" si="17"/>
        <v/>
      </c>
      <c r="G43" s="34"/>
      <c r="H43" s="34" t="str" cm="1">
        <f t="array" ref="H43">IF($C43="","",SUMPRODUCT((TEXT($AE$5:$OE$5, "mmm")=LOWER(G$3))*$AE43:$OE43))</f>
        <v/>
      </c>
      <c r="I43" s="34"/>
      <c r="J43" s="34" t="str" cm="1">
        <f t="array" ref="J43">IF($C43="","",SUMPRODUCT((TEXT($AE$5:$OE$5, "mmm")=LOWER(I$3))*$AE43:$OE43))</f>
        <v/>
      </c>
      <c r="K43" s="34"/>
      <c r="L43" s="34" t="str" cm="1">
        <f t="array" ref="L43">IF($C43="","",SUMPRODUCT((TEXT($AE$5:$OE$5, "mmm")=LOWER(K$3))*$AE43:$OE43))</f>
        <v/>
      </c>
      <c r="M43" s="34"/>
      <c r="N43" s="34" t="str" cm="1">
        <f t="array" ref="N43">IF($C43="","",SUMPRODUCT((TEXT($AE$5:$OE$5, "mmm")=LOWER(M$3))*$AE43:$OE43))</f>
        <v/>
      </c>
      <c r="O43" s="34"/>
      <c r="P43" s="34" t="str" cm="1">
        <f t="array" ref="P43">IF($C43="","",SUMPRODUCT((TEXT($AE$5:$OE$5, "mmm")=LOWER(O$3))*$AE43:$OE43))</f>
        <v/>
      </c>
      <c r="Q43" s="34"/>
      <c r="R43" s="34" t="str" cm="1">
        <f t="array" ref="R43">IF($C43="","",SUMPRODUCT((TEXT($AE$5:$OE$5, "mmm")=LOWER(Q$3))*$AE43:$OE43))</f>
        <v/>
      </c>
      <c r="S43" s="34"/>
      <c r="T43" s="34" t="str" cm="1">
        <f t="array" ref="T43">IF($C43="","",SUMPRODUCT((TEXT($AE$5:$OE$5, "mmm")=LOWER(S$3))*$AE43:$OE43))</f>
        <v/>
      </c>
      <c r="U43" s="34"/>
      <c r="V43" s="34" t="str" cm="1">
        <f t="array" ref="V43">IF($C43="","",SUMPRODUCT((TEXT($AE$5:$OE$5, "mmm")=LOWER(U$3))*$AE43:$OE43))</f>
        <v/>
      </c>
      <c r="W43" s="34"/>
      <c r="X43" s="34" t="str" cm="1">
        <f t="array" ref="X43">IF($C43="","",SUMPRODUCT((TEXT($AE$5:$OE$5, "mmm")=LOWER(W$3))*$AE43:$OE43))</f>
        <v/>
      </c>
      <c r="Y43" s="34"/>
      <c r="Z43" s="34" t="str" cm="1">
        <f t="array" ref="Z43">IF($C43="","",SUMPRODUCT((TEXT($AE$5:$OE$5, "mmm")=LOWER(Y$3))*$AE43:$OE43))</f>
        <v/>
      </c>
      <c r="AA43" s="34"/>
      <c r="AB43" s="34" t="str" cm="1">
        <f t="array" ref="AB43">IF($C43="","",SUMPRODUCT((TEXT($AE$5:$OE$5, "mmm")=LOWER(AA$3))*$AE43:$OE43))</f>
        <v/>
      </c>
      <c r="AC43" s="34"/>
      <c r="AD43" s="34" t="str" cm="1">
        <f t="array" ref="AD43">IF($C43="","",SUMPRODUCT((TEXT($AE$5:$OE$5, "mmm")=LOWER(AC$3))*$AE43:$OE43))</f>
        <v/>
      </c>
      <c r="AE43" s="47"/>
      <c r="AF43" s="47"/>
      <c r="AG43" s="47"/>
      <c r="AH43" s="47"/>
      <c r="AI43" s="47"/>
      <c r="AJ43" s="47"/>
      <c r="AK43" s="47"/>
      <c r="AL43" s="47"/>
      <c r="AM43" s="47"/>
      <c r="AN43" s="47"/>
      <c r="AO43" s="47"/>
      <c r="AP43" s="47"/>
      <c r="AQ43" s="47"/>
      <c r="AR43" s="47"/>
      <c r="AS43" s="47"/>
      <c r="AT43" s="47"/>
      <c r="AU43" s="47"/>
      <c r="AV43" s="47"/>
      <c r="AW43" s="47"/>
      <c r="AX43" s="47"/>
      <c r="AY43" s="47"/>
      <c r="AZ43" s="47"/>
      <c r="BA43" s="47"/>
      <c r="BB43" s="47"/>
      <c r="BC43" s="47"/>
      <c r="BD43" s="47"/>
      <c r="BE43" s="47"/>
      <c r="BF43" s="47"/>
      <c r="BG43" s="47"/>
      <c r="BH43" s="47"/>
      <c r="BI43" s="47"/>
      <c r="BJ43" s="47"/>
      <c r="BK43" s="47"/>
      <c r="BL43" s="47"/>
      <c r="BM43" s="47"/>
      <c r="BN43" s="47"/>
      <c r="BO43" s="47"/>
      <c r="BP43" s="47"/>
      <c r="BQ43" s="47"/>
      <c r="BR43" s="47"/>
      <c r="BS43" s="47"/>
      <c r="BT43" s="47"/>
      <c r="BU43" s="47"/>
      <c r="BV43" s="47"/>
      <c r="BW43" s="47"/>
      <c r="BX43" s="47"/>
      <c r="BY43" s="47"/>
      <c r="BZ43" s="47"/>
      <c r="CA43" s="47"/>
      <c r="CB43" s="47"/>
      <c r="CC43" s="47"/>
      <c r="CD43" s="47"/>
      <c r="CE43" s="47"/>
      <c r="CF43" s="47"/>
      <c r="CG43" s="47"/>
      <c r="CH43" s="47"/>
      <c r="CI43" s="47"/>
      <c r="CJ43" s="47"/>
      <c r="CK43" s="47"/>
      <c r="CL43" s="47"/>
      <c r="CM43" s="47"/>
      <c r="CN43" s="47"/>
      <c r="CO43" s="47"/>
      <c r="CP43" s="47"/>
      <c r="CQ43" s="47"/>
      <c r="CR43" s="47"/>
      <c r="CS43" s="47"/>
      <c r="CT43" s="47"/>
      <c r="CU43" s="47"/>
      <c r="CV43" s="47"/>
      <c r="CW43" s="47"/>
      <c r="CX43" s="47"/>
      <c r="CY43" s="47"/>
      <c r="CZ43" s="47"/>
      <c r="DA43" s="47"/>
      <c r="DB43" s="47"/>
      <c r="DC43" s="47"/>
      <c r="DD43" s="47"/>
      <c r="DE43" s="47"/>
      <c r="DF43" s="47"/>
      <c r="DG43" s="47"/>
      <c r="DH43" s="47"/>
      <c r="DI43" s="47"/>
      <c r="DJ43" s="47"/>
      <c r="DK43" s="47"/>
      <c r="DL43" s="47"/>
      <c r="DM43" s="47"/>
      <c r="DN43" s="47"/>
      <c r="DO43" s="47"/>
      <c r="DP43" s="47"/>
      <c r="DQ43" s="47"/>
      <c r="DR43" s="47"/>
      <c r="DS43" s="47"/>
      <c r="DT43" s="47"/>
      <c r="DU43" s="47"/>
      <c r="DV43" s="47"/>
      <c r="DW43" s="47"/>
      <c r="DX43" s="47"/>
      <c r="DY43" s="47"/>
      <c r="DZ43" s="47"/>
      <c r="EA43" s="47"/>
      <c r="EB43" s="47"/>
      <c r="EC43" s="47"/>
      <c r="ED43" s="47"/>
      <c r="EE43" s="47"/>
      <c r="EF43" s="47"/>
      <c r="EG43" s="47"/>
      <c r="EH43" s="47"/>
      <c r="EI43" s="47"/>
      <c r="EJ43" s="47"/>
      <c r="EK43" s="47"/>
      <c r="EL43" s="47"/>
      <c r="EM43" s="47"/>
      <c r="EN43" s="47"/>
      <c r="EO43" s="47"/>
      <c r="EP43" s="47"/>
      <c r="EQ43" s="47"/>
      <c r="ER43" s="47"/>
      <c r="ES43" s="47"/>
      <c r="ET43" s="47"/>
      <c r="EU43" s="47"/>
      <c r="EV43" s="47"/>
      <c r="EW43" s="47"/>
      <c r="EX43" s="47"/>
      <c r="EY43" s="47"/>
      <c r="EZ43" s="47"/>
      <c r="FA43" s="47"/>
      <c r="FB43" s="47"/>
      <c r="FC43" s="47"/>
      <c r="FD43" s="47"/>
      <c r="FE43" s="47"/>
      <c r="FF43" s="47"/>
      <c r="FG43" s="47"/>
      <c r="FH43" s="47"/>
      <c r="FI43" s="47"/>
      <c r="FJ43" s="47"/>
      <c r="FK43" s="47"/>
      <c r="FL43" s="47"/>
      <c r="FM43" s="47"/>
      <c r="FN43" s="47"/>
      <c r="FO43" s="47"/>
      <c r="FP43" s="47"/>
      <c r="FQ43" s="47"/>
      <c r="FR43" s="47"/>
      <c r="FS43" s="47"/>
      <c r="FT43" s="47"/>
      <c r="FU43" s="47"/>
      <c r="FV43" s="47"/>
      <c r="FW43" s="47"/>
      <c r="FX43" s="47"/>
      <c r="FY43" s="47"/>
      <c r="FZ43" s="47"/>
      <c r="GA43" s="47"/>
      <c r="GB43" s="47"/>
      <c r="GC43" s="47"/>
      <c r="GD43" s="47"/>
      <c r="GE43" s="47"/>
      <c r="GF43" s="47"/>
      <c r="GG43" s="47"/>
      <c r="GH43" s="47"/>
      <c r="GI43" s="47"/>
      <c r="GJ43" s="47"/>
      <c r="GK43" s="47"/>
      <c r="GL43" s="47"/>
      <c r="GM43" s="47"/>
      <c r="GN43" s="47"/>
      <c r="GO43" s="47"/>
      <c r="GP43" s="47"/>
      <c r="GQ43" s="47"/>
      <c r="GR43" s="47"/>
      <c r="GS43" s="47"/>
      <c r="GT43" s="47"/>
      <c r="GU43" s="47"/>
      <c r="GV43" s="47"/>
      <c r="GW43" s="47"/>
      <c r="GX43" s="47"/>
      <c r="GY43" s="47"/>
      <c r="GZ43" s="47"/>
      <c r="HA43" s="47"/>
      <c r="HB43" s="47"/>
      <c r="HC43" s="47"/>
      <c r="HD43" s="47"/>
      <c r="HE43" s="47"/>
      <c r="HF43" s="47"/>
      <c r="HG43" s="47"/>
      <c r="HH43" s="47"/>
      <c r="HI43" s="47"/>
      <c r="HJ43" s="47"/>
      <c r="HK43" s="47"/>
      <c r="HL43" s="47"/>
      <c r="HM43" s="47"/>
      <c r="HN43" s="47"/>
      <c r="HO43" s="47"/>
      <c r="HP43" s="47"/>
      <c r="HQ43" s="47"/>
      <c r="HR43" s="47"/>
      <c r="HS43" s="47"/>
      <c r="HT43" s="47"/>
      <c r="HU43" s="47"/>
      <c r="HV43" s="47"/>
      <c r="HW43" s="47"/>
      <c r="HX43" s="47"/>
      <c r="HY43" s="47"/>
      <c r="HZ43" s="47"/>
      <c r="IA43" s="47"/>
      <c r="IB43" s="47"/>
      <c r="IC43" s="47"/>
      <c r="ID43" s="47"/>
      <c r="IE43" s="47"/>
      <c r="IF43" s="47"/>
      <c r="IG43" s="47"/>
      <c r="IH43" s="47"/>
      <c r="II43" s="47"/>
      <c r="IJ43" s="47"/>
      <c r="IK43" s="47"/>
      <c r="IL43" s="47"/>
      <c r="IM43" s="47"/>
      <c r="IN43" s="47"/>
      <c r="IO43" s="47"/>
      <c r="IP43" s="47"/>
      <c r="IQ43" s="47"/>
      <c r="IR43" s="47"/>
      <c r="IS43" s="47"/>
      <c r="IT43" s="47"/>
      <c r="IU43" s="47"/>
      <c r="IV43" s="47"/>
      <c r="IW43" s="47"/>
      <c r="IX43" s="47"/>
      <c r="IY43" s="47"/>
      <c r="IZ43" s="47"/>
      <c r="JA43" s="47"/>
      <c r="JB43" s="47"/>
      <c r="JC43" s="47"/>
      <c r="JD43" s="47"/>
      <c r="JE43" s="47"/>
      <c r="JF43" s="47"/>
      <c r="JG43" s="47"/>
      <c r="JH43" s="47"/>
      <c r="JI43" s="47"/>
      <c r="JJ43" s="47"/>
      <c r="JK43" s="47"/>
      <c r="JL43" s="47"/>
      <c r="JM43" s="47"/>
      <c r="JN43" s="47"/>
      <c r="JO43" s="47"/>
      <c r="JP43" s="47"/>
      <c r="JQ43" s="47"/>
      <c r="JR43" s="47"/>
      <c r="JS43" s="47"/>
      <c r="JT43" s="47"/>
      <c r="JU43" s="47"/>
      <c r="JV43" s="47"/>
      <c r="JW43" s="47"/>
      <c r="JX43" s="47"/>
      <c r="JY43" s="47"/>
      <c r="JZ43" s="47"/>
      <c r="KA43" s="47"/>
      <c r="KB43" s="47"/>
      <c r="KC43" s="47"/>
      <c r="KD43" s="47"/>
      <c r="KE43" s="47"/>
      <c r="KF43" s="47"/>
      <c r="KG43" s="47"/>
      <c r="KH43" s="47"/>
      <c r="KI43" s="47"/>
      <c r="KJ43" s="47"/>
      <c r="KK43" s="47"/>
      <c r="KL43" s="47"/>
      <c r="KM43" s="47"/>
      <c r="KN43" s="47"/>
      <c r="KO43" s="47"/>
      <c r="KP43" s="47"/>
      <c r="KQ43" s="47"/>
      <c r="KR43" s="47"/>
      <c r="KS43" s="47"/>
      <c r="KT43" s="47"/>
      <c r="KU43" s="47"/>
      <c r="KV43" s="47"/>
      <c r="KW43" s="47"/>
      <c r="KX43" s="47"/>
      <c r="KY43" s="47"/>
      <c r="KZ43" s="47"/>
      <c r="LA43" s="47"/>
      <c r="LB43" s="47"/>
      <c r="LC43" s="47"/>
      <c r="LD43" s="47"/>
      <c r="LE43" s="47"/>
      <c r="LF43" s="47"/>
      <c r="LG43" s="47"/>
      <c r="LH43" s="47"/>
      <c r="LI43" s="47"/>
      <c r="LJ43" s="47"/>
      <c r="LK43" s="47"/>
      <c r="LL43" s="47"/>
      <c r="LM43" s="47"/>
      <c r="LN43" s="47"/>
      <c r="LO43" s="47"/>
      <c r="LP43" s="47"/>
      <c r="LQ43" s="47"/>
      <c r="LR43" s="47"/>
      <c r="LS43" s="47"/>
      <c r="LT43" s="47"/>
      <c r="LU43" s="47"/>
      <c r="LV43" s="47"/>
      <c r="LW43" s="47"/>
      <c r="LX43" s="47"/>
      <c r="LY43" s="47"/>
      <c r="LZ43" s="47"/>
      <c r="MA43" s="47"/>
      <c r="MB43" s="47"/>
      <c r="MC43" s="47"/>
      <c r="MD43" s="47"/>
      <c r="ME43" s="47"/>
      <c r="MF43" s="47"/>
      <c r="MG43" s="47"/>
      <c r="MH43" s="47"/>
      <c r="MI43" s="47"/>
      <c r="MJ43" s="47"/>
      <c r="MK43" s="47"/>
      <c r="ML43" s="47"/>
      <c r="MM43" s="47"/>
      <c r="MN43" s="47"/>
      <c r="MO43" s="47"/>
      <c r="MP43" s="47"/>
      <c r="MQ43" s="47"/>
      <c r="MR43" s="47"/>
      <c r="MS43" s="47"/>
      <c r="MT43" s="47"/>
      <c r="MU43" s="47"/>
      <c r="MV43" s="47"/>
      <c r="MW43" s="47"/>
      <c r="MX43" s="47"/>
      <c r="MY43" s="47"/>
      <c r="MZ43" s="47"/>
      <c r="NA43" s="47"/>
      <c r="NB43" s="47"/>
      <c r="NC43" s="47"/>
      <c r="ND43" s="47"/>
      <c r="NE43" s="47"/>
      <c r="NF43" s="47"/>
      <c r="NG43" s="47"/>
      <c r="NH43" s="47"/>
      <c r="NI43" s="47"/>
      <c r="NJ43" s="47"/>
      <c r="NK43" s="47"/>
      <c r="NL43" s="47"/>
      <c r="NM43" s="47"/>
      <c r="NN43" s="47"/>
      <c r="NO43" s="47"/>
      <c r="NP43" s="47"/>
      <c r="NQ43" s="47"/>
      <c r="NR43" s="47"/>
      <c r="NS43" s="47"/>
      <c r="NT43" s="47"/>
      <c r="NU43" s="47"/>
      <c r="NV43" s="47"/>
      <c r="NW43" s="47"/>
      <c r="NX43" s="47"/>
      <c r="NY43" s="47"/>
      <c r="NZ43" s="47"/>
      <c r="OA43" s="47"/>
      <c r="OB43" s="47"/>
      <c r="OC43" s="47"/>
      <c r="OD43" s="47"/>
      <c r="OE43" s="48"/>
    </row>
    <row r="44" spans="1:395">
      <c r="A44" s="33" t="str">
        <f t="shared" si="18"/>
        <v/>
      </c>
      <c r="C44" s="2" t="str">
        <f>IF(ISBLANK($B44),"",_xlfn.XLOOKUP($B44,Task_No,Project!$C$3:$C$144,"INVALID TASK"))</f>
        <v/>
      </c>
      <c r="D44" s="27"/>
      <c r="E44" s="7" t="str">
        <f t="shared" si="19"/>
        <v/>
      </c>
      <c r="F44" s="7" t="str">
        <f t="shared" si="17"/>
        <v/>
      </c>
      <c r="G44" s="34"/>
      <c r="H44" s="34" t="str" cm="1">
        <f t="array" ref="H44">IF($C44="","",SUMPRODUCT((TEXT($AE$5:$OE$5, "mmm")=LOWER(G$3))*$AE44:$OE44))</f>
        <v/>
      </c>
      <c r="I44" s="34"/>
      <c r="J44" s="34" t="str" cm="1">
        <f t="array" ref="J44">IF($C44="","",SUMPRODUCT((TEXT($AE$5:$OE$5, "mmm")=LOWER(I$3))*$AE44:$OE44))</f>
        <v/>
      </c>
      <c r="K44" s="34"/>
      <c r="L44" s="34" t="str" cm="1">
        <f t="array" ref="L44">IF($C44="","",SUMPRODUCT((TEXT($AE$5:$OE$5, "mmm")=LOWER(K$3))*$AE44:$OE44))</f>
        <v/>
      </c>
      <c r="M44" s="34"/>
      <c r="N44" s="34" t="str" cm="1">
        <f t="array" ref="N44">IF($C44="","",SUMPRODUCT((TEXT($AE$5:$OE$5, "mmm")=LOWER(M$3))*$AE44:$OE44))</f>
        <v/>
      </c>
      <c r="O44" s="34"/>
      <c r="P44" s="34" t="str" cm="1">
        <f t="array" ref="P44">IF($C44="","",SUMPRODUCT((TEXT($AE$5:$OE$5, "mmm")=LOWER(O$3))*$AE44:$OE44))</f>
        <v/>
      </c>
      <c r="Q44" s="34"/>
      <c r="R44" s="34" t="str" cm="1">
        <f t="array" ref="R44">IF($C44="","",SUMPRODUCT((TEXT($AE$5:$OE$5, "mmm")=LOWER(Q$3))*$AE44:$OE44))</f>
        <v/>
      </c>
      <c r="S44" s="34"/>
      <c r="T44" s="34" t="str" cm="1">
        <f t="array" ref="T44">IF($C44="","",SUMPRODUCT((TEXT($AE$5:$OE$5, "mmm")=LOWER(S$3))*$AE44:$OE44))</f>
        <v/>
      </c>
      <c r="U44" s="34"/>
      <c r="V44" s="34" t="str" cm="1">
        <f t="array" ref="V44">IF($C44="","",SUMPRODUCT((TEXT($AE$5:$OE$5, "mmm")=LOWER(U$3))*$AE44:$OE44))</f>
        <v/>
      </c>
      <c r="W44" s="34"/>
      <c r="X44" s="34" t="str" cm="1">
        <f t="array" ref="X44">IF($C44="","",SUMPRODUCT((TEXT($AE$5:$OE$5, "mmm")=LOWER(W$3))*$AE44:$OE44))</f>
        <v/>
      </c>
      <c r="Y44" s="34"/>
      <c r="Z44" s="34" t="str" cm="1">
        <f t="array" ref="Z44">IF($C44="","",SUMPRODUCT((TEXT($AE$5:$OE$5, "mmm")=LOWER(Y$3))*$AE44:$OE44))</f>
        <v/>
      </c>
      <c r="AA44" s="34"/>
      <c r="AB44" s="34" t="str" cm="1">
        <f t="array" ref="AB44">IF($C44="","",SUMPRODUCT((TEXT($AE$5:$OE$5, "mmm")=LOWER(AA$3))*$AE44:$OE44))</f>
        <v/>
      </c>
      <c r="AC44" s="34"/>
      <c r="AD44" s="34" t="str" cm="1">
        <f t="array" ref="AD44">IF($C44="","",SUMPRODUCT((TEXT($AE$5:$OE$5, "mmm")=LOWER(AC$3))*$AE44:$OE44))</f>
        <v/>
      </c>
      <c r="AE44" s="47"/>
      <c r="AF44" s="47"/>
      <c r="AG44" s="47"/>
      <c r="AH44" s="47"/>
      <c r="AI44" s="47"/>
      <c r="AJ44" s="47"/>
      <c r="AK44" s="47"/>
      <c r="AL44" s="47"/>
      <c r="AM44" s="47"/>
      <c r="AN44" s="47"/>
      <c r="AO44" s="47"/>
      <c r="AP44" s="47"/>
      <c r="AQ44" s="47"/>
      <c r="AR44" s="47"/>
      <c r="AS44" s="47"/>
      <c r="AT44" s="47"/>
      <c r="AU44" s="47"/>
      <c r="AV44" s="47"/>
      <c r="AW44" s="47"/>
      <c r="AX44" s="47"/>
      <c r="AY44" s="47"/>
      <c r="AZ44" s="47"/>
      <c r="BA44" s="47"/>
      <c r="BB44" s="47"/>
      <c r="BC44" s="47"/>
      <c r="BD44" s="47"/>
      <c r="BE44" s="47"/>
      <c r="BF44" s="47"/>
      <c r="BG44" s="47"/>
      <c r="BH44" s="47"/>
      <c r="BI44" s="47"/>
      <c r="BJ44" s="47"/>
      <c r="BK44" s="47"/>
      <c r="BL44" s="47"/>
      <c r="BM44" s="47"/>
      <c r="BN44" s="47"/>
      <c r="BO44" s="47"/>
      <c r="BP44" s="47"/>
      <c r="BQ44" s="47"/>
      <c r="BR44" s="47"/>
      <c r="BS44" s="47"/>
      <c r="BT44" s="47"/>
      <c r="BU44" s="47"/>
      <c r="BV44" s="47"/>
      <c r="BW44" s="47"/>
      <c r="BX44" s="47"/>
      <c r="BY44" s="47"/>
      <c r="BZ44" s="47"/>
      <c r="CA44" s="47"/>
      <c r="CB44" s="47"/>
      <c r="CC44" s="47"/>
      <c r="CD44" s="47"/>
      <c r="CE44" s="47"/>
      <c r="CF44" s="47"/>
      <c r="CG44" s="47"/>
      <c r="CH44" s="47"/>
      <c r="CI44" s="47"/>
      <c r="CJ44" s="47"/>
      <c r="CK44" s="47"/>
      <c r="CL44" s="47"/>
      <c r="CM44" s="47"/>
      <c r="CN44" s="47"/>
      <c r="CO44" s="47"/>
      <c r="CP44" s="47"/>
      <c r="CQ44" s="47"/>
      <c r="CR44" s="47"/>
      <c r="CS44" s="47"/>
      <c r="CT44" s="47"/>
      <c r="CU44" s="47"/>
      <c r="CV44" s="47"/>
      <c r="CW44" s="47"/>
      <c r="CX44" s="47"/>
      <c r="CY44" s="47"/>
      <c r="CZ44" s="47"/>
      <c r="DA44" s="47"/>
      <c r="DB44" s="47"/>
      <c r="DC44" s="47"/>
      <c r="DD44" s="47"/>
      <c r="DE44" s="47"/>
      <c r="DF44" s="47"/>
      <c r="DG44" s="47"/>
      <c r="DH44" s="47"/>
      <c r="DI44" s="47"/>
      <c r="DJ44" s="47"/>
      <c r="DK44" s="47"/>
      <c r="DL44" s="47"/>
      <c r="DM44" s="47"/>
      <c r="DN44" s="47"/>
      <c r="DO44" s="47"/>
      <c r="DP44" s="47"/>
      <c r="DQ44" s="47"/>
      <c r="DR44" s="47"/>
      <c r="DS44" s="47"/>
      <c r="DT44" s="47"/>
      <c r="DU44" s="47"/>
      <c r="DV44" s="47"/>
      <c r="DW44" s="47"/>
      <c r="DX44" s="47"/>
      <c r="DY44" s="47"/>
      <c r="DZ44" s="47"/>
      <c r="EA44" s="47"/>
      <c r="EB44" s="47"/>
      <c r="EC44" s="47"/>
      <c r="ED44" s="47"/>
      <c r="EE44" s="47"/>
      <c r="EF44" s="47"/>
      <c r="EG44" s="47"/>
      <c r="EH44" s="47"/>
      <c r="EI44" s="47"/>
      <c r="EJ44" s="47"/>
      <c r="EK44" s="47"/>
      <c r="EL44" s="47"/>
      <c r="EM44" s="47"/>
      <c r="EN44" s="47"/>
      <c r="EO44" s="47"/>
      <c r="EP44" s="47"/>
      <c r="EQ44" s="47"/>
      <c r="ER44" s="47"/>
      <c r="ES44" s="47"/>
      <c r="ET44" s="47"/>
      <c r="EU44" s="47"/>
      <c r="EV44" s="47"/>
      <c r="EW44" s="47"/>
      <c r="EX44" s="47"/>
      <c r="EY44" s="47"/>
      <c r="EZ44" s="47"/>
      <c r="FA44" s="47"/>
      <c r="FB44" s="47"/>
      <c r="FC44" s="47"/>
      <c r="FD44" s="47"/>
      <c r="FE44" s="47"/>
      <c r="FF44" s="47"/>
      <c r="FG44" s="47"/>
      <c r="FH44" s="47"/>
      <c r="FI44" s="47"/>
      <c r="FJ44" s="47"/>
      <c r="FK44" s="47"/>
      <c r="FL44" s="47"/>
      <c r="FM44" s="47"/>
      <c r="FN44" s="47"/>
      <c r="FO44" s="47"/>
      <c r="FP44" s="47"/>
      <c r="FQ44" s="47"/>
      <c r="FR44" s="47"/>
      <c r="FS44" s="47"/>
      <c r="FT44" s="47"/>
      <c r="FU44" s="47"/>
      <c r="FV44" s="47"/>
      <c r="FW44" s="47"/>
      <c r="FX44" s="47"/>
      <c r="FY44" s="47"/>
      <c r="FZ44" s="47"/>
      <c r="GA44" s="47"/>
      <c r="GB44" s="47"/>
      <c r="GC44" s="47"/>
      <c r="GD44" s="47"/>
      <c r="GE44" s="47"/>
      <c r="GF44" s="47"/>
      <c r="GG44" s="47"/>
      <c r="GH44" s="47"/>
      <c r="GI44" s="47"/>
      <c r="GJ44" s="47"/>
      <c r="GK44" s="47"/>
      <c r="GL44" s="47"/>
      <c r="GM44" s="47"/>
      <c r="GN44" s="47"/>
      <c r="GO44" s="47"/>
      <c r="GP44" s="47"/>
      <c r="GQ44" s="47"/>
      <c r="GR44" s="47"/>
      <c r="GS44" s="47"/>
      <c r="GT44" s="47"/>
      <c r="GU44" s="47"/>
      <c r="GV44" s="47"/>
      <c r="GW44" s="47"/>
      <c r="GX44" s="47"/>
      <c r="GY44" s="47"/>
      <c r="GZ44" s="47"/>
      <c r="HA44" s="47"/>
      <c r="HB44" s="47"/>
      <c r="HC44" s="47"/>
      <c r="HD44" s="47"/>
      <c r="HE44" s="47"/>
      <c r="HF44" s="47"/>
      <c r="HG44" s="47"/>
      <c r="HH44" s="47"/>
      <c r="HI44" s="47"/>
      <c r="HJ44" s="47"/>
      <c r="HK44" s="47"/>
      <c r="HL44" s="47"/>
      <c r="HM44" s="47"/>
      <c r="HN44" s="47"/>
      <c r="HO44" s="47"/>
      <c r="HP44" s="47"/>
      <c r="HQ44" s="47"/>
      <c r="HR44" s="47"/>
      <c r="HS44" s="47"/>
      <c r="HT44" s="47"/>
      <c r="HU44" s="47"/>
      <c r="HV44" s="47"/>
      <c r="HW44" s="47"/>
      <c r="HX44" s="47"/>
      <c r="HY44" s="47"/>
      <c r="HZ44" s="47"/>
      <c r="IA44" s="47"/>
      <c r="IB44" s="47"/>
      <c r="IC44" s="47"/>
      <c r="ID44" s="47"/>
      <c r="IE44" s="47"/>
      <c r="IF44" s="47"/>
      <c r="IG44" s="47"/>
      <c r="IH44" s="47"/>
      <c r="II44" s="47"/>
      <c r="IJ44" s="47"/>
      <c r="IK44" s="47"/>
      <c r="IL44" s="47"/>
      <c r="IM44" s="47"/>
      <c r="IN44" s="47"/>
      <c r="IO44" s="47"/>
      <c r="IP44" s="47"/>
      <c r="IQ44" s="47"/>
      <c r="IR44" s="47"/>
      <c r="IS44" s="47"/>
      <c r="IT44" s="47"/>
      <c r="IU44" s="47"/>
      <c r="IV44" s="47"/>
      <c r="IW44" s="47"/>
      <c r="IX44" s="47"/>
      <c r="IY44" s="47"/>
      <c r="IZ44" s="47"/>
      <c r="JA44" s="47"/>
      <c r="JB44" s="47"/>
      <c r="JC44" s="47"/>
      <c r="JD44" s="47"/>
      <c r="JE44" s="47"/>
      <c r="JF44" s="47"/>
      <c r="JG44" s="47"/>
      <c r="JH44" s="47"/>
      <c r="JI44" s="47"/>
      <c r="JJ44" s="47"/>
      <c r="JK44" s="47"/>
      <c r="JL44" s="47"/>
      <c r="JM44" s="47"/>
      <c r="JN44" s="47"/>
      <c r="JO44" s="47"/>
      <c r="JP44" s="47"/>
      <c r="JQ44" s="47"/>
      <c r="JR44" s="47"/>
      <c r="JS44" s="47"/>
      <c r="JT44" s="47"/>
      <c r="JU44" s="47"/>
      <c r="JV44" s="47"/>
      <c r="JW44" s="47"/>
      <c r="JX44" s="47"/>
      <c r="JY44" s="47"/>
      <c r="JZ44" s="47"/>
      <c r="KA44" s="47"/>
      <c r="KB44" s="47"/>
      <c r="KC44" s="47"/>
      <c r="KD44" s="47"/>
      <c r="KE44" s="47"/>
      <c r="KF44" s="47"/>
      <c r="KG44" s="47"/>
      <c r="KH44" s="47"/>
      <c r="KI44" s="47"/>
      <c r="KJ44" s="47"/>
      <c r="KK44" s="47"/>
      <c r="KL44" s="47"/>
      <c r="KM44" s="47"/>
      <c r="KN44" s="47"/>
      <c r="KO44" s="47"/>
      <c r="KP44" s="47"/>
      <c r="KQ44" s="47"/>
      <c r="KR44" s="47"/>
      <c r="KS44" s="47"/>
      <c r="KT44" s="47"/>
      <c r="KU44" s="47"/>
      <c r="KV44" s="47"/>
      <c r="KW44" s="47"/>
      <c r="KX44" s="47"/>
      <c r="KY44" s="47"/>
      <c r="KZ44" s="47"/>
      <c r="LA44" s="47"/>
      <c r="LB44" s="47"/>
      <c r="LC44" s="47"/>
      <c r="LD44" s="47"/>
      <c r="LE44" s="47"/>
      <c r="LF44" s="47"/>
      <c r="LG44" s="47"/>
      <c r="LH44" s="47"/>
      <c r="LI44" s="47"/>
      <c r="LJ44" s="47"/>
      <c r="LK44" s="47"/>
      <c r="LL44" s="47"/>
      <c r="LM44" s="47"/>
      <c r="LN44" s="47"/>
      <c r="LO44" s="47"/>
      <c r="LP44" s="47"/>
      <c r="LQ44" s="47"/>
      <c r="LR44" s="47"/>
      <c r="LS44" s="47"/>
      <c r="LT44" s="47"/>
      <c r="LU44" s="47"/>
      <c r="LV44" s="47"/>
      <c r="LW44" s="47"/>
      <c r="LX44" s="47"/>
      <c r="LY44" s="47"/>
      <c r="LZ44" s="47"/>
      <c r="MA44" s="47"/>
      <c r="MB44" s="47"/>
      <c r="MC44" s="47"/>
      <c r="MD44" s="47"/>
      <c r="ME44" s="47"/>
      <c r="MF44" s="47"/>
      <c r="MG44" s="47"/>
      <c r="MH44" s="47"/>
      <c r="MI44" s="47"/>
      <c r="MJ44" s="47"/>
      <c r="MK44" s="47"/>
      <c r="ML44" s="47"/>
      <c r="MM44" s="47"/>
      <c r="MN44" s="47"/>
      <c r="MO44" s="47"/>
      <c r="MP44" s="47"/>
      <c r="MQ44" s="47"/>
      <c r="MR44" s="47"/>
      <c r="MS44" s="47"/>
      <c r="MT44" s="47"/>
      <c r="MU44" s="47"/>
      <c r="MV44" s="47"/>
      <c r="MW44" s="47"/>
      <c r="MX44" s="47"/>
      <c r="MY44" s="47"/>
      <c r="MZ44" s="47"/>
      <c r="NA44" s="47"/>
      <c r="NB44" s="47"/>
      <c r="NC44" s="47"/>
      <c r="ND44" s="47"/>
      <c r="NE44" s="47"/>
      <c r="NF44" s="47"/>
      <c r="NG44" s="47"/>
      <c r="NH44" s="47"/>
      <c r="NI44" s="47"/>
      <c r="NJ44" s="47"/>
      <c r="NK44" s="47"/>
      <c r="NL44" s="47"/>
      <c r="NM44" s="47"/>
      <c r="NN44" s="47"/>
      <c r="NO44" s="47"/>
      <c r="NP44" s="47"/>
      <c r="NQ44" s="47"/>
      <c r="NR44" s="47"/>
      <c r="NS44" s="47"/>
      <c r="NT44" s="47"/>
      <c r="NU44" s="47"/>
      <c r="NV44" s="47"/>
      <c r="NW44" s="47"/>
      <c r="NX44" s="47"/>
      <c r="NY44" s="47"/>
      <c r="NZ44" s="47"/>
      <c r="OA44" s="47"/>
      <c r="OB44" s="47"/>
      <c r="OC44" s="47"/>
      <c r="OD44" s="47"/>
      <c r="OE44" s="48"/>
    </row>
    <row r="45" spans="1:395">
      <c r="A45" s="33" t="str">
        <f t="shared" si="18"/>
        <v/>
      </c>
      <c r="C45" s="2" t="str">
        <f>IF(ISBLANK($B45),"",_xlfn.XLOOKUP($B45,Task_No,Project!$C$3:$C$144,"INVALID TASK"))</f>
        <v/>
      </c>
      <c r="D45" s="27"/>
      <c r="E45" s="7" t="str">
        <f t="shared" si="19"/>
        <v/>
      </c>
      <c r="F45" s="7" t="str">
        <f t="shared" si="17"/>
        <v/>
      </c>
      <c r="G45" s="34"/>
      <c r="H45" s="34" t="str" cm="1">
        <f t="array" ref="H45">IF($C45="","",SUMPRODUCT((TEXT($AE$5:$OE$5, "mmm")=LOWER(G$3))*$AE45:$OE45))</f>
        <v/>
      </c>
      <c r="I45" s="34"/>
      <c r="J45" s="34" t="str" cm="1">
        <f t="array" ref="J45">IF($C45="","",SUMPRODUCT((TEXT($AE$5:$OE$5, "mmm")=LOWER(I$3))*$AE45:$OE45))</f>
        <v/>
      </c>
      <c r="K45" s="34"/>
      <c r="L45" s="34" t="str" cm="1">
        <f t="array" ref="L45">IF($C45="","",SUMPRODUCT((TEXT($AE$5:$OE$5, "mmm")=LOWER(K$3))*$AE45:$OE45))</f>
        <v/>
      </c>
      <c r="M45" s="34"/>
      <c r="N45" s="34" t="str" cm="1">
        <f t="array" ref="N45">IF($C45="","",SUMPRODUCT((TEXT($AE$5:$OE$5, "mmm")=LOWER(M$3))*$AE45:$OE45))</f>
        <v/>
      </c>
      <c r="O45" s="34"/>
      <c r="P45" s="34" t="str" cm="1">
        <f t="array" ref="P45">IF($C45="","",SUMPRODUCT((TEXT($AE$5:$OE$5, "mmm")=LOWER(O$3))*$AE45:$OE45))</f>
        <v/>
      </c>
      <c r="Q45" s="34"/>
      <c r="R45" s="34" t="str" cm="1">
        <f t="array" ref="R45">IF($C45="","",SUMPRODUCT((TEXT($AE$5:$OE$5, "mmm")=LOWER(Q$3))*$AE45:$OE45))</f>
        <v/>
      </c>
      <c r="S45" s="34"/>
      <c r="T45" s="34" t="str" cm="1">
        <f t="array" ref="T45">IF($C45="","",SUMPRODUCT((TEXT($AE$5:$OE$5, "mmm")=LOWER(S$3))*$AE45:$OE45))</f>
        <v/>
      </c>
      <c r="U45" s="34"/>
      <c r="V45" s="34" t="str" cm="1">
        <f t="array" ref="V45">IF($C45="","",SUMPRODUCT((TEXT($AE$5:$OE$5, "mmm")=LOWER(U$3))*$AE45:$OE45))</f>
        <v/>
      </c>
      <c r="W45" s="34"/>
      <c r="X45" s="34" t="str" cm="1">
        <f t="array" ref="X45">IF($C45="","",SUMPRODUCT((TEXT($AE$5:$OE$5, "mmm")=LOWER(W$3))*$AE45:$OE45))</f>
        <v/>
      </c>
      <c r="Y45" s="34"/>
      <c r="Z45" s="34" t="str" cm="1">
        <f t="array" ref="Z45">IF($C45="","",SUMPRODUCT((TEXT($AE$5:$OE$5, "mmm")=LOWER(Y$3))*$AE45:$OE45))</f>
        <v/>
      </c>
      <c r="AA45" s="34"/>
      <c r="AB45" s="34" t="str" cm="1">
        <f t="array" ref="AB45">IF($C45="","",SUMPRODUCT((TEXT($AE$5:$OE$5, "mmm")=LOWER(AA$3))*$AE45:$OE45))</f>
        <v/>
      </c>
      <c r="AC45" s="34"/>
      <c r="AD45" s="34" t="str" cm="1">
        <f t="array" ref="AD45">IF($C45="","",SUMPRODUCT((TEXT($AE$5:$OE$5, "mmm")=LOWER(AC$3))*$AE45:$OE45))</f>
        <v/>
      </c>
      <c r="AE45" s="47"/>
      <c r="AF45" s="47"/>
      <c r="AG45" s="47"/>
      <c r="AH45" s="47"/>
      <c r="AI45" s="47"/>
      <c r="AJ45" s="47"/>
      <c r="AK45" s="47"/>
      <c r="AL45" s="47"/>
      <c r="AM45" s="47"/>
      <c r="AN45" s="47"/>
      <c r="AO45" s="47"/>
      <c r="AP45" s="47"/>
      <c r="AQ45" s="47"/>
      <c r="AR45" s="47"/>
      <c r="AS45" s="47"/>
      <c r="AT45" s="47"/>
      <c r="AU45" s="47"/>
      <c r="AV45" s="47"/>
      <c r="AW45" s="47"/>
      <c r="AX45" s="47"/>
      <c r="AY45" s="47"/>
      <c r="AZ45" s="47"/>
      <c r="BA45" s="47"/>
      <c r="BB45" s="47"/>
      <c r="BC45" s="47"/>
      <c r="BD45" s="47"/>
      <c r="BE45" s="47"/>
      <c r="BF45" s="47"/>
      <c r="BG45" s="47"/>
      <c r="BH45" s="47"/>
      <c r="BI45" s="47"/>
      <c r="BJ45" s="47"/>
      <c r="BK45" s="47"/>
      <c r="BL45" s="47"/>
      <c r="BM45" s="47"/>
      <c r="BN45" s="47"/>
      <c r="BO45" s="47"/>
      <c r="BP45" s="47"/>
      <c r="BQ45" s="47"/>
      <c r="BR45" s="47"/>
      <c r="BS45" s="47"/>
      <c r="BT45" s="47"/>
      <c r="BU45" s="47"/>
      <c r="BV45" s="47"/>
      <c r="BW45" s="47"/>
      <c r="BX45" s="47"/>
      <c r="BY45" s="47"/>
      <c r="BZ45" s="47"/>
      <c r="CA45" s="47"/>
      <c r="CB45" s="47"/>
      <c r="CC45" s="47"/>
      <c r="CD45" s="47"/>
      <c r="CE45" s="47"/>
      <c r="CF45" s="47"/>
      <c r="CG45" s="47"/>
      <c r="CH45" s="47"/>
      <c r="CI45" s="47"/>
      <c r="CJ45" s="47"/>
      <c r="CK45" s="47"/>
      <c r="CL45" s="47"/>
      <c r="CM45" s="47"/>
      <c r="CN45" s="47"/>
      <c r="CO45" s="47"/>
      <c r="CP45" s="47"/>
      <c r="CQ45" s="47"/>
      <c r="CR45" s="47"/>
      <c r="CS45" s="47"/>
      <c r="CT45" s="47"/>
      <c r="CU45" s="47"/>
      <c r="CV45" s="47"/>
      <c r="CW45" s="47"/>
      <c r="CX45" s="47"/>
      <c r="CY45" s="47"/>
      <c r="CZ45" s="47"/>
      <c r="DA45" s="47"/>
      <c r="DB45" s="47"/>
      <c r="DC45" s="47"/>
      <c r="DD45" s="47"/>
      <c r="DE45" s="47"/>
      <c r="DF45" s="47"/>
      <c r="DG45" s="47"/>
      <c r="DH45" s="47"/>
      <c r="DI45" s="47"/>
      <c r="DJ45" s="47"/>
      <c r="DK45" s="47"/>
      <c r="DL45" s="47"/>
      <c r="DM45" s="47"/>
      <c r="DN45" s="47"/>
      <c r="DO45" s="47"/>
      <c r="DP45" s="47"/>
      <c r="DQ45" s="47"/>
      <c r="DR45" s="47"/>
      <c r="DS45" s="47"/>
      <c r="DT45" s="47"/>
      <c r="DU45" s="47"/>
      <c r="DV45" s="47"/>
      <c r="DW45" s="47"/>
      <c r="DX45" s="47"/>
      <c r="DY45" s="47"/>
      <c r="DZ45" s="47"/>
      <c r="EA45" s="47"/>
      <c r="EB45" s="47"/>
      <c r="EC45" s="47"/>
      <c r="ED45" s="47"/>
      <c r="EE45" s="47"/>
      <c r="EF45" s="47"/>
      <c r="EG45" s="47"/>
      <c r="EH45" s="47"/>
      <c r="EI45" s="47"/>
      <c r="EJ45" s="47"/>
      <c r="EK45" s="47"/>
      <c r="EL45" s="47"/>
      <c r="EM45" s="47"/>
      <c r="EN45" s="47"/>
      <c r="EO45" s="47"/>
      <c r="EP45" s="47"/>
      <c r="EQ45" s="47"/>
      <c r="ER45" s="47"/>
      <c r="ES45" s="47"/>
      <c r="ET45" s="47"/>
      <c r="EU45" s="47"/>
      <c r="EV45" s="47"/>
      <c r="EW45" s="47"/>
      <c r="EX45" s="47"/>
      <c r="EY45" s="47"/>
      <c r="EZ45" s="47"/>
      <c r="FA45" s="47"/>
      <c r="FB45" s="47"/>
      <c r="FC45" s="47"/>
      <c r="FD45" s="47"/>
      <c r="FE45" s="47"/>
      <c r="FF45" s="47"/>
      <c r="FG45" s="47"/>
      <c r="FH45" s="47"/>
      <c r="FI45" s="47"/>
      <c r="FJ45" s="47"/>
      <c r="FK45" s="47"/>
      <c r="FL45" s="47"/>
      <c r="FM45" s="47"/>
      <c r="FN45" s="47"/>
      <c r="FO45" s="47"/>
      <c r="FP45" s="47"/>
      <c r="FQ45" s="47"/>
      <c r="FR45" s="47"/>
      <c r="FS45" s="47"/>
      <c r="FT45" s="47"/>
      <c r="FU45" s="47"/>
      <c r="FV45" s="47"/>
      <c r="FW45" s="47"/>
      <c r="FX45" s="47"/>
      <c r="FY45" s="47"/>
      <c r="FZ45" s="47"/>
      <c r="GA45" s="47"/>
      <c r="GB45" s="47"/>
      <c r="GC45" s="47"/>
      <c r="GD45" s="47"/>
      <c r="GE45" s="47"/>
      <c r="GF45" s="47"/>
      <c r="GG45" s="47"/>
      <c r="GH45" s="47"/>
      <c r="GI45" s="47"/>
      <c r="GJ45" s="47"/>
      <c r="GK45" s="47"/>
      <c r="GL45" s="47"/>
      <c r="GM45" s="47"/>
      <c r="GN45" s="47"/>
      <c r="GO45" s="47"/>
      <c r="GP45" s="47"/>
      <c r="GQ45" s="47"/>
      <c r="GR45" s="47"/>
      <c r="GS45" s="47"/>
      <c r="GT45" s="47"/>
      <c r="GU45" s="47"/>
      <c r="GV45" s="47"/>
      <c r="GW45" s="47"/>
      <c r="GX45" s="47"/>
      <c r="GY45" s="47"/>
      <c r="GZ45" s="47"/>
      <c r="HA45" s="47"/>
      <c r="HB45" s="47"/>
      <c r="HC45" s="47"/>
      <c r="HD45" s="47"/>
      <c r="HE45" s="47"/>
      <c r="HF45" s="47"/>
      <c r="HG45" s="47"/>
      <c r="HH45" s="47"/>
      <c r="HI45" s="47"/>
      <c r="HJ45" s="47"/>
      <c r="HK45" s="47"/>
      <c r="HL45" s="47"/>
      <c r="HM45" s="47"/>
      <c r="HN45" s="47"/>
      <c r="HO45" s="47"/>
      <c r="HP45" s="47"/>
      <c r="HQ45" s="47"/>
      <c r="HR45" s="47"/>
      <c r="HS45" s="47"/>
      <c r="HT45" s="47"/>
      <c r="HU45" s="47"/>
      <c r="HV45" s="47"/>
      <c r="HW45" s="47"/>
      <c r="HX45" s="47"/>
      <c r="HY45" s="47"/>
      <c r="HZ45" s="47"/>
      <c r="IA45" s="47"/>
      <c r="IB45" s="47"/>
      <c r="IC45" s="47"/>
      <c r="ID45" s="47"/>
      <c r="IE45" s="47"/>
      <c r="IF45" s="47"/>
      <c r="IG45" s="47"/>
      <c r="IH45" s="47"/>
      <c r="II45" s="47"/>
      <c r="IJ45" s="47"/>
      <c r="IK45" s="47"/>
      <c r="IL45" s="47"/>
      <c r="IM45" s="47"/>
      <c r="IN45" s="47"/>
      <c r="IO45" s="47"/>
      <c r="IP45" s="47"/>
      <c r="IQ45" s="47"/>
      <c r="IR45" s="47"/>
      <c r="IS45" s="47"/>
      <c r="IT45" s="47"/>
      <c r="IU45" s="47"/>
      <c r="IV45" s="47"/>
      <c r="IW45" s="47"/>
      <c r="IX45" s="47"/>
      <c r="IY45" s="47"/>
      <c r="IZ45" s="47"/>
      <c r="JA45" s="47"/>
      <c r="JB45" s="47"/>
      <c r="JC45" s="47"/>
      <c r="JD45" s="47"/>
      <c r="JE45" s="47"/>
      <c r="JF45" s="47"/>
      <c r="JG45" s="47"/>
      <c r="JH45" s="47"/>
      <c r="JI45" s="47"/>
      <c r="JJ45" s="47"/>
      <c r="JK45" s="47"/>
      <c r="JL45" s="47"/>
      <c r="JM45" s="47"/>
      <c r="JN45" s="47"/>
      <c r="JO45" s="47"/>
      <c r="JP45" s="47"/>
      <c r="JQ45" s="47"/>
      <c r="JR45" s="47"/>
      <c r="JS45" s="47"/>
      <c r="JT45" s="47"/>
      <c r="JU45" s="47"/>
      <c r="JV45" s="47"/>
      <c r="JW45" s="47"/>
      <c r="JX45" s="47"/>
      <c r="JY45" s="47"/>
      <c r="JZ45" s="47"/>
      <c r="KA45" s="47"/>
      <c r="KB45" s="47"/>
      <c r="KC45" s="47"/>
      <c r="KD45" s="47"/>
      <c r="KE45" s="47"/>
      <c r="KF45" s="47"/>
      <c r="KG45" s="47"/>
      <c r="KH45" s="47"/>
      <c r="KI45" s="47"/>
      <c r="KJ45" s="47"/>
      <c r="KK45" s="47"/>
      <c r="KL45" s="47"/>
      <c r="KM45" s="47"/>
      <c r="KN45" s="47"/>
      <c r="KO45" s="47"/>
      <c r="KP45" s="47"/>
      <c r="KQ45" s="47"/>
      <c r="KR45" s="47"/>
      <c r="KS45" s="47"/>
      <c r="KT45" s="47"/>
      <c r="KU45" s="47"/>
      <c r="KV45" s="47"/>
      <c r="KW45" s="47"/>
      <c r="KX45" s="47"/>
      <c r="KY45" s="47"/>
      <c r="KZ45" s="47"/>
      <c r="LA45" s="47"/>
      <c r="LB45" s="47"/>
      <c r="LC45" s="47"/>
      <c r="LD45" s="47"/>
      <c r="LE45" s="47"/>
      <c r="LF45" s="47"/>
      <c r="LG45" s="47"/>
      <c r="LH45" s="47"/>
      <c r="LI45" s="47"/>
      <c r="LJ45" s="47"/>
      <c r="LK45" s="47"/>
      <c r="LL45" s="47"/>
      <c r="LM45" s="47"/>
      <c r="LN45" s="47"/>
      <c r="LO45" s="47"/>
      <c r="LP45" s="47"/>
      <c r="LQ45" s="47"/>
      <c r="LR45" s="47"/>
      <c r="LS45" s="47"/>
      <c r="LT45" s="47"/>
      <c r="LU45" s="47"/>
      <c r="LV45" s="47"/>
      <c r="LW45" s="47"/>
      <c r="LX45" s="47"/>
      <c r="LY45" s="47"/>
      <c r="LZ45" s="47"/>
      <c r="MA45" s="47"/>
      <c r="MB45" s="47"/>
      <c r="MC45" s="47"/>
      <c r="MD45" s="47"/>
      <c r="ME45" s="47"/>
      <c r="MF45" s="47"/>
      <c r="MG45" s="47"/>
      <c r="MH45" s="47"/>
      <c r="MI45" s="47"/>
      <c r="MJ45" s="47"/>
      <c r="MK45" s="47"/>
      <c r="ML45" s="47"/>
      <c r="MM45" s="47"/>
      <c r="MN45" s="47"/>
      <c r="MO45" s="47"/>
      <c r="MP45" s="47"/>
      <c r="MQ45" s="47"/>
      <c r="MR45" s="47"/>
      <c r="MS45" s="47"/>
      <c r="MT45" s="47"/>
      <c r="MU45" s="47"/>
      <c r="MV45" s="47"/>
      <c r="MW45" s="47"/>
      <c r="MX45" s="47"/>
      <c r="MY45" s="47"/>
      <c r="MZ45" s="47"/>
      <c r="NA45" s="47"/>
      <c r="NB45" s="47"/>
      <c r="NC45" s="47"/>
      <c r="ND45" s="47"/>
      <c r="NE45" s="47"/>
      <c r="NF45" s="47"/>
      <c r="NG45" s="47"/>
      <c r="NH45" s="47"/>
      <c r="NI45" s="47"/>
      <c r="NJ45" s="47"/>
      <c r="NK45" s="47"/>
      <c r="NL45" s="47"/>
      <c r="NM45" s="47"/>
      <c r="NN45" s="47"/>
      <c r="NO45" s="47"/>
      <c r="NP45" s="47"/>
      <c r="NQ45" s="47"/>
      <c r="NR45" s="47"/>
      <c r="NS45" s="47"/>
      <c r="NT45" s="47"/>
      <c r="NU45" s="47"/>
      <c r="NV45" s="47"/>
      <c r="NW45" s="47"/>
      <c r="NX45" s="47"/>
      <c r="NY45" s="47"/>
      <c r="NZ45" s="47"/>
      <c r="OA45" s="47"/>
      <c r="OB45" s="47"/>
      <c r="OC45" s="47"/>
      <c r="OD45" s="47"/>
      <c r="OE45" s="48"/>
    </row>
    <row r="46" spans="1:395">
      <c r="A46" s="33" t="str">
        <f t="shared" si="18"/>
        <v/>
      </c>
      <c r="C46" s="2" t="str">
        <f>IF(ISBLANK($B46),"",_xlfn.XLOOKUP($B46,Task_No,Project!$C$3:$C$144,"INVALID TASK"))</f>
        <v/>
      </c>
      <c r="D46" s="27"/>
      <c r="E46" s="7" t="str">
        <f t="shared" si="19"/>
        <v/>
      </c>
      <c r="F46" s="7" t="str">
        <f t="shared" si="17"/>
        <v/>
      </c>
      <c r="G46" s="34"/>
      <c r="H46" s="34" t="str" cm="1">
        <f t="array" ref="H46">IF($C46="","",SUMPRODUCT((TEXT($AE$5:$OE$5, "mmm")=LOWER(G$3))*$AE46:$OE46))</f>
        <v/>
      </c>
      <c r="I46" s="34"/>
      <c r="J46" s="34" t="str" cm="1">
        <f t="array" ref="J46">IF($C46="","",SUMPRODUCT((TEXT($AE$5:$OE$5, "mmm")=LOWER(I$3))*$AE46:$OE46))</f>
        <v/>
      </c>
      <c r="K46" s="34"/>
      <c r="L46" s="34" t="str" cm="1">
        <f t="array" ref="L46">IF($C46="","",SUMPRODUCT((TEXT($AE$5:$OE$5, "mmm")=LOWER(K$3))*$AE46:$OE46))</f>
        <v/>
      </c>
      <c r="M46" s="34"/>
      <c r="N46" s="34" t="str" cm="1">
        <f t="array" ref="N46">IF($C46="","",SUMPRODUCT((TEXT($AE$5:$OE$5, "mmm")=LOWER(M$3))*$AE46:$OE46))</f>
        <v/>
      </c>
      <c r="O46" s="34"/>
      <c r="P46" s="34" t="str" cm="1">
        <f t="array" ref="P46">IF($C46="","",SUMPRODUCT((TEXT($AE$5:$OE$5, "mmm")=LOWER(O$3))*$AE46:$OE46))</f>
        <v/>
      </c>
      <c r="Q46" s="34"/>
      <c r="R46" s="34" t="str" cm="1">
        <f t="array" ref="R46">IF($C46="","",SUMPRODUCT((TEXT($AE$5:$OE$5, "mmm")=LOWER(Q$3))*$AE46:$OE46))</f>
        <v/>
      </c>
      <c r="S46" s="34"/>
      <c r="T46" s="34" t="str" cm="1">
        <f t="array" ref="T46">IF($C46="","",SUMPRODUCT((TEXT($AE$5:$OE$5, "mmm")=LOWER(S$3))*$AE46:$OE46))</f>
        <v/>
      </c>
      <c r="U46" s="34"/>
      <c r="V46" s="34" t="str" cm="1">
        <f t="array" ref="V46">IF($C46="","",SUMPRODUCT((TEXT($AE$5:$OE$5, "mmm")=LOWER(U$3))*$AE46:$OE46))</f>
        <v/>
      </c>
      <c r="W46" s="34"/>
      <c r="X46" s="34" t="str" cm="1">
        <f t="array" ref="X46">IF($C46="","",SUMPRODUCT((TEXT($AE$5:$OE$5, "mmm")=LOWER(W$3))*$AE46:$OE46))</f>
        <v/>
      </c>
      <c r="Y46" s="34"/>
      <c r="Z46" s="34" t="str" cm="1">
        <f t="array" ref="Z46">IF($C46="","",SUMPRODUCT((TEXT($AE$5:$OE$5, "mmm")=LOWER(Y$3))*$AE46:$OE46))</f>
        <v/>
      </c>
      <c r="AA46" s="34"/>
      <c r="AB46" s="34" t="str" cm="1">
        <f t="array" ref="AB46">IF($C46="","",SUMPRODUCT((TEXT($AE$5:$OE$5, "mmm")=LOWER(AA$3))*$AE46:$OE46))</f>
        <v/>
      </c>
      <c r="AC46" s="34"/>
      <c r="AD46" s="34" t="str" cm="1">
        <f t="array" ref="AD46">IF($C46="","",SUMPRODUCT((TEXT($AE$5:$OE$5, "mmm")=LOWER(AC$3))*$AE46:$OE46))</f>
        <v/>
      </c>
      <c r="AE46" s="47"/>
      <c r="AF46" s="47"/>
      <c r="AG46" s="47"/>
      <c r="AH46" s="47"/>
      <c r="AI46" s="47"/>
      <c r="AJ46" s="47"/>
      <c r="AK46" s="47"/>
      <c r="AL46" s="47"/>
      <c r="AM46" s="47"/>
      <c r="AN46" s="47"/>
      <c r="AO46" s="47"/>
      <c r="AP46" s="47"/>
      <c r="AQ46" s="47"/>
      <c r="AR46" s="47"/>
      <c r="AS46" s="47"/>
      <c r="AT46" s="47"/>
      <c r="AU46" s="47"/>
      <c r="AV46" s="47"/>
      <c r="AW46" s="47"/>
      <c r="AX46" s="47"/>
      <c r="AY46" s="47"/>
      <c r="AZ46" s="47"/>
      <c r="BA46" s="47"/>
      <c r="BB46" s="47"/>
      <c r="BC46" s="47"/>
      <c r="BD46" s="47"/>
      <c r="BE46" s="47"/>
      <c r="BF46" s="47"/>
      <c r="BG46" s="47"/>
      <c r="BH46" s="47"/>
      <c r="BI46" s="47"/>
      <c r="BJ46" s="47"/>
      <c r="BK46" s="47"/>
      <c r="BL46" s="47"/>
      <c r="BM46" s="47"/>
      <c r="BN46" s="47"/>
      <c r="BO46" s="47"/>
      <c r="BP46" s="47"/>
      <c r="BQ46" s="47"/>
      <c r="BR46" s="47"/>
      <c r="BS46" s="47"/>
      <c r="BT46" s="47"/>
      <c r="BU46" s="47"/>
      <c r="BV46" s="47"/>
      <c r="BW46" s="47"/>
      <c r="BX46" s="47"/>
      <c r="BY46" s="47"/>
      <c r="BZ46" s="47"/>
      <c r="CA46" s="47"/>
      <c r="CB46" s="47"/>
      <c r="CC46" s="47"/>
      <c r="CD46" s="47"/>
      <c r="CE46" s="47"/>
      <c r="CF46" s="47"/>
      <c r="CG46" s="47"/>
      <c r="CH46" s="47"/>
      <c r="CI46" s="47"/>
      <c r="CJ46" s="47"/>
      <c r="CK46" s="47"/>
      <c r="CL46" s="47"/>
      <c r="CM46" s="47"/>
      <c r="CN46" s="47"/>
      <c r="CO46" s="47"/>
      <c r="CP46" s="47"/>
      <c r="CQ46" s="47"/>
      <c r="CR46" s="47"/>
      <c r="CS46" s="47"/>
      <c r="CT46" s="47"/>
      <c r="CU46" s="47"/>
      <c r="CV46" s="47"/>
      <c r="CW46" s="47"/>
      <c r="CX46" s="47"/>
      <c r="CY46" s="47"/>
      <c r="CZ46" s="47"/>
      <c r="DA46" s="47"/>
      <c r="DB46" s="47"/>
      <c r="DC46" s="47"/>
      <c r="DD46" s="47"/>
      <c r="DE46" s="47"/>
      <c r="DF46" s="47"/>
      <c r="DG46" s="47"/>
      <c r="DH46" s="47"/>
      <c r="DI46" s="47"/>
      <c r="DJ46" s="47"/>
      <c r="DK46" s="47"/>
      <c r="DL46" s="47"/>
      <c r="DM46" s="47"/>
      <c r="DN46" s="47"/>
      <c r="DO46" s="47"/>
      <c r="DP46" s="47"/>
      <c r="DQ46" s="47"/>
      <c r="DR46" s="47"/>
      <c r="DS46" s="47"/>
      <c r="DT46" s="47"/>
      <c r="DU46" s="47"/>
      <c r="DV46" s="47"/>
      <c r="DW46" s="47"/>
      <c r="DX46" s="47"/>
      <c r="DY46" s="47"/>
      <c r="DZ46" s="47"/>
      <c r="EA46" s="47"/>
      <c r="EB46" s="47"/>
      <c r="EC46" s="47"/>
      <c r="ED46" s="47"/>
      <c r="EE46" s="47"/>
      <c r="EF46" s="47"/>
      <c r="EG46" s="47"/>
      <c r="EH46" s="47"/>
      <c r="EI46" s="47"/>
      <c r="EJ46" s="47"/>
      <c r="EK46" s="47"/>
      <c r="EL46" s="47"/>
      <c r="EM46" s="47"/>
      <c r="EN46" s="47"/>
      <c r="EO46" s="47"/>
      <c r="EP46" s="47"/>
      <c r="EQ46" s="47"/>
      <c r="ER46" s="47"/>
      <c r="ES46" s="47"/>
      <c r="ET46" s="47"/>
      <c r="EU46" s="47"/>
      <c r="EV46" s="47"/>
      <c r="EW46" s="47"/>
      <c r="EX46" s="47"/>
      <c r="EY46" s="47"/>
      <c r="EZ46" s="47"/>
      <c r="FA46" s="47"/>
      <c r="FB46" s="47"/>
      <c r="FC46" s="47"/>
      <c r="FD46" s="47"/>
      <c r="FE46" s="47"/>
      <c r="FF46" s="47"/>
      <c r="FG46" s="47"/>
      <c r="FH46" s="47"/>
      <c r="FI46" s="47"/>
      <c r="FJ46" s="47"/>
      <c r="FK46" s="47"/>
      <c r="FL46" s="47"/>
      <c r="FM46" s="47"/>
      <c r="FN46" s="47"/>
      <c r="FO46" s="47"/>
      <c r="FP46" s="47"/>
      <c r="FQ46" s="47"/>
      <c r="FR46" s="47"/>
      <c r="FS46" s="47"/>
      <c r="FT46" s="47"/>
      <c r="FU46" s="47"/>
      <c r="FV46" s="47"/>
      <c r="FW46" s="47"/>
      <c r="FX46" s="47"/>
      <c r="FY46" s="47"/>
      <c r="FZ46" s="47"/>
      <c r="GA46" s="47"/>
      <c r="GB46" s="47"/>
      <c r="GC46" s="47"/>
      <c r="GD46" s="47"/>
      <c r="GE46" s="47"/>
      <c r="GF46" s="47"/>
      <c r="GG46" s="47"/>
      <c r="GH46" s="47"/>
      <c r="GI46" s="47"/>
      <c r="GJ46" s="47"/>
      <c r="GK46" s="47"/>
      <c r="GL46" s="47"/>
      <c r="GM46" s="47"/>
      <c r="GN46" s="47"/>
      <c r="GO46" s="47"/>
      <c r="GP46" s="47"/>
      <c r="GQ46" s="47"/>
      <c r="GR46" s="47"/>
      <c r="GS46" s="47"/>
      <c r="GT46" s="47"/>
      <c r="GU46" s="47"/>
      <c r="GV46" s="47"/>
      <c r="GW46" s="47"/>
      <c r="GX46" s="47"/>
      <c r="GY46" s="47"/>
      <c r="GZ46" s="47"/>
      <c r="HA46" s="47"/>
      <c r="HB46" s="47"/>
      <c r="HC46" s="47"/>
      <c r="HD46" s="47"/>
      <c r="HE46" s="47"/>
      <c r="HF46" s="47"/>
      <c r="HG46" s="47"/>
      <c r="HH46" s="47"/>
      <c r="HI46" s="47"/>
      <c r="HJ46" s="47"/>
      <c r="HK46" s="47"/>
      <c r="HL46" s="47"/>
      <c r="HM46" s="47"/>
      <c r="HN46" s="47"/>
      <c r="HO46" s="47"/>
      <c r="HP46" s="47"/>
      <c r="HQ46" s="47"/>
      <c r="HR46" s="47"/>
      <c r="HS46" s="47"/>
      <c r="HT46" s="47"/>
      <c r="HU46" s="47"/>
      <c r="HV46" s="47"/>
      <c r="HW46" s="47"/>
      <c r="HX46" s="47"/>
      <c r="HY46" s="47"/>
      <c r="HZ46" s="47"/>
      <c r="IA46" s="47"/>
      <c r="IB46" s="47"/>
      <c r="IC46" s="47"/>
      <c r="ID46" s="47"/>
      <c r="IE46" s="47"/>
      <c r="IF46" s="47"/>
      <c r="IG46" s="47"/>
      <c r="IH46" s="47"/>
      <c r="II46" s="47"/>
      <c r="IJ46" s="47"/>
      <c r="IK46" s="47"/>
      <c r="IL46" s="47"/>
      <c r="IM46" s="47"/>
      <c r="IN46" s="47"/>
      <c r="IO46" s="47"/>
      <c r="IP46" s="47"/>
      <c r="IQ46" s="47"/>
      <c r="IR46" s="47"/>
      <c r="IS46" s="47"/>
      <c r="IT46" s="47"/>
      <c r="IU46" s="47"/>
      <c r="IV46" s="47"/>
      <c r="IW46" s="47"/>
      <c r="IX46" s="47"/>
      <c r="IY46" s="47"/>
      <c r="IZ46" s="47"/>
      <c r="JA46" s="47"/>
      <c r="JB46" s="47"/>
      <c r="JC46" s="47"/>
      <c r="JD46" s="47"/>
      <c r="JE46" s="47"/>
      <c r="JF46" s="47"/>
      <c r="JG46" s="47"/>
      <c r="JH46" s="47"/>
      <c r="JI46" s="47"/>
      <c r="JJ46" s="47"/>
      <c r="JK46" s="47"/>
      <c r="JL46" s="47"/>
      <c r="JM46" s="47"/>
      <c r="JN46" s="47"/>
      <c r="JO46" s="47"/>
      <c r="JP46" s="47"/>
      <c r="JQ46" s="47"/>
      <c r="JR46" s="47"/>
      <c r="JS46" s="47"/>
      <c r="JT46" s="47"/>
      <c r="JU46" s="47"/>
      <c r="JV46" s="47"/>
      <c r="JW46" s="47"/>
      <c r="JX46" s="47"/>
      <c r="JY46" s="47"/>
      <c r="JZ46" s="47"/>
      <c r="KA46" s="47"/>
      <c r="KB46" s="47"/>
      <c r="KC46" s="47"/>
      <c r="KD46" s="47"/>
      <c r="KE46" s="47"/>
      <c r="KF46" s="47"/>
      <c r="KG46" s="47"/>
      <c r="KH46" s="47"/>
      <c r="KI46" s="47"/>
      <c r="KJ46" s="47"/>
      <c r="KK46" s="47"/>
      <c r="KL46" s="47"/>
      <c r="KM46" s="47"/>
      <c r="KN46" s="47"/>
      <c r="KO46" s="47"/>
      <c r="KP46" s="47"/>
      <c r="KQ46" s="47"/>
      <c r="KR46" s="47"/>
      <c r="KS46" s="47"/>
      <c r="KT46" s="47"/>
      <c r="KU46" s="47"/>
      <c r="KV46" s="47"/>
      <c r="KW46" s="47"/>
      <c r="KX46" s="47"/>
      <c r="KY46" s="47"/>
      <c r="KZ46" s="47"/>
      <c r="LA46" s="47"/>
      <c r="LB46" s="47"/>
      <c r="LC46" s="47"/>
      <c r="LD46" s="47"/>
      <c r="LE46" s="47"/>
      <c r="LF46" s="47"/>
      <c r="LG46" s="47"/>
      <c r="LH46" s="47"/>
      <c r="LI46" s="47"/>
      <c r="LJ46" s="47"/>
      <c r="LK46" s="47"/>
      <c r="LL46" s="47"/>
      <c r="LM46" s="47"/>
      <c r="LN46" s="47"/>
      <c r="LO46" s="47"/>
      <c r="LP46" s="47"/>
      <c r="LQ46" s="47"/>
      <c r="LR46" s="47"/>
      <c r="LS46" s="47"/>
      <c r="LT46" s="47"/>
      <c r="LU46" s="47"/>
      <c r="LV46" s="47"/>
      <c r="LW46" s="47"/>
      <c r="LX46" s="47"/>
      <c r="LY46" s="47"/>
      <c r="LZ46" s="47"/>
      <c r="MA46" s="47"/>
      <c r="MB46" s="47"/>
      <c r="MC46" s="47"/>
      <c r="MD46" s="47"/>
      <c r="ME46" s="47"/>
      <c r="MF46" s="47"/>
      <c r="MG46" s="47"/>
      <c r="MH46" s="47"/>
      <c r="MI46" s="47"/>
      <c r="MJ46" s="47"/>
      <c r="MK46" s="47"/>
      <c r="ML46" s="47"/>
      <c r="MM46" s="47"/>
      <c r="MN46" s="47"/>
      <c r="MO46" s="47"/>
      <c r="MP46" s="47"/>
      <c r="MQ46" s="47"/>
      <c r="MR46" s="47"/>
      <c r="MS46" s="47"/>
      <c r="MT46" s="47"/>
      <c r="MU46" s="47"/>
      <c r="MV46" s="47"/>
      <c r="MW46" s="47"/>
      <c r="MX46" s="47"/>
      <c r="MY46" s="47"/>
      <c r="MZ46" s="47"/>
      <c r="NA46" s="47"/>
      <c r="NB46" s="47"/>
      <c r="NC46" s="47"/>
      <c r="ND46" s="47"/>
      <c r="NE46" s="47"/>
      <c r="NF46" s="47"/>
      <c r="NG46" s="47"/>
      <c r="NH46" s="47"/>
      <c r="NI46" s="47"/>
      <c r="NJ46" s="47"/>
      <c r="NK46" s="47"/>
      <c r="NL46" s="47"/>
      <c r="NM46" s="47"/>
      <c r="NN46" s="47"/>
      <c r="NO46" s="47"/>
      <c r="NP46" s="47"/>
      <c r="NQ46" s="47"/>
      <c r="NR46" s="47"/>
      <c r="NS46" s="47"/>
      <c r="NT46" s="47"/>
      <c r="NU46" s="47"/>
      <c r="NV46" s="47"/>
      <c r="NW46" s="47"/>
      <c r="NX46" s="47"/>
      <c r="NY46" s="47"/>
      <c r="NZ46" s="47"/>
      <c r="OA46" s="47"/>
      <c r="OB46" s="47"/>
      <c r="OC46" s="47"/>
      <c r="OD46" s="47"/>
      <c r="OE46" s="48"/>
    </row>
    <row r="47" spans="1:395">
      <c r="A47" s="35"/>
      <c r="C47" s="2" t="str">
        <f>IF(ISBLANK($B47),"",_xlfn.XLOOKUP($B47,Task_No,Project!$C$3:$C$144,"INVALID TASK"))</f>
        <v/>
      </c>
      <c r="D47" s="27"/>
      <c r="E47" s="7" t="str">
        <f t="shared" si="19"/>
        <v/>
      </c>
      <c r="F47" s="7" t="str">
        <f t="shared" si="17"/>
        <v/>
      </c>
      <c r="G47" s="34"/>
      <c r="H47" s="34" t="str" cm="1">
        <f t="array" ref="H47">IF($C47="","",SUMPRODUCT((TEXT($AE$5:$OE$5, "mmm")=LOWER(G$3))*$AE47:$OE47))</f>
        <v/>
      </c>
      <c r="I47" s="34"/>
      <c r="J47" s="34" t="str" cm="1">
        <f t="array" ref="J47">IF($C47="","",SUMPRODUCT((TEXT($AE$5:$OE$5, "mmm")=LOWER(I$3))*$AE47:$OE47))</f>
        <v/>
      </c>
      <c r="K47" s="34"/>
      <c r="L47" s="34" t="str" cm="1">
        <f t="array" ref="L47">IF($C47="","",SUMPRODUCT((TEXT($AE$5:$OE$5, "mmm")=LOWER(K$3))*$AE47:$OE47))</f>
        <v/>
      </c>
      <c r="M47" s="34"/>
      <c r="N47" s="34" t="str" cm="1">
        <f t="array" ref="N47">IF($C47="","",SUMPRODUCT((TEXT($AE$5:$OE$5, "mmm")=LOWER(M$3))*$AE47:$OE47))</f>
        <v/>
      </c>
      <c r="O47" s="34"/>
      <c r="P47" s="34" t="str" cm="1">
        <f t="array" ref="P47">IF($C47="","",SUMPRODUCT((TEXT($AE$5:$OE$5, "mmm")=LOWER(O$3))*$AE47:$OE47))</f>
        <v/>
      </c>
      <c r="Q47" s="34"/>
      <c r="R47" s="34" t="str" cm="1">
        <f t="array" ref="R47">IF($C47="","",SUMPRODUCT((TEXT($AE$5:$OE$5, "mmm")=LOWER(Q$3))*$AE47:$OE47))</f>
        <v/>
      </c>
      <c r="S47" s="34"/>
      <c r="T47" s="34" t="str" cm="1">
        <f t="array" ref="T47">IF($C47="","",SUMPRODUCT((TEXT($AE$5:$OE$5, "mmm")=LOWER(S$3))*$AE47:$OE47))</f>
        <v/>
      </c>
      <c r="U47" s="34"/>
      <c r="V47" s="34" t="str" cm="1">
        <f t="array" ref="V47">IF($C47="","",SUMPRODUCT((TEXT($AE$5:$OE$5, "mmm")=LOWER(U$3))*$AE47:$OE47))</f>
        <v/>
      </c>
      <c r="W47" s="34"/>
      <c r="X47" s="34" t="str" cm="1">
        <f t="array" ref="X47">IF($C47="","",SUMPRODUCT((TEXT($AE$5:$OE$5, "mmm")=LOWER(W$3))*$AE47:$OE47))</f>
        <v/>
      </c>
      <c r="Y47" s="34"/>
      <c r="Z47" s="34" t="str" cm="1">
        <f t="array" ref="Z47">IF($C47="","",SUMPRODUCT((TEXT($AE$5:$OE$5, "mmm")=LOWER(Y$3))*$AE47:$OE47))</f>
        <v/>
      </c>
      <c r="AA47" s="34"/>
      <c r="AB47" s="34" t="str" cm="1">
        <f t="array" ref="AB47">IF($C47="","",SUMPRODUCT((TEXT($AE$5:$OE$5, "mmm")=LOWER(AA$3))*$AE47:$OE47))</f>
        <v/>
      </c>
      <c r="AC47" s="34"/>
      <c r="AD47" s="34" t="str" cm="1">
        <f t="array" ref="AD47">IF($C47="","",SUMPRODUCT((TEXT($AE$5:$OE$5, "mmm")=LOWER(AC$3))*$AE47:$OE47))</f>
        <v/>
      </c>
      <c r="OE47" s="49"/>
    </row>
    <row r="48" spans="1:395">
      <c r="A48" s="35"/>
      <c r="C48" s="2" t="str">
        <f>IF(ISBLANK($B48),"",_xlfn.XLOOKUP($B48,Task_No,Project!$C$3:$C$144,"INVALID TASK"))</f>
        <v/>
      </c>
      <c r="D48" s="27"/>
      <c r="E48" s="7" t="str">
        <f t="shared" si="19"/>
        <v/>
      </c>
      <c r="F48" s="7" t="str">
        <f t="shared" si="17"/>
        <v/>
      </c>
      <c r="G48" s="34"/>
      <c r="H48" s="34" t="str" cm="1">
        <f t="array" ref="H48">IF($C48="","",SUMPRODUCT((TEXT($AE$5:$OE$5, "mmm")=LOWER(G$3))*$AE48:$OE48))</f>
        <v/>
      </c>
      <c r="I48" s="34"/>
      <c r="J48" s="34" t="str" cm="1">
        <f t="array" ref="J48">IF($C48="","",SUMPRODUCT((TEXT($AE$5:$OE$5, "mmm")=LOWER(I$3))*$AE48:$OE48))</f>
        <v/>
      </c>
      <c r="K48" s="34"/>
      <c r="L48" s="34" t="str" cm="1">
        <f t="array" ref="L48">IF($C48="","",SUMPRODUCT((TEXT($AE$5:$OE$5, "mmm")=LOWER(K$3))*$AE48:$OE48))</f>
        <v/>
      </c>
      <c r="M48" s="34"/>
      <c r="N48" s="34" t="str" cm="1">
        <f t="array" ref="N48">IF($C48="","",SUMPRODUCT((TEXT($AE$5:$OE$5, "mmm")=LOWER(M$3))*$AE48:$OE48))</f>
        <v/>
      </c>
      <c r="O48" s="34"/>
      <c r="P48" s="34" t="str" cm="1">
        <f t="array" ref="P48">IF($C48="","",SUMPRODUCT((TEXT($AE$5:$OE$5, "mmm")=LOWER(O$3))*$AE48:$OE48))</f>
        <v/>
      </c>
      <c r="Q48" s="34"/>
      <c r="R48" s="34" t="str" cm="1">
        <f t="array" ref="R48">IF($C48="","",SUMPRODUCT((TEXT($AE$5:$OE$5, "mmm")=LOWER(Q$3))*$AE48:$OE48))</f>
        <v/>
      </c>
      <c r="S48" s="34"/>
      <c r="T48" s="34" t="str" cm="1">
        <f t="array" ref="T48">IF($C48="","",SUMPRODUCT((TEXT($AE$5:$OE$5, "mmm")=LOWER(S$3))*$AE48:$OE48))</f>
        <v/>
      </c>
      <c r="U48" s="34"/>
      <c r="V48" s="34" t="str" cm="1">
        <f t="array" ref="V48">IF($C48="","",SUMPRODUCT((TEXT($AE$5:$OE$5, "mmm")=LOWER(U$3))*$AE48:$OE48))</f>
        <v/>
      </c>
      <c r="W48" s="34"/>
      <c r="X48" s="34" t="str" cm="1">
        <f t="array" ref="X48">IF($C48="","",SUMPRODUCT((TEXT($AE$5:$OE$5, "mmm")=LOWER(W$3))*$AE48:$OE48))</f>
        <v/>
      </c>
      <c r="Y48" s="34"/>
      <c r="Z48" s="34" t="str" cm="1">
        <f t="array" ref="Z48">IF($C48="","",SUMPRODUCT((TEXT($AE$5:$OE$5, "mmm")=LOWER(Y$3))*$AE48:$OE48))</f>
        <v/>
      </c>
      <c r="AA48" s="34"/>
      <c r="AB48" s="34" t="str" cm="1">
        <f t="array" ref="AB48">IF($C48="","",SUMPRODUCT((TEXT($AE$5:$OE$5, "mmm")=LOWER(AA$3))*$AE48:$OE48))</f>
        <v/>
      </c>
      <c r="AC48" s="34"/>
      <c r="AD48" s="34" t="str" cm="1">
        <f t="array" ref="AD48">IF($C48="","",SUMPRODUCT((TEXT($AE$5:$OE$5, "mmm")=LOWER(AC$3))*$AE48:$OE48))</f>
        <v/>
      </c>
      <c r="OE48" s="49"/>
    </row>
    <row r="49" spans="1:395">
      <c r="A49" s="35"/>
      <c r="C49" s="2" t="str">
        <f>IF(ISBLANK($B49),"",_xlfn.XLOOKUP($B49,Task_No,Project!$C$3:$C$144,"INVALID TASK"))</f>
        <v/>
      </c>
      <c r="D49" s="27"/>
      <c r="E49" s="7" t="str">
        <f t="shared" si="19"/>
        <v/>
      </c>
      <c r="F49" s="7" t="str">
        <f t="shared" si="17"/>
        <v/>
      </c>
      <c r="G49" s="34"/>
      <c r="H49" s="34" t="str" cm="1">
        <f t="array" ref="H49">IF($C49="","",SUMPRODUCT((TEXT($AE$5:$OE$5, "mmm")=LOWER(G$3))*$AE49:$OE49))</f>
        <v/>
      </c>
      <c r="I49" s="34"/>
      <c r="J49" s="34" t="str" cm="1">
        <f t="array" ref="J49">IF($C49="","",SUMPRODUCT((TEXT($AE$5:$OE$5, "mmm")=LOWER(I$3))*$AE49:$OE49))</f>
        <v/>
      </c>
      <c r="K49" s="34"/>
      <c r="L49" s="34" t="str" cm="1">
        <f t="array" ref="L49">IF($C49="","",SUMPRODUCT((TEXT($AE$5:$OE$5, "mmm")=LOWER(K$3))*$AE49:$OE49))</f>
        <v/>
      </c>
      <c r="M49" s="34"/>
      <c r="N49" s="34" t="str" cm="1">
        <f t="array" ref="N49">IF($C49="","",SUMPRODUCT((TEXT($AE$5:$OE$5, "mmm")=LOWER(M$3))*$AE49:$OE49))</f>
        <v/>
      </c>
      <c r="O49" s="34"/>
      <c r="P49" s="34" t="str" cm="1">
        <f t="array" ref="P49">IF($C49="","",SUMPRODUCT((TEXT($AE$5:$OE$5, "mmm")=LOWER(O$3))*$AE49:$OE49))</f>
        <v/>
      </c>
      <c r="Q49" s="34"/>
      <c r="R49" s="34" t="str" cm="1">
        <f t="array" ref="R49">IF($C49="","",SUMPRODUCT((TEXT($AE$5:$OE$5, "mmm")=LOWER(Q$3))*$AE49:$OE49))</f>
        <v/>
      </c>
      <c r="S49" s="34"/>
      <c r="T49" s="34" t="str" cm="1">
        <f t="array" ref="T49">IF($C49="","",SUMPRODUCT((TEXT($AE$5:$OE$5, "mmm")=LOWER(S$3))*$AE49:$OE49))</f>
        <v/>
      </c>
      <c r="U49" s="34"/>
      <c r="V49" s="34" t="str" cm="1">
        <f t="array" ref="V49">IF($C49="","",SUMPRODUCT((TEXT($AE$5:$OE$5, "mmm")=LOWER(U$3))*$AE49:$OE49))</f>
        <v/>
      </c>
      <c r="W49" s="34"/>
      <c r="X49" s="34" t="str" cm="1">
        <f t="array" ref="X49">IF($C49="","",SUMPRODUCT((TEXT($AE$5:$OE$5, "mmm")=LOWER(W$3))*$AE49:$OE49))</f>
        <v/>
      </c>
      <c r="Y49" s="34"/>
      <c r="Z49" s="34" t="str" cm="1">
        <f t="array" ref="Z49">IF($C49="","",SUMPRODUCT((TEXT($AE$5:$OE$5, "mmm")=LOWER(Y$3))*$AE49:$OE49))</f>
        <v/>
      </c>
      <c r="AA49" s="34"/>
      <c r="AB49" s="34" t="str" cm="1">
        <f t="array" ref="AB49">IF($C49="","",SUMPRODUCT((TEXT($AE$5:$OE$5, "mmm")=LOWER(AA$3))*$AE49:$OE49))</f>
        <v/>
      </c>
      <c r="AC49" s="34"/>
      <c r="AD49" s="34" t="str" cm="1">
        <f t="array" ref="AD49">IF($C49="","",SUMPRODUCT((TEXT($AE$5:$OE$5, "mmm")=LOWER(AC$3))*$AE49:$OE49))</f>
        <v/>
      </c>
      <c r="OE49" s="49"/>
    </row>
    <row r="50" spans="1:395">
      <c r="A50" s="35"/>
      <c r="C50" s="2" t="str">
        <f>IF(ISBLANK($B50),"",_xlfn.XLOOKUP($B50,Task_No,Project!$C$3:$C$144,"INVALID TASK"))</f>
        <v/>
      </c>
      <c r="E50" s="7" t="str">
        <f t="shared" si="19"/>
        <v/>
      </c>
      <c r="F50" s="7" t="str">
        <f t="shared" si="17"/>
        <v/>
      </c>
      <c r="G50" s="34"/>
      <c r="H50" s="34" t="str" cm="1">
        <f t="array" ref="H50">IF($C50="","",SUMPRODUCT((TEXT($AE$5:$OE$5, "mmm")=LOWER(G$3))*$AE50:$OE50))</f>
        <v/>
      </c>
      <c r="I50" s="34"/>
      <c r="J50" s="34" t="str" cm="1">
        <f t="array" ref="J50">IF($C50="","",SUMPRODUCT((TEXT($AE$5:$OE$5, "mmm")=LOWER(I$3))*$AE50:$OE50))</f>
        <v/>
      </c>
      <c r="K50" s="34"/>
      <c r="L50" s="34" t="str" cm="1">
        <f t="array" ref="L50">IF($C50="","",SUMPRODUCT((TEXT($AE$5:$OE$5, "mmm")=LOWER(K$3))*$AE50:$OE50))</f>
        <v/>
      </c>
      <c r="M50" s="34"/>
      <c r="N50" s="34" t="str" cm="1">
        <f t="array" ref="N50">IF($C50="","",SUMPRODUCT((TEXT($AE$5:$OE$5, "mmm")=LOWER(M$3))*$AE50:$OE50))</f>
        <v/>
      </c>
      <c r="O50" s="34"/>
      <c r="P50" s="34" t="str" cm="1">
        <f t="array" ref="P50">IF($C50="","",SUMPRODUCT((TEXT($AE$5:$OE$5, "mmm")=LOWER(O$3))*$AE50:$OE50))</f>
        <v/>
      </c>
      <c r="Q50" s="34"/>
      <c r="R50" s="34" t="str" cm="1">
        <f t="array" ref="R50">IF($C50="","",SUMPRODUCT((TEXT($AE$5:$OE$5, "mmm")=LOWER(Q$3))*$AE50:$OE50))</f>
        <v/>
      </c>
      <c r="S50" s="34"/>
      <c r="T50" s="34" t="str" cm="1">
        <f t="array" ref="T50">IF($C50="","",SUMPRODUCT((TEXT($AE$5:$OE$5, "mmm")=LOWER(S$3))*$AE50:$OE50))</f>
        <v/>
      </c>
      <c r="U50" s="34"/>
      <c r="V50" s="34" t="str" cm="1">
        <f t="array" ref="V50">IF($C50="","",SUMPRODUCT((TEXT($AE$5:$OE$5, "mmm")=LOWER(U$3))*$AE50:$OE50))</f>
        <v/>
      </c>
      <c r="W50" s="34"/>
      <c r="X50" s="34" t="str" cm="1">
        <f t="array" ref="X50">IF($C50="","",SUMPRODUCT((TEXT($AE$5:$OE$5, "mmm")=LOWER(W$3))*$AE50:$OE50))</f>
        <v/>
      </c>
      <c r="Y50" s="34"/>
      <c r="Z50" s="34" t="str" cm="1">
        <f t="array" ref="Z50">IF($C50="","",SUMPRODUCT((TEXT($AE$5:$OE$5, "mmm")=LOWER(Y$3))*$AE50:$OE50))</f>
        <v/>
      </c>
      <c r="AA50" s="34"/>
      <c r="AB50" s="34" t="str" cm="1">
        <f t="array" ref="AB50">IF($C50="","",SUMPRODUCT((TEXT($AE$5:$OE$5, "mmm")=LOWER(AA$3))*$AE50:$OE50))</f>
        <v/>
      </c>
      <c r="AC50" s="34"/>
      <c r="AD50" s="34" t="str" cm="1">
        <f t="array" ref="AD50">IF($C50="","",SUMPRODUCT((TEXT($AE$5:$OE$5, "mmm")=LOWER(AC$3))*$AE50:$OE50))</f>
        <v/>
      </c>
      <c r="OE50" s="49"/>
    </row>
    <row r="51" spans="1:395">
      <c r="A51" s="35"/>
      <c r="C51" s="2" t="str">
        <f>IF(ISBLANK($B51),"",_xlfn.XLOOKUP($B51,Task_No,Project!$C$3:$C$144,"INVALID TASK"))</f>
        <v/>
      </c>
      <c r="E51" s="7" t="str">
        <f t="shared" si="19"/>
        <v/>
      </c>
      <c r="F51" s="7" t="str">
        <f t="shared" si="17"/>
        <v/>
      </c>
      <c r="G51" s="34"/>
      <c r="H51" s="34" t="str" cm="1">
        <f t="array" ref="H51">IF($C51="","",SUMPRODUCT((TEXT($AE$5:$OE$5, "mmm")=LOWER(G$3))*$AE51:$OE51))</f>
        <v/>
      </c>
      <c r="I51" s="34"/>
      <c r="J51" s="34" t="str" cm="1">
        <f t="array" ref="J51">IF($C51="","",SUMPRODUCT((TEXT($AE$5:$OE$5, "mmm")=LOWER(I$3))*$AE51:$OE51))</f>
        <v/>
      </c>
      <c r="K51" s="34"/>
      <c r="L51" s="34" t="str" cm="1">
        <f t="array" ref="L51">IF($C51="","",SUMPRODUCT((TEXT($AE$5:$OE$5, "mmm")=LOWER(K$3))*$AE51:$OE51))</f>
        <v/>
      </c>
      <c r="M51" s="34"/>
      <c r="N51" s="34" t="str" cm="1">
        <f t="array" ref="N51">IF($C51="","",SUMPRODUCT((TEXT($AE$5:$OE$5, "mmm")=LOWER(M$3))*$AE51:$OE51))</f>
        <v/>
      </c>
      <c r="O51" s="34"/>
      <c r="P51" s="34" t="str" cm="1">
        <f t="array" ref="P51">IF($C51="","",SUMPRODUCT((TEXT($AE$5:$OE$5, "mmm")=LOWER(O$3))*$AE51:$OE51))</f>
        <v/>
      </c>
      <c r="Q51" s="34"/>
      <c r="R51" s="34" t="str" cm="1">
        <f t="array" ref="R51">IF($C51="","",SUMPRODUCT((TEXT($AE$5:$OE$5, "mmm")=LOWER(Q$3))*$AE51:$OE51))</f>
        <v/>
      </c>
      <c r="S51" s="34"/>
      <c r="T51" s="34" t="str" cm="1">
        <f t="array" ref="T51">IF($C51="","",SUMPRODUCT((TEXT($AE$5:$OE$5, "mmm")=LOWER(S$3))*$AE51:$OE51))</f>
        <v/>
      </c>
      <c r="U51" s="34"/>
      <c r="V51" s="34" t="str" cm="1">
        <f t="array" ref="V51">IF($C51="","",SUMPRODUCT((TEXT($AE$5:$OE$5, "mmm")=LOWER(U$3))*$AE51:$OE51))</f>
        <v/>
      </c>
      <c r="W51" s="34"/>
      <c r="X51" s="34" t="str" cm="1">
        <f t="array" ref="X51">IF($C51="","",SUMPRODUCT((TEXT($AE$5:$OE$5, "mmm")=LOWER(W$3))*$AE51:$OE51))</f>
        <v/>
      </c>
      <c r="Y51" s="34"/>
      <c r="Z51" s="34" t="str" cm="1">
        <f t="array" ref="Z51">IF($C51="","",SUMPRODUCT((TEXT($AE$5:$OE$5, "mmm")=LOWER(Y$3))*$AE51:$OE51))</f>
        <v/>
      </c>
      <c r="AA51" s="34"/>
      <c r="AB51" s="34" t="str" cm="1">
        <f t="array" ref="AB51">IF($C51="","",SUMPRODUCT((TEXT($AE$5:$OE$5, "mmm")=LOWER(AA$3))*$AE51:$OE51))</f>
        <v/>
      </c>
      <c r="AC51" s="34"/>
      <c r="AD51" s="34" t="str" cm="1">
        <f t="array" ref="AD51">IF($C51="","",SUMPRODUCT((TEXT($AE$5:$OE$5, "mmm")=LOWER(AC$3))*$AE51:$OE51))</f>
        <v/>
      </c>
      <c r="OE51" s="49"/>
    </row>
    <row r="52" spans="1:395">
      <c r="A52" s="35"/>
      <c r="C52" s="2" t="str">
        <f>IF(ISBLANK($B52),"",_xlfn.XLOOKUP($B52,Task_No,Project!$C$3:$C$144,"INVALID TASK"))</f>
        <v/>
      </c>
      <c r="E52" s="7" t="str">
        <f t="shared" si="19"/>
        <v/>
      </c>
      <c r="F52" s="7" t="str">
        <f t="shared" si="17"/>
        <v/>
      </c>
      <c r="G52" s="34"/>
      <c r="H52" s="34" t="str" cm="1">
        <f t="array" ref="H52">IF($C52="","",SUMPRODUCT((TEXT($AE$5:$OE$5, "mmm")=LOWER(G$3))*$AE52:$OE52))</f>
        <v/>
      </c>
      <c r="I52" s="34"/>
      <c r="J52" s="34" t="str" cm="1">
        <f t="array" ref="J52">IF($C52="","",SUMPRODUCT((TEXT($AE$5:$OE$5, "mmm")=LOWER(I$3))*$AE52:$OE52))</f>
        <v/>
      </c>
      <c r="K52" s="34"/>
      <c r="L52" s="34" t="str" cm="1">
        <f t="array" ref="L52">IF($C52="","",SUMPRODUCT((TEXT($AE$5:$OE$5, "mmm")=LOWER(K$3))*$AE52:$OE52))</f>
        <v/>
      </c>
      <c r="M52" s="34"/>
      <c r="N52" s="34" t="str" cm="1">
        <f t="array" ref="N52">IF($C52="","",SUMPRODUCT((TEXT($AE$5:$OE$5, "mmm")=LOWER(M$3))*$AE52:$OE52))</f>
        <v/>
      </c>
      <c r="O52" s="34"/>
      <c r="P52" s="34" t="str" cm="1">
        <f t="array" ref="P52">IF($C52="","",SUMPRODUCT((TEXT($AE$5:$OE$5, "mmm")=LOWER(O$3))*$AE52:$OE52))</f>
        <v/>
      </c>
      <c r="Q52" s="34"/>
      <c r="R52" s="34" t="str" cm="1">
        <f t="array" ref="R52">IF($C52="","",SUMPRODUCT((TEXT($AE$5:$OE$5, "mmm")=LOWER(Q$3))*$AE52:$OE52))</f>
        <v/>
      </c>
      <c r="S52" s="34"/>
      <c r="T52" s="34" t="str" cm="1">
        <f t="array" ref="T52">IF($C52="","",SUMPRODUCT((TEXT($AE$5:$OE$5, "mmm")=LOWER(S$3))*$AE52:$OE52))</f>
        <v/>
      </c>
      <c r="U52" s="34"/>
      <c r="V52" s="34" t="str" cm="1">
        <f t="array" ref="V52">IF($C52="","",SUMPRODUCT((TEXT($AE$5:$OE$5, "mmm")=LOWER(U$3))*$AE52:$OE52))</f>
        <v/>
      </c>
      <c r="W52" s="34"/>
      <c r="X52" s="34" t="str" cm="1">
        <f t="array" ref="X52">IF($C52="","",SUMPRODUCT((TEXT($AE$5:$OE$5, "mmm")=LOWER(W$3))*$AE52:$OE52))</f>
        <v/>
      </c>
      <c r="Y52" s="34"/>
      <c r="Z52" s="34" t="str" cm="1">
        <f t="array" ref="Z52">IF($C52="","",SUMPRODUCT((TEXT($AE$5:$OE$5, "mmm")=LOWER(Y$3))*$AE52:$OE52))</f>
        <v/>
      </c>
      <c r="AA52" s="34"/>
      <c r="AB52" s="34" t="str" cm="1">
        <f t="array" ref="AB52">IF($C52="","",SUMPRODUCT((TEXT($AE$5:$OE$5, "mmm")=LOWER(AA$3))*$AE52:$OE52))</f>
        <v/>
      </c>
      <c r="AC52" s="34"/>
      <c r="AD52" s="34" t="str" cm="1">
        <f t="array" ref="AD52">IF($C52="","",SUMPRODUCT((TEXT($AE$5:$OE$5, "mmm")=LOWER(AC$3))*$AE52:$OE52))</f>
        <v/>
      </c>
      <c r="OE52" s="49"/>
    </row>
    <row r="53" spans="1:395">
      <c r="A53" s="35"/>
      <c r="C53" s="2" t="str">
        <f>IF(ISBLANK($B53),"",_xlfn.XLOOKUP($B53,Task_No,Project!$C$3:$C$144,"INVALID TASK"))</f>
        <v/>
      </c>
      <c r="E53" s="7" t="str">
        <f t="shared" si="19"/>
        <v/>
      </c>
      <c r="F53" s="7" t="str">
        <f t="shared" si="17"/>
        <v/>
      </c>
      <c r="G53" s="34"/>
      <c r="H53" s="34" t="str" cm="1">
        <f t="array" ref="H53">IF($C53="","",SUMPRODUCT((TEXT($AE$5:$OE$5, "mmm")=LOWER(G$3))*$AE53:$OE53))</f>
        <v/>
      </c>
      <c r="I53" s="34"/>
      <c r="J53" s="34" t="str" cm="1">
        <f t="array" ref="J53">IF($C53="","",SUMPRODUCT((TEXT($AE$5:$OE$5, "mmm")=LOWER(I$3))*$AE53:$OE53))</f>
        <v/>
      </c>
      <c r="K53" s="34"/>
      <c r="L53" s="34" t="str" cm="1">
        <f t="array" ref="L53">IF($C53="","",SUMPRODUCT((TEXT($AE$5:$OE$5, "mmm")=LOWER(K$3))*$AE53:$OE53))</f>
        <v/>
      </c>
      <c r="M53" s="34"/>
      <c r="N53" s="34" t="str" cm="1">
        <f t="array" ref="N53">IF($C53="","",SUMPRODUCT((TEXT($AE$5:$OE$5, "mmm")=LOWER(M$3))*$AE53:$OE53))</f>
        <v/>
      </c>
      <c r="O53" s="34"/>
      <c r="P53" s="34" t="str" cm="1">
        <f t="array" ref="P53">IF($C53="","",SUMPRODUCT((TEXT($AE$5:$OE$5, "mmm")=LOWER(O$3))*$AE53:$OE53))</f>
        <v/>
      </c>
      <c r="Q53" s="34"/>
      <c r="R53" s="34" t="str" cm="1">
        <f t="array" ref="R53">IF($C53="","",SUMPRODUCT((TEXT($AE$5:$OE$5, "mmm")=LOWER(Q$3))*$AE53:$OE53))</f>
        <v/>
      </c>
      <c r="S53" s="34"/>
      <c r="T53" s="34" t="str" cm="1">
        <f t="array" ref="T53">IF($C53="","",SUMPRODUCT((TEXT($AE$5:$OE$5, "mmm")=LOWER(S$3))*$AE53:$OE53))</f>
        <v/>
      </c>
      <c r="U53" s="34"/>
      <c r="V53" s="34" t="str" cm="1">
        <f t="array" ref="V53">IF($C53="","",SUMPRODUCT((TEXT($AE$5:$OE$5, "mmm")=LOWER(U$3))*$AE53:$OE53))</f>
        <v/>
      </c>
      <c r="W53" s="34"/>
      <c r="X53" s="34" t="str" cm="1">
        <f t="array" ref="X53">IF($C53="","",SUMPRODUCT((TEXT($AE$5:$OE$5, "mmm")=LOWER(W$3))*$AE53:$OE53))</f>
        <v/>
      </c>
      <c r="Y53" s="34"/>
      <c r="Z53" s="34" t="str" cm="1">
        <f t="array" ref="Z53">IF($C53="","",SUMPRODUCT((TEXT($AE$5:$OE$5, "mmm")=LOWER(Y$3))*$AE53:$OE53))</f>
        <v/>
      </c>
      <c r="AA53" s="34"/>
      <c r="AB53" s="34" t="str" cm="1">
        <f t="array" ref="AB53">IF($C53="","",SUMPRODUCT((TEXT($AE$5:$OE$5, "mmm")=LOWER(AA$3))*$AE53:$OE53))</f>
        <v/>
      </c>
      <c r="AC53" s="34"/>
      <c r="AD53" s="34" t="str" cm="1">
        <f t="array" ref="AD53">IF($C53="","",SUMPRODUCT((TEXT($AE$5:$OE$5, "mmm")=LOWER(AC$3))*$AE53:$OE53))</f>
        <v/>
      </c>
      <c r="OE53" s="49"/>
    </row>
    <row r="54" spans="1:395">
      <c r="A54" s="35"/>
      <c r="C54" s="2" t="str">
        <f>IF(ISBLANK($B54),"",_xlfn.XLOOKUP($B54,Task_No,Project!$C$3:$C$144,"INVALID TASK"))</f>
        <v/>
      </c>
      <c r="E54" s="7" t="str">
        <f t="shared" si="19"/>
        <v/>
      </c>
      <c r="F54" s="7" t="str">
        <f t="shared" si="17"/>
        <v/>
      </c>
      <c r="G54" s="34"/>
      <c r="H54" s="34" t="str" cm="1">
        <f t="array" ref="H54">IF($C54="","",SUMPRODUCT((TEXT($AE$5:$OE$5, "mmm")=LOWER(G$3))*$AE54:$OE54))</f>
        <v/>
      </c>
      <c r="I54" s="34"/>
      <c r="J54" s="34" t="str" cm="1">
        <f t="array" ref="J54">IF($C54="","",SUMPRODUCT((TEXT($AE$5:$OE$5, "mmm")=LOWER(I$3))*$AE54:$OE54))</f>
        <v/>
      </c>
      <c r="K54" s="34"/>
      <c r="L54" s="34" t="str" cm="1">
        <f t="array" ref="L54">IF($C54="","",SUMPRODUCT((TEXT($AE$5:$OE$5, "mmm")=LOWER(K$3))*$AE54:$OE54))</f>
        <v/>
      </c>
      <c r="M54" s="34"/>
      <c r="N54" s="34" t="str" cm="1">
        <f t="array" ref="N54">IF($C54="","",SUMPRODUCT((TEXT($AE$5:$OE$5, "mmm")=LOWER(M$3))*$AE54:$OE54))</f>
        <v/>
      </c>
      <c r="O54" s="34"/>
      <c r="P54" s="34" t="str" cm="1">
        <f t="array" ref="P54">IF($C54="","",SUMPRODUCT((TEXT($AE$5:$OE$5, "mmm")=LOWER(O$3))*$AE54:$OE54))</f>
        <v/>
      </c>
      <c r="Q54" s="34"/>
      <c r="R54" s="34" t="str" cm="1">
        <f t="array" ref="R54">IF($C54="","",SUMPRODUCT((TEXT($AE$5:$OE$5, "mmm")=LOWER(Q$3))*$AE54:$OE54))</f>
        <v/>
      </c>
      <c r="S54" s="34"/>
      <c r="T54" s="34" t="str" cm="1">
        <f t="array" ref="T54">IF($C54="","",SUMPRODUCT((TEXT($AE$5:$OE$5, "mmm")=LOWER(S$3))*$AE54:$OE54))</f>
        <v/>
      </c>
      <c r="U54" s="34"/>
      <c r="V54" s="34" t="str" cm="1">
        <f t="array" ref="V54">IF($C54="","",SUMPRODUCT((TEXT($AE$5:$OE$5, "mmm")=LOWER(U$3))*$AE54:$OE54))</f>
        <v/>
      </c>
      <c r="W54" s="34"/>
      <c r="X54" s="34" t="str" cm="1">
        <f t="array" ref="X54">IF($C54="","",SUMPRODUCT((TEXT($AE$5:$OE$5, "mmm")=LOWER(W$3))*$AE54:$OE54))</f>
        <v/>
      </c>
      <c r="Y54" s="34"/>
      <c r="Z54" s="34" t="str" cm="1">
        <f t="array" ref="Z54">IF($C54="","",SUMPRODUCT((TEXT($AE$5:$OE$5, "mmm")=LOWER(Y$3))*$AE54:$OE54))</f>
        <v/>
      </c>
      <c r="AA54" s="34"/>
      <c r="AB54" s="34" t="str" cm="1">
        <f t="array" ref="AB54">IF($C54="","",SUMPRODUCT((TEXT($AE$5:$OE$5, "mmm")=LOWER(AA$3))*$AE54:$OE54))</f>
        <v/>
      </c>
      <c r="AC54" s="34"/>
      <c r="AD54" s="34" t="str" cm="1">
        <f t="array" ref="AD54">IF($C54="","",SUMPRODUCT((TEXT($AE$5:$OE$5, "mmm")=LOWER(AC$3))*$AE54:$OE54))</f>
        <v/>
      </c>
      <c r="OE54" s="49"/>
    </row>
    <row r="55" spans="1:395">
      <c r="A55" s="35"/>
      <c r="C55" s="2" t="str">
        <f>IF(ISBLANK($B55),"",_xlfn.XLOOKUP($B55,Task_No,Project!$C$3:$C$144,"INVALID TASK"))</f>
        <v/>
      </c>
      <c r="E55" s="7" t="str">
        <f t="shared" si="19"/>
        <v/>
      </c>
      <c r="F55" s="7" t="str">
        <f t="shared" si="17"/>
        <v/>
      </c>
      <c r="G55" s="34"/>
      <c r="H55" s="34" t="str" cm="1">
        <f t="array" ref="H55">IF($C55="","",SUMPRODUCT((TEXT($AE$5:$OE$5, "mmm")=LOWER(G$3))*$AE55:$OE55))</f>
        <v/>
      </c>
      <c r="I55" s="34"/>
      <c r="J55" s="34" t="str" cm="1">
        <f t="array" ref="J55">IF($C55="","",SUMPRODUCT((TEXT($AE$5:$OE$5, "mmm")=LOWER(I$3))*$AE55:$OE55))</f>
        <v/>
      </c>
      <c r="K55" s="34"/>
      <c r="L55" s="34" t="str" cm="1">
        <f t="array" ref="L55">IF($C55="","",SUMPRODUCT((TEXT($AE$5:$OE$5, "mmm")=LOWER(K$3))*$AE55:$OE55))</f>
        <v/>
      </c>
      <c r="M55" s="34"/>
      <c r="N55" s="34" t="str" cm="1">
        <f t="array" ref="N55">IF($C55="","",SUMPRODUCT((TEXT($AE$5:$OE$5, "mmm")=LOWER(M$3))*$AE55:$OE55))</f>
        <v/>
      </c>
      <c r="O55" s="34"/>
      <c r="P55" s="34" t="str" cm="1">
        <f t="array" ref="P55">IF($C55="","",SUMPRODUCT((TEXT($AE$5:$OE$5, "mmm")=LOWER(O$3))*$AE55:$OE55))</f>
        <v/>
      </c>
      <c r="Q55" s="34"/>
      <c r="R55" s="34" t="str" cm="1">
        <f t="array" ref="R55">IF($C55="","",SUMPRODUCT((TEXT($AE$5:$OE$5, "mmm")=LOWER(Q$3))*$AE55:$OE55))</f>
        <v/>
      </c>
      <c r="S55" s="34"/>
      <c r="T55" s="34" t="str" cm="1">
        <f t="array" ref="T55">IF($C55="","",SUMPRODUCT((TEXT($AE$5:$OE$5, "mmm")=LOWER(S$3))*$AE55:$OE55))</f>
        <v/>
      </c>
      <c r="U55" s="34"/>
      <c r="V55" s="34" t="str" cm="1">
        <f t="array" ref="V55">IF($C55="","",SUMPRODUCT((TEXT($AE$5:$OE$5, "mmm")=LOWER(U$3))*$AE55:$OE55))</f>
        <v/>
      </c>
      <c r="W55" s="34"/>
      <c r="X55" s="34" t="str" cm="1">
        <f t="array" ref="X55">IF($C55="","",SUMPRODUCT((TEXT($AE$5:$OE$5, "mmm")=LOWER(W$3))*$AE55:$OE55))</f>
        <v/>
      </c>
      <c r="Y55" s="34"/>
      <c r="Z55" s="34" t="str" cm="1">
        <f t="array" ref="Z55">IF($C55="","",SUMPRODUCT((TEXT($AE$5:$OE$5, "mmm")=LOWER(Y$3))*$AE55:$OE55))</f>
        <v/>
      </c>
      <c r="AA55" s="34"/>
      <c r="AB55" s="34" t="str" cm="1">
        <f t="array" ref="AB55">IF($C55="","",SUMPRODUCT((TEXT($AE$5:$OE$5, "mmm")=LOWER(AA$3))*$AE55:$OE55))</f>
        <v/>
      </c>
      <c r="AC55" s="34"/>
      <c r="AD55" s="34" t="str" cm="1">
        <f t="array" ref="AD55">IF($C55="","",SUMPRODUCT((TEXT($AE$5:$OE$5, "mmm")=LOWER(AC$3))*$AE55:$OE55))</f>
        <v/>
      </c>
      <c r="OE55" s="49"/>
    </row>
    <row r="56" spans="1:395">
      <c r="A56" s="35"/>
      <c r="C56" s="2" t="str">
        <f>IF(ISBLANK($B56),"",_xlfn.XLOOKUP($B56,Task_No,Project!$C$3:$C$144,"INVALID TASK"))</f>
        <v/>
      </c>
      <c r="E56" s="7" t="str">
        <f t="shared" si="19"/>
        <v/>
      </c>
      <c r="F56" s="7" t="str">
        <f t="shared" si="17"/>
        <v/>
      </c>
      <c r="G56" s="34"/>
      <c r="H56" s="34" t="str" cm="1">
        <f t="array" ref="H56">IF($C56="","",SUMPRODUCT((TEXT($AE$5:$OE$5, "mmm")=LOWER(G$3))*$AE56:$OE56))</f>
        <v/>
      </c>
      <c r="I56" s="34"/>
      <c r="J56" s="34" t="str" cm="1">
        <f t="array" ref="J56">IF($C56="","",SUMPRODUCT((TEXT($AE$5:$OE$5, "mmm")=LOWER(I$3))*$AE56:$OE56))</f>
        <v/>
      </c>
      <c r="K56" s="34"/>
      <c r="L56" s="34" t="str" cm="1">
        <f t="array" ref="L56">IF($C56="","",SUMPRODUCT((TEXT($AE$5:$OE$5, "mmm")=LOWER(K$3))*$AE56:$OE56))</f>
        <v/>
      </c>
      <c r="M56" s="34"/>
      <c r="N56" s="34" t="str" cm="1">
        <f t="array" ref="N56">IF($C56="","",SUMPRODUCT((TEXT($AE$5:$OE$5, "mmm")=LOWER(M$3))*$AE56:$OE56))</f>
        <v/>
      </c>
      <c r="O56" s="34"/>
      <c r="P56" s="34" t="str" cm="1">
        <f t="array" ref="P56">IF($C56="","",SUMPRODUCT((TEXT($AE$5:$OE$5, "mmm")=LOWER(O$3))*$AE56:$OE56))</f>
        <v/>
      </c>
      <c r="Q56" s="34"/>
      <c r="R56" s="34" t="str" cm="1">
        <f t="array" ref="R56">IF($C56="","",SUMPRODUCT((TEXT($AE$5:$OE$5, "mmm")=LOWER(Q$3))*$AE56:$OE56))</f>
        <v/>
      </c>
      <c r="S56" s="34"/>
      <c r="T56" s="34" t="str" cm="1">
        <f t="array" ref="T56">IF($C56="","",SUMPRODUCT((TEXT($AE$5:$OE$5, "mmm")=LOWER(S$3))*$AE56:$OE56))</f>
        <v/>
      </c>
      <c r="U56" s="34"/>
      <c r="V56" s="34" t="str" cm="1">
        <f t="array" ref="V56">IF($C56="","",SUMPRODUCT((TEXT($AE$5:$OE$5, "mmm")=LOWER(U$3))*$AE56:$OE56))</f>
        <v/>
      </c>
      <c r="W56" s="34"/>
      <c r="X56" s="34" t="str" cm="1">
        <f t="array" ref="X56">IF($C56="","",SUMPRODUCT((TEXT($AE$5:$OE$5, "mmm")=LOWER(W$3))*$AE56:$OE56))</f>
        <v/>
      </c>
      <c r="Y56" s="34"/>
      <c r="Z56" s="34" t="str" cm="1">
        <f t="array" ref="Z56">IF($C56="","",SUMPRODUCT((TEXT($AE$5:$OE$5, "mmm")=LOWER(Y$3))*$AE56:$OE56))</f>
        <v/>
      </c>
      <c r="AA56" s="34"/>
      <c r="AB56" s="34" t="str" cm="1">
        <f t="array" ref="AB56">IF($C56="","",SUMPRODUCT((TEXT($AE$5:$OE$5, "mmm")=LOWER(AA$3))*$AE56:$OE56))</f>
        <v/>
      </c>
      <c r="AC56" s="34"/>
      <c r="AD56" s="34" t="str" cm="1">
        <f t="array" ref="AD56">IF($C56="","",SUMPRODUCT((TEXT($AE$5:$OE$5, "mmm")=LOWER(AC$3))*$AE56:$OE56))</f>
        <v/>
      </c>
      <c r="OE56" s="49"/>
    </row>
    <row r="57" spans="1:395">
      <c r="A57" s="35"/>
      <c r="C57" s="2" t="str">
        <f>IF(ISBLANK($B57),"",_xlfn.XLOOKUP($B57,Task_No,Project!$C$3:$C$144,"INVALID TASK"))</f>
        <v/>
      </c>
      <c r="E57" s="7" t="str">
        <f t="shared" si="19"/>
        <v/>
      </c>
      <c r="F57" s="7" t="str">
        <f t="shared" si="17"/>
        <v/>
      </c>
      <c r="G57" s="34"/>
      <c r="H57" s="34" t="str" cm="1">
        <f t="array" ref="H57">IF($C57="","",SUMPRODUCT((TEXT($AE$5:$OE$5, "mmm")=LOWER(G$3))*$AE57:$OE57))</f>
        <v/>
      </c>
      <c r="I57" s="34"/>
      <c r="J57" s="34" t="str" cm="1">
        <f t="array" ref="J57">IF($C57="","",SUMPRODUCT((TEXT($AE$5:$OE$5, "mmm")=LOWER(I$3))*$AE57:$OE57))</f>
        <v/>
      </c>
      <c r="K57" s="34"/>
      <c r="L57" s="34" t="str" cm="1">
        <f t="array" ref="L57">IF($C57="","",SUMPRODUCT((TEXT($AE$5:$OE$5, "mmm")=LOWER(K$3))*$AE57:$OE57))</f>
        <v/>
      </c>
      <c r="M57" s="34"/>
      <c r="N57" s="34" t="str" cm="1">
        <f t="array" ref="N57">IF($C57="","",SUMPRODUCT((TEXT($AE$5:$OE$5, "mmm")=LOWER(M$3))*$AE57:$OE57))</f>
        <v/>
      </c>
      <c r="O57" s="34"/>
      <c r="P57" s="34" t="str" cm="1">
        <f t="array" ref="P57">IF($C57="","",SUMPRODUCT((TEXT($AE$5:$OE$5, "mmm")=LOWER(O$3))*$AE57:$OE57))</f>
        <v/>
      </c>
      <c r="Q57" s="34"/>
      <c r="R57" s="34" t="str" cm="1">
        <f t="array" ref="R57">IF($C57="","",SUMPRODUCT((TEXT($AE$5:$OE$5, "mmm")=LOWER(Q$3))*$AE57:$OE57))</f>
        <v/>
      </c>
      <c r="S57" s="34"/>
      <c r="T57" s="34" t="str" cm="1">
        <f t="array" ref="T57">IF($C57="","",SUMPRODUCT((TEXT($AE$5:$OE$5, "mmm")=LOWER(S$3))*$AE57:$OE57))</f>
        <v/>
      </c>
      <c r="U57" s="34"/>
      <c r="V57" s="34" t="str" cm="1">
        <f t="array" ref="V57">IF($C57="","",SUMPRODUCT((TEXT($AE$5:$OE$5, "mmm")=LOWER(U$3))*$AE57:$OE57))</f>
        <v/>
      </c>
      <c r="W57" s="34"/>
      <c r="X57" s="34" t="str" cm="1">
        <f t="array" ref="X57">IF($C57="","",SUMPRODUCT((TEXT($AE$5:$OE$5, "mmm")=LOWER(W$3))*$AE57:$OE57))</f>
        <v/>
      </c>
      <c r="Y57" s="34"/>
      <c r="Z57" s="34" t="str" cm="1">
        <f t="array" ref="Z57">IF($C57="","",SUMPRODUCT((TEXT($AE$5:$OE$5, "mmm")=LOWER(Y$3))*$AE57:$OE57))</f>
        <v/>
      </c>
      <c r="AA57" s="34"/>
      <c r="AB57" s="34" t="str" cm="1">
        <f t="array" ref="AB57">IF($C57="","",SUMPRODUCT((TEXT($AE$5:$OE$5, "mmm")=LOWER(AA$3))*$AE57:$OE57))</f>
        <v/>
      </c>
      <c r="AC57" s="34"/>
      <c r="AD57" s="34" t="str" cm="1">
        <f t="array" ref="AD57">IF($C57="","",SUMPRODUCT((TEXT($AE$5:$OE$5, "mmm")=LOWER(AC$3))*$AE57:$OE57))</f>
        <v/>
      </c>
      <c r="OE57" s="49"/>
    </row>
    <row r="58" spans="1:395">
      <c r="A58" s="35"/>
      <c r="C58" s="2" t="str">
        <f>IF(ISBLANK($B58),"",_xlfn.XLOOKUP($B58,Task_No,Project!$C$3:$C$144,"INVALID TASK"))</f>
        <v/>
      </c>
      <c r="E58" s="7" t="str">
        <f t="shared" si="19"/>
        <v/>
      </c>
      <c r="F58" s="7" t="str">
        <f t="shared" si="17"/>
        <v/>
      </c>
      <c r="G58" s="34"/>
      <c r="H58" s="34" t="str" cm="1">
        <f t="array" ref="H58">IF($C58="","",SUMPRODUCT((TEXT($AE$5:$OE$5, "mmm")=LOWER(G$3))*$AE58:$OE58))</f>
        <v/>
      </c>
      <c r="I58" s="34"/>
      <c r="J58" s="34" t="str" cm="1">
        <f t="array" ref="J58">IF($C58="","",SUMPRODUCT((TEXT($AE$5:$OE$5, "mmm")=LOWER(I$3))*$AE58:$OE58))</f>
        <v/>
      </c>
      <c r="K58" s="34"/>
      <c r="L58" s="34" t="str" cm="1">
        <f t="array" ref="L58">IF($C58="","",SUMPRODUCT((TEXT($AE$5:$OE$5, "mmm")=LOWER(K$3))*$AE58:$OE58))</f>
        <v/>
      </c>
      <c r="M58" s="34"/>
      <c r="N58" s="34" t="str" cm="1">
        <f t="array" ref="N58">IF($C58="","",SUMPRODUCT((TEXT($AE$5:$OE$5, "mmm")=LOWER(M$3))*$AE58:$OE58))</f>
        <v/>
      </c>
      <c r="O58" s="34"/>
      <c r="P58" s="34" t="str" cm="1">
        <f t="array" ref="P58">IF($C58="","",SUMPRODUCT((TEXT($AE$5:$OE$5, "mmm")=LOWER(O$3))*$AE58:$OE58))</f>
        <v/>
      </c>
      <c r="Q58" s="34"/>
      <c r="R58" s="34" t="str" cm="1">
        <f t="array" ref="R58">IF($C58="","",SUMPRODUCT((TEXT($AE$5:$OE$5, "mmm")=LOWER(Q$3))*$AE58:$OE58))</f>
        <v/>
      </c>
      <c r="S58" s="34"/>
      <c r="T58" s="34" t="str" cm="1">
        <f t="array" ref="T58">IF($C58="","",SUMPRODUCT((TEXT($AE$5:$OE$5, "mmm")=LOWER(S$3))*$AE58:$OE58))</f>
        <v/>
      </c>
      <c r="U58" s="34"/>
      <c r="V58" s="34" t="str" cm="1">
        <f t="array" ref="V58">IF($C58="","",SUMPRODUCT((TEXT($AE$5:$OE$5, "mmm")=LOWER(U$3))*$AE58:$OE58))</f>
        <v/>
      </c>
      <c r="W58" s="34"/>
      <c r="X58" s="34" t="str" cm="1">
        <f t="array" ref="X58">IF($C58="","",SUMPRODUCT((TEXT($AE$5:$OE$5, "mmm")=LOWER(W$3))*$AE58:$OE58))</f>
        <v/>
      </c>
      <c r="Y58" s="34"/>
      <c r="Z58" s="34" t="str" cm="1">
        <f t="array" ref="Z58">IF($C58="","",SUMPRODUCT((TEXT($AE$5:$OE$5, "mmm")=LOWER(Y$3))*$AE58:$OE58))</f>
        <v/>
      </c>
      <c r="AA58" s="34"/>
      <c r="AB58" s="34" t="str" cm="1">
        <f t="array" ref="AB58">IF($C58="","",SUMPRODUCT((TEXT($AE$5:$OE$5, "mmm")=LOWER(AA$3))*$AE58:$OE58))</f>
        <v/>
      </c>
      <c r="AC58" s="34"/>
      <c r="AD58" s="34" t="str" cm="1">
        <f t="array" ref="AD58">IF($C58="","",SUMPRODUCT((TEXT($AE$5:$OE$5, "mmm")=LOWER(AC$3))*$AE58:$OE58))</f>
        <v/>
      </c>
      <c r="OE58" s="49"/>
    </row>
    <row r="59" spans="1:395">
      <c r="A59" s="35"/>
      <c r="C59" s="2" t="str">
        <f>IF(ISBLANK($B59),"",_xlfn.XLOOKUP($B59,Task_No,Project!$C$3:$C$144,"INVALID TASK"))</f>
        <v/>
      </c>
      <c r="E59" s="7" t="str">
        <f t="shared" si="19"/>
        <v/>
      </c>
      <c r="F59" s="7" t="str">
        <f t="shared" si="17"/>
        <v/>
      </c>
      <c r="G59" s="34"/>
      <c r="H59" s="34" t="str" cm="1">
        <f t="array" ref="H59">IF($C59="","",SUMPRODUCT((TEXT($AE$5:$OE$5, "mmm")=LOWER(G$3))*$AE59:$OE59))</f>
        <v/>
      </c>
      <c r="I59" s="34"/>
      <c r="J59" s="34" t="str" cm="1">
        <f t="array" ref="J59">IF($C59="","",SUMPRODUCT((TEXT($AE$5:$OE$5, "mmm")=LOWER(I$3))*$AE59:$OE59))</f>
        <v/>
      </c>
      <c r="K59" s="34"/>
      <c r="L59" s="34" t="str" cm="1">
        <f t="array" ref="L59">IF($C59="","",SUMPRODUCT((TEXT($AE$5:$OE$5, "mmm")=LOWER(K$3))*$AE59:$OE59))</f>
        <v/>
      </c>
      <c r="M59" s="34"/>
      <c r="N59" s="34" t="str" cm="1">
        <f t="array" ref="N59">IF($C59="","",SUMPRODUCT((TEXT($AE$5:$OE$5, "mmm")=LOWER(M$3))*$AE59:$OE59))</f>
        <v/>
      </c>
      <c r="O59" s="34"/>
      <c r="P59" s="34" t="str" cm="1">
        <f t="array" ref="P59">IF($C59="","",SUMPRODUCT((TEXT($AE$5:$OE$5, "mmm")=LOWER(O$3))*$AE59:$OE59))</f>
        <v/>
      </c>
      <c r="Q59" s="34"/>
      <c r="R59" s="34" t="str" cm="1">
        <f t="array" ref="R59">IF($C59="","",SUMPRODUCT((TEXT($AE$5:$OE$5, "mmm")=LOWER(Q$3))*$AE59:$OE59))</f>
        <v/>
      </c>
      <c r="S59" s="34"/>
      <c r="T59" s="34" t="str" cm="1">
        <f t="array" ref="T59">IF($C59="","",SUMPRODUCT((TEXT($AE$5:$OE$5, "mmm")=LOWER(S$3))*$AE59:$OE59))</f>
        <v/>
      </c>
      <c r="U59" s="34"/>
      <c r="V59" s="34" t="str" cm="1">
        <f t="array" ref="V59">IF($C59="","",SUMPRODUCT((TEXT($AE$5:$OE$5, "mmm")=LOWER(U$3))*$AE59:$OE59))</f>
        <v/>
      </c>
      <c r="W59" s="34"/>
      <c r="X59" s="34" t="str" cm="1">
        <f t="array" ref="X59">IF($C59="","",SUMPRODUCT((TEXT($AE$5:$OE$5, "mmm")=LOWER(W$3))*$AE59:$OE59))</f>
        <v/>
      </c>
      <c r="Y59" s="34"/>
      <c r="Z59" s="34" t="str" cm="1">
        <f t="array" ref="Z59">IF($C59="","",SUMPRODUCT((TEXT($AE$5:$OE$5, "mmm")=LOWER(Y$3))*$AE59:$OE59))</f>
        <v/>
      </c>
      <c r="AA59" s="34"/>
      <c r="AB59" s="34" t="str" cm="1">
        <f t="array" ref="AB59">IF($C59="","",SUMPRODUCT((TEXT($AE$5:$OE$5, "mmm")=LOWER(AA$3))*$AE59:$OE59))</f>
        <v/>
      </c>
      <c r="AC59" s="34"/>
      <c r="AD59" s="34" t="str" cm="1">
        <f t="array" ref="AD59">IF($C59="","",SUMPRODUCT((TEXT($AE$5:$OE$5, "mmm")=LOWER(AC$3))*$AE59:$OE59))</f>
        <v/>
      </c>
      <c r="OE59" s="49"/>
    </row>
    <row r="60" spans="1:395">
      <c r="A60" s="35"/>
      <c r="C60" s="2" t="str">
        <f>IF(ISBLANK($B60),"",_xlfn.XLOOKUP($B60,Task_No,Project!$C$3:$C$144,"INVALID TASK"))</f>
        <v/>
      </c>
      <c r="E60" s="7" t="str">
        <f t="shared" si="19"/>
        <v/>
      </c>
      <c r="F60" s="7" t="str">
        <f t="shared" si="17"/>
        <v/>
      </c>
      <c r="G60" s="34"/>
      <c r="H60" s="34" t="str" cm="1">
        <f t="array" ref="H60">IF($C60="","",SUMPRODUCT((TEXT($AE$5:$OE$5, "mmm")=LOWER(G$3))*$AE60:$OE60))</f>
        <v/>
      </c>
      <c r="I60" s="34"/>
      <c r="J60" s="34" t="str" cm="1">
        <f t="array" ref="J60">IF($C60="","",SUMPRODUCT((TEXT($AE$5:$OE$5, "mmm")=LOWER(I$3))*$AE60:$OE60))</f>
        <v/>
      </c>
      <c r="K60" s="34"/>
      <c r="L60" s="34" t="str" cm="1">
        <f t="array" ref="L60">IF($C60="","",SUMPRODUCT((TEXT($AE$5:$OE$5, "mmm")=LOWER(K$3))*$AE60:$OE60))</f>
        <v/>
      </c>
      <c r="M60" s="34"/>
      <c r="N60" s="34" t="str" cm="1">
        <f t="array" ref="N60">IF($C60="","",SUMPRODUCT((TEXT($AE$5:$OE$5, "mmm")=LOWER(M$3))*$AE60:$OE60))</f>
        <v/>
      </c>
      <c r="O60" s="34"/>
      <c r="P60" s="34" t="str" cm="1">
        <f t="array" ref="P60">IF($C60="","",SUMPRODUCT((TEXT($AE$5:$OE$5, "mmm")=LOWER(O$3))*$AE60:$OE60))</f>
        <v/>
      </c>
      <c r="Q60" s="34"/>
      <c r="R60" s="34" t="str" cm="1">
        <f t="array" ref="R60">IF($C60="","",SUMPRODUCT((TEXT($AE$5:$OE$5, "mmm")=LOWER(Q$3))*$AE60:$OE60))</f>
        <v/>
      </c>
      <c r="S60" s="34"/>
      <c r="T60" s="34" t="str" cm="1">
        <f t="array" ref="T60">IF($C60="","",SUMPRODUCT((TEXT($AE$5:$OE$5, "mmm")=LOWER(S$3))*$AE60:$OE60))</f>
        <v/>
      </c>
      <c r="U60" s="34"/>
      <c r="V60" s="34" t="str" cm="1">
        <f t="array" ref="V60">IF($C60="","",SUMPRODUCT((TEXT($AE$5:$OE$5, "mmm")=LOWER(U$3))*$AE60:$OE60))</f>
        <v/>
      </c>
      <c r="W60" s="34"/>
      <c r="X60" s="34" t="str" cm="1">
        <f t="array" ref="X60">IF($C60="","",SUMPRODUCT((TEXT($AE$5:$OE$5, "mmm")=LOWER(W$3))*$AE60:$OE60))</f>
        <v/>
      </c>
      <c r="Y60" s="34"/>
      <c r="Z60" s="34" t="str" cm="1">
        <f t="array" ref="Z60">IF($C60="","",SUMPRODUCT((TEXT($AE$5:$OE$5, "mmm")=LOWER(Y$3))*$AE60:$OE60))</f>
        <v/>
      </c>
      <c r="AA60" s="34"/>
      <c r="AB60" s="34" t="str" cm="1">
        <f t="array" ref="AB60">IF($C60="","",SUMPRODUCT((TEXT($AE$5:$OE$5, "mmm")=LOWER(AA$3))*$AE60:$OE60))</f>
        <v/>
      </c>
      <c r="AC60" s="34"/>
      <c r="AD60" s="34" t="str" cm="1">
        <f t="array" ref="AD60">IF($C60="","",SUMPRODUCT((TEXT($AE$5:$OE$5, "mmm")=LOWER(AC$3))*$AE60:$OE60))</f>
        <v/>
      </c>
      <c r="OE60" s="49"/>
    </row>
    <row r="61" spans="1:395">
      <c r="A61" s="35"/>
      <c r="C61" s="2" t="str">
        <f>IF(ISBLANK($B61),"",_xlfn.XLOOKUP($B61,Task_No,Project!$C$3:$C$144,"INVALID TASK"))</f>
        <v/>
      </c>
      <c r="E61" s="7" t="str">
        <f t="shared" si="19"/>
        <v/>
      </c>
      <c r="F61" s="7" t="str">
        <f t="shared" si="17"/>
        <v/>
      </c>
      <c r="G61" s="34"/>
      <c r="H61" s="34" t="str" cm="1">
        <f t="array" ref="H61">IF($C61="","",SUMPRODUCT((TEXT($AE$5:$OE$5, "mmm")=LOWER(G$3))*$AE61:$OE61))</f>
        <v/>
      </c>
      <c r="I61" s="34"/>
      <c r="J61" s="34" t="str" cm="1">
        <f t="array" ref="J61">IF($C61="","",SUMPRODUCT((TEXT($AE$5:$OE$5, "mmm")=LOWER(I$3))*$AE61:$OE61))</f>
        <v/>
      </c>
      <c r="K61" s="34"/>
      <c r="L61" s="34" t="str" cm="1">
        <f t="array" ref="L61">IF($C61="","",SUMPRODUCT((TEXT($AE$5:$OE$5, "mmm")=LOWER(K$3))*$AE61:$OE61))</f>
        <v/>
      </c>
      <c r="M61" s="34"/>
      <c r="N61" s="34" t="str" cm="1">
        <f t="array" ref="N61">IF($C61="","",SUMPRODUCT((TEXT($AE$5:$OE$5, "mmm")=LOWER(M$3))*$AE61:$OE61))</f>
        <v/>
      </c>
      <c r="O61" s="34"/>
      <c r="P61" s="34" t="str" cm="1">
        <f t="array" ref="P61">IF($C61="","",SUMPRODUCT((TEXT($AE$5:$OE$5, "mmm")=LOWER(O$3))*$AE61:$OE61))</f>
        <v/>
      </c>
      <c r="Q61" s="34"/>
      <c r="R61" s="34" t="str" cm="1">
        <f t="array" ref="R61">IF($C61="","",SUMPRODUCT((TEXT($AE$5:$OE$5, "mmm")=LOWER(Q$3))*$AE61:$OE61))</f>
        <v/>
      </c>
      <c r="S61" s="34"/>
      <c r="T61" s="34" t="str" cm="1">
        <f t="array" ref="T61">IF($C61="","",SUMPRODUCT((TEXT($AE$5:$OE$5, "mmm")=LOWER(S$3))*$AE61:$OE61))</f>
        <v/>
      </c>
      <c r="U61" s="34"/>
      <c r="V61" s="34" t="str" cm="1">
        <f t="array" ref="V61">IF($C61="","",SUMPRODUCT((TEXT($AE$5:$OE$5, "mmm")=LOWER(U$3))*$AE61:$OE61))</f>
        <v/>
      </c>
      <c r="W61" s="34"/>
      <c r="X61" s="34" t="str" cm="1">
        <f t="array" ref="X61">IF($C61="","",SUMPRODUCT((TEXT($AE$5:$OE$5, "mmm")=LOWER(W$3))*$AE61:$OE61))</f>
        <v/>
      </c>
      <c r="Y61" s="34"/>
      <c r="Z61" s="34" t="str" cm="1">
        <f t="array" ref="Z61">IF($C61="","",SUMPRODUCT((TEXT($AE$5:$OE$5, "mmm")=LOWER(Y$3))*$AE61:$OE61))</f>
        <v/>
      </c>
      <c r="AA61" s="34"/>
      <c r="AB61" s="34" t="str" cm="1">
        <f t="array" ref="AB61">IF($C61="","",SUMPRODUCT((TEXT($AE$5:$OE$5, "mmm")=LOWER(AA$3))*$AE61:$OE61))</f>
        <v/>
      </c>
      <c r="AC61" s="34"/>
      <c r="AD61" s="34" t="str" cm="1">
        <f t="array" ref="AD61">IF($C61="","",SUMPRODUCT((TEXT($AE$5:$OE$5, "mmm")=LOWER(AC$3))*$AE61:$OE61))</f>
        <v/>
      </c>
      <c r="OE61" s="49"/>
    </row>
    <row r="62" spans="1:395">
      <c r="A62" s="35"/>
      <c r="C62" s="2" t="str">
        <f>IF(ISBLANK($B62),"",_xlfn.XLOOKUP($B62,Task_No,Project!$C$3:$C$144,"INVALID TASK"))</f>
        <v/>
      </c>
      <c r="E62" s="7" t="str">
        <f t="shared" si="19"/>
        <v/>
      </c>
      <c r="F62" s="7" t="str">
        <f t="shared" si="17"/>
        <v/>
      </c>
      <c r="G62" s="34"/>
      <c r="H62" s="34" t="str" cm="1">
        <f t="array" ref="H62">IF($C62="","",SUMPRODUCT((TEXT($AE$5:$OE$5, "mmm")=LOWER(G$3))*$AE62:$OE62))</f>
        <v/>
      </c>
      <c r="I62" s="34"/>
      <c r="J62" s="34" t="str" cm="1">
        <f t="array" ref="J62">IF($C62="","",SUMPRODUCT((TEXT($AE$5:$OE$5, "mmm")=LOWER(I$3))*$AE62:$OE62))</f>
        <v/>
      </c>
      <c r="K62" s="34"/>
      <c r="L62" s="34" t="str" cm="1">
        <f t="array" ref="L62">IF($C62="","",SUMPRODUCT((TEXT($AE$5:$OE$5, "mmm")=LOWER(K$3))*$AE62:$OE62))</f>
        <v/>
      </c>
      <c r="M62" s="34"/>
      <c r="N62" s="34" t="str" cm="1">
        <f t="array" ref="N62">IF($C62="","",SUMPRODUCT((TEXT($AE$5:$OE$5, "mmm")=LOWER(M$3))*$AE62:$OE62))</f>
        <v/>
      </c>
      <c r="O62" s="34"/>
      <c r="P62" s="34" t="str" cm="1">
        <f t="array" ref="P62">IF($C62="","",SUMPRODUCT((TEXT($AE$5:$OE$5, "mmm")=LOWER(O$3))*$AE62:$OE62))</f>
        <v/>
      </c>
      <c r="Q62" s="34"/>
      <c r="R62" s="34" t="str" cm="1">
        <f t="array" ref="R62">IF($C62="","",SUMPRODUCT((TEXT($AE$5:$OE$5, "mmm")=LOWER(Q$3))*$AE62:$OE62))</f>
        <v/>
      </c>
      <c r="S62" s="34"/>
      <c r="T62" s="34" t="str" cm="1">
        <f t="array" ref="T62">IF($C62="","",SUMPRODUCT((TEXT($AE$5:$OE$5, "mmm")=LOWER(S$3))*$AE62:$OE62))</f>
        <v/>
      </c>
      <c r="U62" s="34"/>
      <c r="V62" s="34" t="str" cm="1">
        <f t="array" ref="V62">IF($C62="","",SUMPRODUCT((TEXT($AE$5:$OE$5, "mmm")=LOWER(U$3))*$AE62:$OE62))</f>
        <v/>
      </c>
      <c r="W62" s="34"/>
      <c r="X62" s="34" t="str" cm="1">
        <f t="array" ref="X62">IF($C62="","",SUMPRODUCT((TEXT($AE$5:$OE$5, "mmm")=LOWER(W$3))*$AE62:$OE62))</f>
        <v/>
      </c>
      <c r="Y62" s="34"/>
      <c r="Z62" s="34" t="str" cm="1">
        <f t="array" ref="Z62">IF($C62="","",SUMPRODUCT((TEXT($AE$5:$OE$5, "mmm")=LOWER(Y$3))*$AE62:$OE62))</f>
        <v/>
      </c>
      <c r="AA62" s="34"/>
      <c r="AB62" s="34" t="str" cm="1">
        <f t="array" ref="AB62">IF($C62="","",SUMPRODUCT((TEXT($AE$5:$OE$5, "mmm")=LOWER(AA$3))*$AE62:$OE62))</f>
        <v/>
      </c>
      <c r="AC62" s="34"/>
      <c r="AD62" s="34" t="str" cm="1">
        <f t="array" ref="AD62">IF($C62="","",SUMPRODUCT((TEXT($AE$5:$OE$5, "mmm")=LOWER(AC$3))*$AE62:$OE62))</f>
        <v/>
      </c>
      <c r="OE62" s="49"/>
    </row>
    <row r="63" spans="1:395">
      <c r="A63" s="35"/>
      <c r="C63" s="2" t="str">
        <f>IF(ISBLANK($B63),"",_xlfn.XLOOKUP($B63,Task_No,Project!$C$3:$C$144,"INVALID TASK"))</f>
        <v/>
      </c>
      <c r="E63" s="7" t="str">
        <f t="shared" si="19"/>
        <v/>
      </c>
      <c r="F63" s="7" t="str">
        <f t="shared" si="17"/>
        <v/>
      </c>
      <c r="G63" s="34"/>
      <c r="H63" s="34" t="str" cm="1">
        <f t="array" ref="H63">IF($C63="","",SUMPRODUCT((TEXT($AE$5:$OE$5, "mmm")=LOWER(G$3))*$AE63:$OE63))</f>
        <v/>
      </c>
      <c r="I63" s="34"/>
      <c r="J63" s="34" t="str" cm="1">
        <f t="array" ref="J63">IF($C63="","",SUMPRODUCT((TEXT($AE$5:$OE$5, "mmm")=LOWER(I$3))*$AE63:$OE63))</f>
        <v/>
      </c>
      <c r="K63" s="34"/>
      <c r="L63" s="34" t="str" cm="1">
        <f t="array" ref="L63">IF($C63="","",SUMPRODUCT((TEXT($AE$5:$OE$5, "mmm")=LOWER(K$3))*$AE63:$OE63))</f>
        <v/>
      </c>
      <c r="M63" s="34"/>
      <c r="N63" s="34" t="str" cm="1">
        <f t="array" ref="N63">IF($C63="","",SUMPRODUCT((TEXT($AE$5:$OE$5, "mmm")=LOWER(M$3))*$AE63:$OE63))</f>
        <v/>
      </c>
      <c r="O63" s="34"/>
      <c r="P63" s="34" t="str" cm="1">
        <f t="array" ref="P63">IF($C63="","",SUMPRODUCT((TEXT($AE$5:$OE$5, "mmm")=LOWER(O$3))*$AE63:$OE63))</f>
        <v/>
      </c>
      <c r="Q63" s="34"/>
      <c r="R63" s="34" t="str" cm="1">
        <f t="array" ref="R63">IF($C63="","",SUMPRODUCT((TEXT($AE$5:$OE$5, "mmm")=LOWER(Q$3))*$AE63:$OE63))</f>
        <v/>
      </c>
      <c r="S63" s="34"/>
      <c r="T63" s="34" t="str" cm="1">
        <f t="array" ref="T63">IF($C63="","",SUMPRODUCT((TEXT($AE$5:$OE$5, "mmm")=LOWER(S$3))*$AE63:$OE63))</f>
        <v/>
      </c>
      <c r="U63" s="34"/>
      <c r="V63" s="34" t="str" cm="1">
        <f t="array" ref="V63">IF($C63="","",SUMPRODUCT((TEXT($AE$5:$OE$5, "mmm")=LOWER(U$3))*$AE63:$OE63))</f>
        <v/>
      </c>
      <c r="W63" s="34"/>
      <c r="X63" s="34" t="str" cm="1">
        <f t="array" ref="X63">IF($C63="","",SUMPRODUCT((TEXT($AE$5:$OE$5, "mmm")=LOWER(W$3))*$AE63:$OE63))</f>
        <v/>
      </c>
      <c r="Y63" s="34"/>
      <c r="Z63" s="34" t="str" cm="1">
        <f t="array" ref="Z63">IF($C63="","",SUMPRODUCT((TEXT($AE$5:$OE$5, "mmm")=LOWER(Y$3))*$AE63:$OE63))</f>
        <v/>
      </c>
      <c r="AA63" s="34"/>
      <c r="AB63" s="34" t="str" cm="1">
        <f t="array" ref="AB63">IF($C63="","",SUMPRODUCT((TEXT($AE$5:$OE$5, "mmm")=LOWER(AA$3))*$AE63:$OE63))</f>
        <v/>
      </c>
      <c r="AC63" s="34"/>
      <c r="AD63" s="34" t="str" cm="1">
        <f t="array" ref="AD63">IF($C63="","",SUMPRODUCT((TEXT($AE$5:$OE$5, "mmm")=LOWER(AC$3))*$AE63:$OE63))</f>
        <v/>
      </c>
      <c r="OE63" s="49"/>
    </row>
    <row r="64" spans="1:395">
      <c r="A64" s="35"/>
      <c r="C64" s="2" t="str">
        <f>IF(ISBLANK($B64),"",_xlfn.XLOOKUP($B64,Task_No,Project!$C$3:$C$144,"INVALID TASK"))</f>
        <v/>
      </c>
      <c r="E64" s="7" t="str">
        <f t="shared" si="19"/>
        <v/>
      </c>
      <c r="F64" s="7" t="str">
        <f t="shared" si="17"/>
        <v/>
      </c>
      <c r="G64" s="34"/>
      <c r="H64" s="34" t="str" cm="1">
        <f t="array" ref="H64">IF($C64="","",SUMPRODUCT((TEXT($AE$5:$OE$5, "mmm")=LOWER(G$3))*$AE64:$OE64))</f>
        <v/>
      </c>
      <c r="I64" s="34"/>
      <c r="J64" s="34" t="str" cm="1">
        <f t="array" ref="J64">IF($C64="","",SUMPRODUCT((TEXT($AE$5:$OE$5, "mmm")=LOWER(I$3))*$AE64:$OE64))</f>
        <v/>
      </c>
      <c r="K64" s="34"/>
      <c r="L64" s="34" t="str" cm="1">
        <f t="array" ref="L64">IF($C64="","",SUMPRODUCT((TEXT($AE$5:$OE$5, "mmm")=LOWER(K$3))*$AE64:$OE64))</f>
        <v/>
      </c>
      <c r="M64" s="34"/>
      <c r="N64" s="34" t="str" cm="1">
        <f t="array" ref="N64">IF($C64="","",SUMPRODUCT((TEXT($AE$5:$OE$5, "mmm")=LOWER(M$3))*$AE64:$OE64))</f>
        <v/>
      </c>
      <c r="O64" s="34"/>
      <c r="P64" s="34" t="str" cm="1">
        <f t="array" ref="P64">IF($C64="","",SUMPRODUCT((TEXT($AE$5:$OE$5, "mmm")=LOWER(O$3))*$AE64:$OE64))</f>
        <v/>
      </c>
      <c r="Q64" s="34"/>
      <c r="R64" s="34" t="str" cm="1">
        <f t="array" ref="R64">IF($C64="","",SUMPRODUCT((TEXT($AE$5:$OE$5, "mmm")=LOWER(Q$3))*$AE64:$OE64))</f>
        <v/>
      </c>
      <c r="S64" s="34"/>
      <c r="T64" s="34" t="str" cm="1">
        <f t="array" ref="T64">IF($C64="","",SUMPRODUCT((TEXT($AE$5:$OE$5, "mmm")=LOWER(S$3))*$AE64:$OE64))</f>
        <v/>
      </c>
      <c r="U64" s="34"/>
      <c r="V64" s="34" t="str" cm="1">
        <f t="array" ref="V64">IF($C64="","",SUMPRODUCT((TEXT($AE$5:$OE$5, "mmm")=LOWER(U$3))*$AE64:$OE64))</f>
        <v/>
      </c>
      <c r="W64" s="34"/>
      <c r="X64" s="34" t="str" cm="1">
        <f t="array" ref="X64">IF($C64="","",SUMPRODUCT((TEXT($AE$5:$OE$5, "mmm")=LOWER(W$3))*$AE64:$OE64))</f>
        <v/>
      </c>
      <c r="Y64" s="34"/>
      <c r="Z64" s="34" t="str" cm="1">
        <f t="array" ref="Z64">IF($C64="","",SUMPRODUCT((TEXT($AE$5:$OE$5, "mmm")=LOWER(Y$3))*$AE64:$OE64))</f>
        <v/>
      </c>
      <c r="AA64" s="34"/>
      <c r="AB64" s="34" t="str" cm="1">
        <f t="array" ref="AB64">IF($C64="","",SUMPRODUCT((TEXT($AE$5:$OE$5, "mmm")=LOWER(AA$3))*$AE64:$OE64))</f>
        <v/>
      </c>
      <c r="AC64" s="34"/>
      <c r="AD64" s="34" t="str" cm="1">
        <f t="array" ref="AD64">IF($C64="","",SUMPRODUCT((TEXT($AE$5:$OE$5, "mmm")=LOWER(AC$3))*$AE64:$OE64))</f>
        <v/>
      </c>
      <c r="OE64" s="49"/>
    </row>
    <row r="65" spans="1:395">
      <c r="A65" s="35"/>
      <c r="C65" s="2" t="str">
        <f>IF(ISBLANK($B65),"",_xlfn.XLOOKUP($B65,Task_No,Project!$C$3:$C$144,"INVALID TASK"))</f>
        <v/>
      </c>
      <c r="E65" s="7" t="str">
        <f t="shared" si="19"/>
        <v/>
      </c>
      <c r="F65" s="7" t="str">
        <f t="shared" si="17"/>
        <v/>
      </c>
      <c r="G65" s="34"/>
      <c r="H65" s="34" t="str" cm="1">
        <f t="array" ref="H65">IF($C65="","",SUMPRODUCT((TEXT($AE$5:$OE$5, "mmm")=LOWER(G$3))*$AE65:$OE65))</f>
        <v/>
      </c>
      <c r="I65" s="34"/>
      <c r="J65" s="34" t="str" cm="1">
        <f t="array" ref="J65">IF($C65="","",SUMPRODUCT((TEXT($AE$5:$OE$5, "mmm")=LOWER(I$3))*$AE65:$OE65))</f>
        <v/>
      </c>
      <c r="K65" s="34"/>
      <c r="L65" s="34" t="str" cm="1">
        <f t="array" ref="L65">IF($C65="","",SUMPRODUCT((TEXT($AE$5:$OE$5, "mmm")=LOWER(K$3))*$AE65:$OE65))</f>
        <v/>
      </c>
      <c r="M65" s="34"/>
      <c r="N65" s="34" t="str" cm="1">
        <f t="array" ref="N65">IF($C65="","",SUMPRODUCT((TEXT($AE$5:$OE$5, "mmm")=LOWER(M$3))*$AE65:$OE65))</f>
        <v/>
      </c>
      <c r="O65" s="34"/>
      <c r="P65" s="34" t="str" cm="1">
        <f t="array" ref="P65">IF($C65="","",SUMPRODUCT((TEXT($AE$5:$OE$5, "mmm")=LOWER(O$3))*$AE65:$OE65))</f>
        <v/>
      </c>
      <c r="Q65" s="34"/>
      <c r="R65" s="34" t="str" cm="1">
        <f t="array" ref="R65">IF($C65="","",SUMPRODUCT((TEXT($AE$5:$OE$5, "mmm")=LOWER(Q$3))*$AE65:$OE65))</f>
        <v/>
      </c>
      <c r="S65" s="34"/>
      <c r="T65" s="34" t="str" cm="1">
        <f t="array" ref="T65">IF($C65="","",SUMPRODUCT((TEXT($AE$5:$OE$5, "mmm")=LOWER(S$3))*$AE65:$OE65))</f>
        <v/>
      </c>
      <c r="U65" s="34"/>
      <c r="V65" s="34" t="str" cm="1">
        <f t="array" ref="V65">IF($C65="","",SUMPRODUCT((TEXT($AE$5:$OE$5, "mmm")=LOWER(U$3))*$AE65:$OE65))</f>
        <v/>
      </c>
      <c r="W65" s="34"/>
      <c r="X65" s="34" t="str" cm="1">
        <f t="array" ref="X65">IF($C65="","",SUMPRODUCT((TEXT($AE$5:$OE$5, "mmm")=LOWER(W$3))*$AE65:$OE65))</f>
        <v/>
      </c>
      <c r="Y65" s="34"/>
      <c r="Z65" s="34" t="str" cm="1">
        <f t="array" ref="Z65">IF($C65="","",SUMPRODUCT((TEXT($AE$5:$OE$5, "mmm")=LOWER(Y$3))*$AE65:$OE65))</f>
        <v/>
      </c>
      <c r="AA65" s="34"/>
      <c r="AB65" s="34" t="str" cm="1">
        <f t="array" ref="AB65">IF($C65="","",SUMPRODUCT((TEXT($AE$5:$OE$5, "mmm")=LOWER(AA$3))*$AE65:$OE65))</f>
        <v/>
      </c>
      <c r="AC65" s="34"/>
      <c r="AD65" s="34" t="str" cm="1">
        <f t="array" ref="AD65">IF($C65="","",SUMPRODUCT((TEXT($AE$5:$OE$5, "mmm")=LOWER(AC$3))*$AE65:$OE65))</f>
        <v/>
      </c>
      <c r="OE65" s="49"/>
    </row>
    <row r="66" spans="1:395">
      <c r="A66" s="35"/>
      <c r="C66" s="2" t="str">
        <f>IF(ISBLANK($B66),"",_xlfn.XLOOKUP($B66,Task_No,Project!$C$3:$C$144,"INVALID TASK"))</f>
        <v/>
      </c>
      <c r="E66" s="7" t="str">
        <f t="shared" si="19"/>
        <v/>
      </c>
      <c r="F66" s="7" t="str">
        <f t="shared" si="17"/>
        <v/>
      </c>
      <c r="G66" s="34"/>
      <c r="H66" s="34" t="str" cm="1">
        <f t="array" ref="H66">IF($C66="","",SUMPRODUCT((TEXT($AE$5:$OE$5, "mmm")=LOWER(G$3))*$AE66:$OE66))</f>
        <v/>
      </c>
      <c r="I66" s="34"/>
      <c r="J66" s="34" t="str" cm="1">
        <f t="array" ref="J66">IF($C66="","",SUMPRODUCT((TEXT($AE$5:$OE$5, "mmm")=LOWER(I$3))*$AE66:$OE66))</f>
        <v/>
      </c>
      <c r="K66" s="34"/>
      <c r="L66" s="34" t="str" cm="1">
        <f t="array" ref="L66">IF($C66="","",SUMPRODUCT((TEXT($AE$5:$OE$5, "mmm")=LOWER(K$3))*$AE66:$OE66))</f>
        <v/>
      </c>
      <c r="M66" s="34"/>
      <c r="N66" s="34" t="str" cm="1">
        <f t="array" ref="N66">IF($C66="","",SUMPRODUCT((TEXT($AE$5:$OE$5, "mmm")=LOWER(M$3))*$AE66:$OE66))</f>
        <v/>
      </c>
      <c r="O66" s="34"/>
      <c r="P66" s="34" t="str" cm="1">
        <f t="array" ref="P66">IF($C66="","",SUMPRODUCT((TEXT($AE$5:$OE$5, "mmm")=LOWER(O$3))*$AE66:$OE66))</f>
        <v/>
      </c>
      <c r="Q66" s="34"/>
      <c r="R66" s="34" t="str" cm="1">
        <f t="array" ref="R66">IF($C66="","",SUMPRODUCT((TEXT($AE$5:$OE$5, "mmm")=LOWER(Q$3))*$AE66:$OE66))</f>
        <v/>
      </c>
      <c r="S66" s="34"/>
      <c r="T66" s="34" t="str" cm="1">
        <f t="array" ref="T66">IF($C66="","",SUMPRODUCT((TEXT($AE$5:$OE$5, "mmm")=LOWER(S$3))*$AE66:$OE66))</f>
        <v/>
      </c>
      <c r="U66" s="34"/>
      <c r="V66" s="34" t="str" cm="1">
        <f t="array" ref="V66">IF($C66="","",SUMPRODUCT((TEXT($AE$5:$OE$5, "mmm")=LOWER(U$3))*$AE66:$OE66))</f>
        <v/>
      </c>
      <c r="W66" s="34"/>
      <c r="X66" s="34" t="str" cm="1">
        <f t="array" ref="X66">IF($C66="","",SUMPRODUCT((TEXT($AE$5:$OE$5, "mmm")=LOWER(W$3))*$AE66:$OE66))</f>
        <v/>
      </c>
      <c r="Y66" s="34"/>
      <c r="Z66" s="34" t="str" cm="1">
        <f t="array" ref="Z66">IF($C66="","",SUMPRODUCT((TEXT($AE$5:$OE$5, "mmm")=LOWER(Y$3))*$AE66:$OE66))</f>
        <v/>
      </c>
      <c r="AA66" s="34"/>
      <c r="AB66" s="34" t="str" cm="1">
        <f t="array" ref="AB66">IF($C66="","",SUMPRODUCT((TEXT($AE$5:$OE$5, "mmm")=LOWER(AA$3))*$AE66:$OE66))</f>
        <v/>
      </c>
      <c r="AC66" s="34"/>
      <c r="AD66" s="34" t="str" cm="1">
        <f t="array" ref="AD66">IF($C66="","",SUMPRODUCT((TEXT($AE$5:$OE$5, "mmm")=LOWER(AC$3))*$AE66:$OE66))</f>
        <v/>
      </c>
      <c r="OE66" s="49"/>
    </row>
    <row r="67" spans="1:395">
      <c r="A67" s="35"/>
      <c r="C67" s="2" t="str">
        <f>IF(ISBLANK($B67),"",_xlfn.XLOOKUP($B67,Task_No,Project!$C$3:$C$144,"INVALID TASK"))</f>
        <v/>
      </c>
      <c r="E67" s="7" t="str">
        <f t="shared" si="19"/>
        <v/>
      </c>
      <c r="F67" s="7" t="str">
        <f t="shared" si="17"/>
        <v/>
      </c>
      <c r="G67" s="34"/>
      <c r="H67" s="34" t="str" cm="1">
        <f t="array" ref="H67">IF($C67="","",SUMPRODUCT((TEXT($AE$5:$OE$5, "mmm")=LOWER(G$3))*$AE67:$OE67))</f>
        <v/>
      </c>
      <c r="I67" s="34"/>
      <c r="J67" s="34" t="str" cm="1">
        <f t="array" ref="J67">IF($C67="","",SUMPRODUCT((TEXT($AE$5:$OE$5, "mmm")=LOWER(I$3))*$AE67:$OE67))</f>
        <v/>
      </c>
      <c r="K67" s="34"/>
      <c r="L67" s="34" t="str" cm="1">
        <f t="array" ref="L67">IF($C67="","",SUMPRODUCT((TEXT($AE$5:$OE$5, "mmm")=LOWER(K$3))*$AE67:$OE67))</f>
        <v/>
      </c>
      <c r="M67" s="34"/>
      <c r="N67" s="34" t="str" cm="1">
        <f t="array" ref="N67">IF($C67="","",SUMPRODUCT((TEXT($AE$5:$OE$5, "mmm")=LOWER(M$3))*$AE67:$OE67))</f>
        <v/>
      </c>
      <c r="O67" s="34"/>
      <c r="P67" s="34" t="str" cm="1">
        <f t="array" ref="P67">IF($C67="","",SUMPRODUCT((TEXT($AE$5:$OE$5, "mmm")=LOWER(O$3))*$AE67:$OE67))</f>
        <v/>
      </c>
      <c r="Q67" s="34"/>
      <c r="R67" s="34" t="str" cm="1">
        <f t="array" ref="R67">IF($C67="","",SUMPRODUCT((TEXT($AE$5:$OE$5, "mmm")=LOWER(Q$3))*$AE67:$OE67))</f>
        <v/>
      </c>
      <c r="S67" s="34"/>
      <c r="T67" s="34" t="str" cm="1">
        <f t="array" ref="T67">IF($C67="","",SUMPRODUCT((TEXT($AE$5:$OE$5, "mmm")=LOWER(S$3))*$AE67:$OE67))</f>
        <v/>
      </c>
      <c r="U67" s="34"/>
      <c r="V67" s="34" t="str" cm="1">
        <f t="array" ref="V67">IF($C67="","",SUMPRODUCT((TEXT($AE$5:$OE$5, "mmm")=LOWER(U$3))*$AE67:$OE67))</f>
        <v/>
      </c>
      <c r="W67" s="34"/>
      <c r="X67" s="34" t="str" cm="1">
        <f t="array" ref="X67">IF($C67="","",SUMPRODUCT((TEXT($AE$5:$OE$5, "mmm")=LOWER(W$3))*$AE67:$OE67))</f>
        <v/>
      </c>
      <c r="Y67" s="34"/>
      <c r="Z67" s="34" t="str" cm="1">
        <f t="array" ref="Z67">IF($C67="","",SUMPRODUCT((TEXT($AE$5:$OE$5, "mmm")=LOWER(Y$3))*$AE67:$OE67))</f>
        <v/>
      </c>
      <c r="AA67" s="34"/>
      <c r="AB67" s="34" t="str" cm="1">
        <f t="array" ref="AB67">IF($C67="","",SUMPRODUCT((TEXT($AE$5:$OE$5, "mmm")=LOWER(AA$3))*$AE67:$OE67))</f>
        <v/>
      </c>
      <c r="AC67" s="34"/>
      <c r="AD67" s="34" t="str" cm="1">
        <f t="array" ref="AD67">IF($C67="","",SUMPRODUCT((TEXT($AE$5:$OE$5, "mmm")=LOWER(AC$3))*$AE67:$OE67))</f>
        <v/>
      </c>
      <c r="OE67" s="49"/>
    </row>
    <row r="68" spans="1:395">
      <c r="A68" s="35"/>
      <c r="C68" s="2" t="str">
        <f>IF(ISBLANK($B68),"",_xlfn.XLOOKUP($B68,Task_No,Project!$C$3:$C$144,"INVALID TASK"))</f>
        <v/>
      </c>
      <c r="E68" s="7" t="str">
        <f t="shared" si="19"/>
        <v/>
      </c>
      <c r="F68" s="7" t="str">
        <f t="shared" si="17"/>
        <v/>
      </c>
      <c r="G68" s="34"/>
      <c r="H68" s="34" t="str" cm="1">
        <f t="array" ref="H68">IF($C68="","",SUMPRODUCT((TEXT($AE$5:$OE$5, "mmm")=LOWER(G$3))*$AE68:$OE68))</f>
        <v/>
      </c>
      <c r="I68" s="34"/>
      <c r="J68" s="34" t="str" cm="1">
        <f t="array" ref="J68">IF($C68="","",SUMPRODUCT((TEXT($AE$5:$OE$5, "mmm")=LOWER(I$3))*$AE68:$OE68))</f>
        <v/>
      </c>
      <c r="K68" s="34"/>
      <c r="L68" s="34" t="str" cm="1">
        <f t="array" ref="L68">IF($C68="","",SUMPRODUCT((TEXT($AE$5:$OE$5, "mmm")=LOWER(K$3))*$AE68:$OE68))</f>
        <v/>
      </c>
      <c r="M68" s="34"/>
      <c r="N68" s="34" t="str" cm="1">
        <f t="array" ref="N68">IF($C68="","",SUMPRODUCT((TEXT($AE$5:$OE$5, "mmm")=LOWER(M$3))*$AE68:$OE68))</f>
        <v/>
      </c>
      <c r="O68" s="34"/>
      <c r="P68" s="34" t="str" cm="1">
        <f t="array" ref="P68">IF($C68="","",SUMPRODUCT((TEXT($AE$5:$OE$5, "mmm")=LOWER(O$3))*$AE68:$OE68))</f>
        <v/>
      </c>
      <c r="Q68" s="34"/>
      <c r="R68" s="34" t="str" cm="1">
        <f t="array" ref="R68">IF($C68="","",SUMPRODUCT((TEXT($AE$5:$OE$5, "mmm")=LOWER(Q$3))*$AE68:$OE68))</f>
        <v/>
      </c>
      <c r="S68" s="34"/>
      <c r="T68" s="34" t="str" cm="1">
        <f t="array" ref="T68">IF($C68="","",SUMPRODUCT((TEXT($AE$5:$OE$5, "mmm")=LOWER(S$3))*$AE68:$OE68))</f>
        <v/>
      </c>
      <c r="U68" s="34"/>
      <c r="V68" s="34" t="str" cm="1">
        <f t="array" ref="V68">IF($C68="","",SUMPRODUCT((TEXT($AE$5:$OE$5, "mmm")=LOWER(U$3))*$AE68:$OE68))</f>
        <v/>
      </c>
      <c r="W68" s="34"/>
      <c r="X68" s="34" t="str" cm="1">
        <f t="array" ref="X68">IF($C68="","",SUMPRODUCT((TEXT($AE$5:$OE$5, "mmm")=LOWER(W$3))*$AE68:$OE68))</f>
        <v/>
      </c>
      <c r="Y68" s="34"/>
      <c r="Z68" s="34" t="str" cm="1">
        <f t="array" ref="Z68">IF($C68="","",SUMPRODUCT((TEXT($AE$5:$OE$5, "mmm")=LOWER(Y$3))*$AE68:$OE68))</f>
        <v/>
      </c>
      <c r="AA68" s="34"/>
      <c r="AB68" s="34" t="str" cm="1">
        <f t="array" ref="AB68">IF($C68="","",SUMPRODUCT((TEXT($AE$5:$OE$5, "mmm")=LOWER(AA$3))*$AE68:$OE68))</f>
        <v/>
      </c>
      <c r="AC68" s="34"/>
      <c r="AD68" s="34" t="str" cm="1">
        <f t="array" ref="AD68">IF($C68="","",SUMPRODUCT((TEXT($AE$5:$OE$5, "mmm")=LOWER(AC$3))*$AE68:$OE68))</f>
        <v/>
      </c>
      <c r="OE68" s="49"/>
    </row>
    <row r="69" spans="1:395">
      <c r="A69" s="35"/>
      <c r="C69" s="2" t="str">
        <f>IF(ISBLANK($B69),"",_xlfn.XLOOKUP($B69,Task_No,Project!$C$3:$C$144,"INVALID TASK"))</f>
        <v/>
      </c>
      <c r="E69" s="7" t="str">
        <f t="shared" si="19"/>
        <v/>
      </c>
      <c r="F69" s="7" t="str">
        <f t="shared" si="17"/>
        <v/>
      </c>
      <c r="G69" s="34"/>
      <c r="H69" s="34" t="str" cm="1">
        <f t="array" ref="H69">IF($C69="","",SUMPRODUCT((TEXT($AE$5:$OE$5, "mmm")=LOWER(G$3))*$AE69:$OE69))</f>
        <v/>
      </c>
      <c r="I69" s="34"/>
      <c r="J69" s="34" t="str" cm="1">
        <f t="array" ref="J69">IF($C69="","",SUMPRODUCT((TEXT($AE$5:$OE$5, "mmm")=LOWER(I$3))*$AE69:$OE69))</f>
        <v/>
      </c>
      <c r="K69" s="34"/>
      <c r="L69" s="34" t="str" cm="1">
        <f t="array" ref="L69">IF($C69="","",SUMPRODUCT((TEXT($AE$5:$OE$5, "mmm")=LOWER(K$3))*$AE69:$OE69))</f>
        <v/>
      </c>
      <c r="M69" s="34"/>
      <c r="N69" s="34" t="str" cm="1">
        <f t="array" ref="N69">IF($C69="","",SUMPRODUCT((TEXT($AE$5:$OE$5, "mmm")=LOWER(M$3))*$AE69:$OE69))</f>
        <v/>
      </c>
      <c r="O69" s="34"/>
      <c r="P69" s="34" t="str" cm="1">
        <f t="array" ref="P69">IF($C69="","",SUMPRODUCT((TEXT($AE$5:$OE$5, "mmm")=LOWER(O$3))*$AE69:$OE69))</f>
        <v/>
      </c>
      <c r="Q69" s="34"/>
      <c r="R69" s="34" t="str" cm="1">
        <f t="array" ref="R69">IF($C69="","",SUMPRODUCT((TEXT($AE$5:$OE$5, "mmm")=LOWER(Q$3))*$AE69:$OE69))</f>
        <v/>
      </c>
      <c r="S69" s="34"/>
      <c r="T69" s="34" t="str" cm="1">
        <f t="array" ref="T69">IF($C69="","",SUMPRODUCT((TEXT($AE$5:$OE$5, "mmm")=LOWER(S$3))*$AE69:$OE69))</f>
        <v/>
      </c>
      <c r="U69" s="34"/>
      <c r="V69" s="34" t="str" cm="1">
        <f t="array" ref="V69">IF($C69="","",SUMPRODUCT((TEXT($AE$5:$OE$5, "mmm")=LOWER(U$3))*$AE69:$OE69))</f>
        <v/>
      </c>
      <c r="W69" s="34"/>
      <c r="X69" s="34" t="str" cm="1">
        <f t="array" ref="X69">IF($C69="","",SUMPRODUCT((TEXT($AE$5:$OE$5, "mmm")=LOWER(W$3))*$AE69:$OE69))</f>
        <v/>
      </c>
      <c r="Y69" s="34"/>
      <c r="Z69" s="34" t="str" cm="1">
        <f t="array" ref="Z69">IF($C69="","",SUMPRODUCT((TEXT($AE$5:$OE$5, "mmm")=LOWER(Y$3))*$AE69:$OE69))</f>
        <v/>
      </c>
      <c r="AA69" s="34"/>
      <c r="AB69" s="34" t="str" cm="1">
        <f t="array" ref="AB69">IF($C69="","",SUMPRODUCT((TEXT($AE$5:$OE$5, "mmm")=LOWER(AA$3))*$AE69:$OE69))</f>
        <v/>
      </c>
      <c r="AC69" s="34"/>
      <c r="AD69" s="34" t="str" cm="1">
        <f t="array" ref="AD69">IF($C69="","",SUMPRODUCT((TEXT($AE$5:$OE$5, "mmm")=LOWER(AC$3))*$AE69:$OE69))</f>
        <v/>
      </c>
      <c r="OE69" s="49"/>
    </row>
    <row r="70" spans="1:395">
      <c r="A70" s="35"/>
      <c r="C70" s="2" t="str">
        <f>IF(ISBLANK($B70),"",_xlfn.XLOOKUP($B70,Task_No,Project!$C$3:$C$144,"INVALID TASK"))</f>
        <v/>
      </c>
      <c r="E70" s="7" t="str">
        <f t="shared" si="19"/>
        <v/>
      </c>
      <c r="F70" s="7" t="str">
        <f t="shared" si="17"/>
        <v/>
      </c>
      <c r="G70" s="34"/>
      <c r="H70" s="34" t="str" cm="1">
        <f t="array" ref="H70">IF($C70="","",SUMPRODUCT((TEXT($AE$5:$OE$5, "mmm")=LOWER(G$3))*$AE70:$OE70))</f>
        <v/>
      </c>
      <c r="I70" s="34"/>
      <c r="J70" s="34" t="str" cm="1">
        <f t="array" ref="J70">IF($C70="","",SUMPRODUCT((TEXT($AE$5:$OE$5, "mmm")=LOWER(I$3))*$AE70:$OE70))</f>
        <v/>
      </c>
      <c r="K70" s="34"/>
      <c r="L70" s="34" t="str" cm="1">
        <f t="array" ref="L70">IF($C70="","",SUMPRODUCT((TEXT($AE$5:$OE$5, "mmm")=LOWER(K$3))*$AE70:$OE70))</f>
        <v/>
      </c>
      <c r="M70" s="34"/>
      <c r="N70" s="34" t="str" cm="1">
        <f t="array" ref="N70">IF($C70="","",SUMPRODUCT((TEXT($AE$5:$OE$5, "mmm")=LOWER(M$3))*$AE70:$OE70))</f>
        <v/>
      </c>
      <c r="O70" s="34"/>
      <c r="P70" s="34" t="str" cm="1">
        <f t="array" ref="P70">IF($C70="","",SUMPRODUCT((TEXT($AE$5:$OE$5, "mmm")=LOWER(O$3))*$AE70:$OE70))</f>
        <v/>
      </c>
      <c r="Q70" s="34"/>
      <c r="R70" s="34" t="str" cm="1">
        <f t="array" ref="R70">IF($C70="","",SUMPRODUCT((TEXT($AE$5:$OE$5, "mmm")=LOWER(Q$3))*$AE70:$OE70))</f>
        <v/>
      </c>
      <c r="S70" s="34"/>
      <c r="T70" s="34" t="str" cm="1">
        <f t="array" ref="T70">IF($C70="","",SUMPRODUCT((TEXT($AE$5:$OE$5, "mmm")=LOWER(S$3))*$AE70:$OE70))</f>
        <v/>
      </c>
      <c r="U70" s="34"/>
      <c r="V70" s="34" t="str" cm="1">
        <f t="array" ref="V70">IF($C70="","",SUMPRODUCT((TEXT($AE$5:$OE$5, "mmm")=LOWER(U$3))*$AE70:$OE70))</f>
        <v/>
      </c>
      <c r="W70" s="34"/>
      <c r="X70" s="34" t="str" cm="1">
        <f t="array" ref="X70">IF($C70="","",SUMPRODUCT((TEXT($AE$5:$OE$5, "mmm")=LOWER(W$3))*$AE70:$OE70))</f>
        <v/>
      </c>
      <c r="Y70" s="34"/>
      <c r="Z70" s="34" t="str" cm="1">
        <f t="array" ref="Z70">IF($C70="","",SUMPRODUCT((TEXT($AE$5:$OE$5, "mmm")=LOWER(Y$3))*$AE70:$OE70))</f>
        <v/>
      </c>
      <c r="AA70" s="34"/>
      <c r="AB70" s="34" t="str" cm="1">
        <f t="array" ref="AB70">IF($C70="","",SUMPRODUCT((TEXT($AE$5:$OE$5, "mmm")=LOWER(AA$3))*$AE70:$OE70))</f>
        <v/>
      </c>
      <c r="AC70" s="34"/>
      <c r="AD70" s="34" t="str" cm="1">
        <f t="array" ref="AD70">IF($C70="","",SUMPRODUCT((TEXT($AE$5:$OE$5, "mmm")=LOWER(AC$3))*$AE70:$OE70))</f>
        <v/>
      </c>
      <c r="OE70" s="49"/>
    </row>
    <row r="71" spans="1:395">
      <c r="A71" s="35"/>
      <c r="C71" s="2" t="str">
        <f>IF(ISBLANK($B71),"",_xlfn.XLOOKUP($B71,Task_No,Project!$C$3:$C$144,"INVALID TASK"))</f>
        <v/>
      </c>
      <c r="E71" s="7" t="str">
        <f t="shared" si="19"/>
        <v/>
      </c>
      <c r="F71" s="7" t="str">
        <f t="shared" si="17"/>
        <v/>
      </c>
      <c r="G71" s="34"/>
      <c r="H71" s="34" t="str" cm="1">
        <f t="array" ref="H71">IF($C71="","",SUMPRODUCT((TEXT($AE$5:$OE$5, "mmm")=LOWER(G$3))*$AE71:$OE71))</f>
        <v/>
      </c>
      <c r="I71" s="34"/>
      <c r="J71" s="34" t="str" cm="1">
        <f t="array" ref="J71">IF($C71="","",SUMPRODUCT((TEXT($AE$5:$OE$5, "mmm")=LOWER(I$3))*$AE71:$OE71))</f>
        <v/>
      </c>
      <c r="K71" s="34"/>
      <c r="L71" s="34" t="str" cm="1">
        <f t="array" ref="L71">IF($C71="","",SUMPRODUCT((TEXT($AE$5:$OE$5, "mmm")=LOWER(K$3))*$AE71:$OE71))</f>
        <v/>
      </c>
      <c r="M71" s="34"/>
      <c r="N71" s="34" t="str" cm="1">
        <f t="array" ref="N71">IF($C71="","",SUMPRODUCT((TEXT($AE$5:$OE$5, "mmm")=LOWER(M$3))*$AE71:$OE71))</f>
        <v/>
      </c>
      <c r="O71" s="34"/>
      <c r="P71" s="34" t="str" cm="1">
        <f t="array" ref="P71">IF($C71="","",SUMPRODUCT((TEXT($AE$5:$OE$5, "mmm")=LOWER(O$3))*$AE71:$OE71))</f>
        <v/>
      </c>
      <c r="Q71" s="34"/>
      <c r="R71" s="34" t="str" cm="1">
        <f t="array" ref="R71">IF($C71="","",SUMPRODUCT((TEXT($AE$5:$OE$5, "mmm")=LOWER(Q$3))*$AE71:$OE71))</f>
        <v/>
      </c>
      <c r="S71" s="34"/>
      <c r="T71" s="34" t="str" cm="1">
        <f t="array" ref="T71">IF($C71="","",SUMPRODUCT((TEXT($AE$5:$OE$5, "mmm")=LOWER(S$3))*$AE71:$OE71))</f>
        <v/>
      </c>
      <c r="U71" s="34"/>
      <c r="V71" s="34" t="str" cm="1">
        <f t="array" ref="V71">IF($C71="","",SUMPRODUCT((TEXT($AE$5:$OE$5, "mmm")=LOWER(U$3))*$AE71:$OE71))</f>
        <v/>
      </c>
      <c r="W71" s="34"/>
      <c r="X71" s="34" t="str" cm="1">
        <f t="array" ref="X71">IF($C71="","",SUMPRODUCT((TEXT($AE$5:$OE$5, "mmm")=LOWER(W$3))*$AE71:$OE71))</f>
        <v/>
      </c>
      <c r="Y71" s="34"/>
      <c r="Z71" s="34" t="str" cm="1">
        <f t="array" ref="Z71">IF($C71="","",SUMPRODUCT((TEXT($AE$5:$OE$5, "mmm")=LOWER(Y$3))*$AE71:$OE71))</f>
        <v/>
      </c>
      <c r="AA71" s="34"/>
      <c r="AB71" s="34" t="str" cm="1">
        <f t="array" ref="AB71">IF($C71="","",SUMPRODUCT((TEXT($AE$5:$OE$5, "mmm")=LOWER(AA$3))*$AE71:$OE71))</f>
        <v/>
      </c>
      <c r="AC71" s="34"/>
      <c r="AD71" s="34" t="str" cm="1">
        <f t="array" ref="AD71">IF($C71="","",SUMPRODUCT((TEXT($AE$5:$OE$5, "mmm")=LOWER(AC$3))*$AE71:$OE71))</f>
        <v/>
      </c>
      <c r="OE71" s="49"/>
    </row>
    <row r="72" spans="1:395">
      <c r="A72" s="35"/>
      <c r="C72" s="2" t="str">
        <f>IF(ISBLANK($B72),"",_xlfn.XLOOKUP($B72,Task_No,Project!$C$3:$C$144,"INVALID TASK"))</f>
        <v/>
      </c>
      <c r="E72" s="7" t="str">
        <f t="shared" si="19"/>
        <v/>
      </c>
      <c r="F72" s="7" t="str">
        <f t="shared" si="17"/>
        <v/>
      </c>
      <c r="G72" s="34"/>
      <c r="H72" s="34" t="str" cm="1">
        <f t="array" ref="H72">IF($C72="","",SUMPRODUCT((TEXT($AE$5:$OE$5, "mmm")=LOWER(G$3))*$AE72:$OE72))</f>
        <v/>
      </c>
      <c r="I72" s="34"/>
      <c r="J72" s="34" t="str" cm="1">
        <f t="array" ref="J72">IF($C72="","",SUMPRODUCT((TEXT($AE$5:$OE$5, "mmm")=LOWER(I$3))*$AE72:$OE72))</f>
        <v/>
      </c>
      <c r="K72" s="34"/>
      <c r="L72" s="34" t="str" cm="1">
        <f t="array" ref="L72">IF($C72="","",SUMPRODUCT((TEXT($AE$5:$OE$5, "mmm")=LOWER(K$3))*$AE72:$OE72))</f>
        <v/>
      </c>
      <c r="M72" s="34"/>
      <c r="N72" s="34" t="str" cm="1">
        <f t="array" ref="N72">IF($C72="","",SUMPRODUCT((TEXT($AE$5:$OE$5, "mmm")=LOWER(M$3))*$AE72:$OE72))</f>
        <v/>
      </c>
      <c r="O72" s="34"/>
      <c r="P72" s="34" t="str" cm="1">
        <f t="array" ref="P72">IF($C72="","",SUMPRODUCT((TEXT($AE$5:$OE$5, "mmm")=LOWER(O$3))*$AE72:$OE72))</f>
        <v/>
      </c>
      <c r="Q72" s="34"/>
      <c r="R72" s="34" t="str" cm="1">
        <f t="array" ref="R72">IF($C72="","",SUMPRODUCT((TEXT($AE$5:$OE$5, "mmm")=LOWER(Q$3))*$AE72:$OE72))</f>
        <v/>
      </c>
      <c r="S72" s="34"/>
      <c r="T72" s="34" t="str" cm="1">
        <f t="array" ref="T72">IF($C72="","",SUMPRODUCT((TEXT($AE$5:$OE$5, "mmm")=LOWER(S$3))*$AE72:$OE72))</f>
        <v/>
      </c>
      <c r="U72" s="34"/>
      <c r="V72" s="34" t="str" cm="1">
        <f t="array" ref="V72">IF($C72="","",SUMPRODUCT((TEXT($AE$5:$OE$5, "mmm")=LOWER(U$3))*$AE72:$OE72))</f>
        <v/>
      </c>
      <c r="W72" s="34"/>
      <c r="X72" s="34" t="str" cm="1">
        <f t="array" ref="X72">IF($C72="","",SUMPRODUCT((TEXT($AE$5:$OE$5, "mmm")=LOWER(W$3))*$AE72:$OE72))</f>
        <v/>
      </c>
      <c r="Y72" s="34"/>
      <c r="Z72" s="34" t="str" cm="1">
        <f t="array" ref="Z72">IF($C72="","",SUMPRODUCT((TEXT($AE$5:$OE$5, "mmm")=LOWER(Y$3))*$AE72:$OE72))</f>
        <v/>
      </c>
      <c r="AA72" s="34"/>
      <c r="AB72" s="34" t="str" cm="1">
        <f t="array" ref="AB72">IF($C72="","",SUMPRODUCT((TEXT($AE$5:$OE$5, "mmm")=LOWER(AA$3))*$AE72:$OE72))</f>
        <v/>
      </c>
      <c r="AC72" s="34"/>
      <c r="AD72" s="34" t="str" cm="1">
        <f t="array" ref="AD72">IF($C72="","",SUMPRODUCT((TEXT($AE$5:$OE$5, "mmm")=LOWER(AC$3))*$AE72:$OE72))</f>
        <v/>
      </c>
      <c r="OE72" s="49"/>
    </row>
    <row r="73" spans="1:395">
      <c r="A73" s="35"/>
      <c r="C73" s="2" t="str">
        <f>IF(ISBLANK($B73),"",_xlfn.XLOOKUP($B73,Task_No,Project!$C$3:$C$144,"INVALID TASK"))</f>
        <v/>
      </c>
      <c r="E73" s="7" t="str">
        <f t="shared" si="19"/>
        <v/>
      </c>
      <c r="F73" s="7" t="str">
        <f t="shared" si="17"/>
        <v/>
      </c>
      <c r="G73" s="34"/>
      <c r="H73" s="34" t="str" cm="1">
        <f t="array" ref="H73">IF($C73="","",SUMPRODUCT((TEXT($AE$5:$OE$5, "mmm")=LOWER(G$3))*$AE73:$OE73))</f>
        <v/>
      </c>
      <c r="I73" s="34"/>
      <c r="J73" s="34" t="str" cm="1">
        <f t="array" ref="J73">IF($C73="","",SUMPRODUCT((TEXT($AE$5:$OE$5, "mmm")=LOWER(I$3))*$AE73:$OE73))</f>
        <v/>
      </c>
      <c r="K73" s="34"/>
      <c r="L73" s="34" t="str" cm="1">
        <f t="array" ref="L73">IF($C73="","",SUMPRODUCT((TEXT($AE$5:$OE$5, "mmm")=LOWER(K$3))*$AE73:$OE73))</f>
        <v/>
      </c>
      <c r="M73" s="34"/>
      <c r="N73" s="34" t="str" cm="1">
        <f t="array" ref="N73">IF($C73="","",SUMPRODUCT((TEXT($AE$5:$OE$5, "mmm")=LOWER(M$3))*$AE73:$OE73))</f>
        <v/>
      </c>
      <c r="O73" s="34"/>
      <c r="P73" s="34" t="str" cm="1">
        <f t="array" ref="P73">IF($C73="","",SUMPRODUCT((TEXT($AE$5:$OE$5, "mmm")=LOWER(O$3))*$AE73:$OE73))</f>
        <v/>
      </c>
      <c r="Q73" s="34"/>
      <c r="R73" s="34" t="str" cm="1">
        <f t="array" ref="R73">IF($C73="","",SUMPRODUCT((TEXT($AE$5:$OE$5, "mmm")=LOWER(Q$3))*$AE73:$OE73))</f>
        <v/>
      </c>
      <c r="S73" s="34"/>
      <c r="T73" s="34" t="str" cm="1">
        <f t="array" ref="T73">IF($C73="","",SUMPRODUCT((TEXT($AE$5:$OE$5, "mmm")=LOWER(S$3))*$AE73:$OE73))</f>
        <v/>
      </c>
      <c r="U73" s="34"/>
      <c r="V73" s="34" t="str" cm="1">
        <f t="array" ref="V73">IF($C73="","",SUMPRODUCT((TEXT($AE$5:$OE$5, "mmm")=LOWER(U$3))*$AE73:$OE73))</f>
        <v/>
      </c>
      <c r="W73" s="34"/>
      <c r="X73" s="34" t="str" cm="1">
        <f t="array" ref="X73">IF($C73="","",SUMPRODUCT((TEXT($AE$5:$OE$5, "mmm")=LOWER(W$3))*$AE73:$OE73))</f>
        <v/>
      </c>
      <c r="Y73" s="34"/>
      <c r="Z73" s="34" t="str" cm="1">
        <f t="array" ref="Z73">IF($C73="","",SUMPRODUCT((TEXT($AE$5:$OE$5, "mmm")=LOWER(Y$3))*$AE73:$OE73))</f>
        <v/>
      </c>
      <c r="AA73" s="34"/>
      <c r="AB73" s="34" t="str" cm="1">
        <f t="array" ref="AB73">IF($C73="","",SUMPRODUCT((TEXT($AE$5:$OE$5, "mmm")=LOWER(AA$3))*$AE73:$OE73))</f>
        <v/>
      </c>
      <c r="AC73" s="34"/>
      <c r="AD73" s="34" t="str" cm="1">
        <f t="array" ref="AD73">IF($C73="","",SUMPRODUCT((TEXT($AE$5:$OE$5, "mmm")=LOWER(AC$3))*$AE73:$OE73))</f>
        <v/>
      </c>
      <c r="OE73" s="49"/>
    </row>
    <row r="74" spans="1:395">
      <c r="A74" s="35"/>
      <c r="C74" s="2" t="str">
        <f>IF(ISBLANK($B74),"",_xlfn.XLOOKUP($B74,Task_No,Project!$C$3:$C$144,"INVALID TASK"))</f>
        <v/>
      </c>
      <c r="E74" s="7" t="str">
        <f t="shared" si="19"/>
        <v/>
      </c>
      <c r="F74" s="7" t="str">
        <f t="shared" si="17"/>
        <v/>
      </c>
      <c r="G74" s="34"/>
      <c r="H74" s="34" t="str" cm="1">
        <f t="array" ref="H74">IF($C74="","",SUMPRODUCT((TEXT($AE$5:$OE$5, "mmm")=LOWER(G$3))*$AE74:$OE74))</f>
        <v/>
      </c>
      <c r="I74" s="34"/>
      <c r="J74" s="34" t="str" cm="1">
        <f t="array" ref="J74">IF($C74="","",SUMPRODUCT((TEXT($AE$5:$OE$5, "mmm")=LOWER(I$3))*$AE74:$OE74))</f>
        <v/>
      </c>
      <c r="K74" s="34"/>
      <c r="L74" s="34" t="str" cm="1">
        <f t="array" ref="L74">IF($C74="","",SUMPRODUCT((TEXT($AE$5:$OE$5, "mmm")=LOWER(K$3))*$AE74:$OE74))</f>
        <v/>
      </c>
      <c r="M74" s="34"/>
      <c r="N74" s="34" t="str" cm="1">
        <f t="array" ref="N74">IF($C74="","",SUMPRODUCT((TEXT($AE$5:$OE$5, "mmm")=LOWER(M$3))*$AE74:$OE74))</f>
        <v/>
      </c>
      <c r="O74" s="34"/>
      <c r="P74" s="34" t="str" cm="1">
        <f t="array" ref="P74">IF($C74="","",SUMPRODUCT((TEXT($AE$5:$OE$5, "mmm")=LOWER(O$3))*$AE74:$OE74))</f>
        <v/>
      </c>
      <c r="Q74" s="34"/>
      <c r="R74" s="34" t="str" cm="1">
        <f t="array" ref="R74">IF($C74="","",SUMPRODUCT((TEXT($AE$5:$OE$5, "mmm")=LOWER(Q$3))*$AE74:$OE74))</f>
        <v/>
      </c>
      <c r="S74" s="34"/>
      <c r="T74" s="34" t="str" cm="1">
        <f t="array" ref="T74">IF($C74="","",SUMPRODUCT((TEXT($AE$5:$OE$5, "mmm")=LOWER(S$3))*$AE74:$OE74))</f>
        <v/>
      </c>
      <c r="U74" s="34"/>
      <c r="V74" s="34" t="str" cm="1">
        <f t="array" ref="V74">IF($C74="","",SUMPRODUCT((TEXT($AE$5:$OE$5, "mmm")=LOWER(U$3))*$AE74:$OE74))</f>
        <v/>
      </c>
      <c r="W74" s="34"/>
      <c r="X74" s="34" t="str" cm="1">
        <f t="array" ref="X74">IF($C74="","",SUMPRODUCT((TEXT($AE$5:$OE$5, "mmm")=LOWER(W$3))*$AE74:$OE74))</f>
        <v/>
      </c>
      <c r="Y74" s="34"/>
      <c r="Z74" s="34" t="str" cm="1">
        <f t="array" ref="Z74">IF($C74="","",SUMPRODUCT((TEXT($AE$5:$OE$5, "mmm")=LOWER(Y$3))*$AE74:$OE74))</f>
        <v/>
      </c>
      <c r="AA74" s="34"/>
      <c r="AB74" s="34" t="str" cm="1">
        <f t="array" ref="AB74">IF($C74="","",SUMPRODUCT((TEXT($AE$5:$OE$5, "mmm")=LOWER(AA$3))*$AE74:$OE74))</f>
        <v/>
      </c>
      <c r="AC74" s="34"/>
      <c r="AD74" s="34" t="str" cm="1">
        <f t="array" ref="AD74">IF($C74="","",SUMPRODUCT((TEXT($AE$5:$OE$5, "mmm")=LOWER(AC$3))*$AE74:$OE74))</f>
        <v/>
      </c>
      <c r="OE74" s="49"/>
    </row>
    <row r="75" spans="1:395">
      <c r="A75" s="35"/>
      <c r="C75" s="2" t="str">
        <f>IF(ISBLANK($B75),"",_xlfn.XLOOKUP($B75,Task_No,Project!$C$3:$C$144,"INVALID TASK"))</f>
        <v/>
      </c>
      <c r="E75" s="7" t="str">
        <f t="shared" si="19"/>
        <v/>
      </c>
      <c r="F75" s="7" t="str">
        <f t="shared" si="17"/>
        <v/>
      </c>
      <c r="G75" s="34"/>
      <c r="H75" s="34" t="str" cm="1">
        <f t="array" ref="H75">IF($C75="","",SUMPRODUCT((TEXT($AE$5:$OE$5, "mmm")=LOWER(G$3))*$AE75:$OE75))</f>
        <v/>
      </c>
      <c r="I75" s="34"/>
      <c r="J75" s="34" t="str" cm="1">
        <f t="array" ref="J75">IF($C75="","",SUMPRODUCT((TEXT($AE$5:$OE$5, "mmm")=LOWER(I$3))*$AE75:$OE75))</f>
        <v/>
      </c>
      <c r="K75" s="34"/>
      <c r="L75" s="34" t="str" cm="1">
        <f t="array" ref="L75">IF($C75="","",SUMPRODUCT((TEXT($AE$5:$OE$5, "mmm")=LOWER(K$3))*$AE75:$OE75))</f>
        <v/>
      </c>
      <c r="M75" s="34"/>
      <c r="N75" s="34" t="str" cm="1">
        <f t="array" ref="N75">IF($C75="","",SUMPRODUCT((TEXT($AE$5:$OE$5, "mmm")=LOWER(M$3))*$AE75:$OE75))</f>
        <v/>
      </c>
      <c r="O75" s="34"/>
      <c r="P75" s="34" t="str" cm="1">
        <f t="array" ref="P75">IF($C75="","",SUMPRODUCT((TEXT($AE$5:$OE$5, "mmm")=LOWER(O$3))*$AE75:$OE75))</f>
        <v/>
      </c>
      <c r="Q75" s="34"/>
      <c r="R75" s="34" t="str" cm="1">
        <f t="array" ref="R75">IF($C75="","",SUMPRODUCT((TEXT($AE$5:$OE$5, "mmm")=LOWER(Q$3))*$AE75:$OE75))</f>
        <v/>
      </c>
      <c r="S75" s="34"/>
      <c r="T75" s="34" t="str" cm="1">
        <f t="array" ref="T75">IF($C75="","",SUMPRODUCT((TEXT($AE$5:$OE$5, "mmm")=LOWER(S$3))*$AE75:$OE75))</f>
        <v/>
      </c>
      <c r="U75" s="34"/>
      <c r="V75" s="34" t="str" cm="1">
        <f t="array" ref="V75">IF($C75="","",SUMPRODUCT((TEXT($AE$5:$OE$5, "mmm")=LOWER(U$3))*$AE75:$OE75))</f>
        <v/>
      </c>
      <c r="W75" s="34"/>
      <c r="X75" s="34" t="str" cm="1">
        <f t="array" ref="X75">IF($C75="","",SUMPRODUCT((TEXT($AE$5:$OE$5, "mmm")=LOWER(W$3))*$AE75:$OE75))</f>
        <v/>
      </c>
      <c r="Y75" s="34"/>
      <c r="Z75" s="34" t="str" cm="1">
        <f t="array" ref="Z75">IF($C75="","",SUMPRODUCT((TEXT($AE$5:$OE$5, "mmm")=LOWER(Y$3))*$AE75:$OE75))</f>
        <v/>
      </c>
      <c r="AA75" s="34"/>
      <c r="AB75" s="34" t="str" cm="1">
        <f t="array" ref="AB75">IF($C75="","",SUMPRODUCT((TEXT($AE$5:$OE$5, "mmm")=LOWER(AA$3))*$AE75:$OE75))</f>
        <v/>
      </c>
      <c r="AC75" s="34"/>
      <c r="AD75" s="34" t="str" cm="1">
        <f t="array" ref="AD75">IF($C75="","",SUMPRODUCT((TEXT($AE$5:$OE$5, "mmm")=LOWER(AC$3))*$AE75:$OE75))</f>
        <v/>
      </c>
      <c r="OE75" s="49"/>
    </row>
    <row r="76" spans="1:395">
      <c r="A76" s="35"/>
      <c r="C76" s="2" t="str">
        <f>IF(ISBLANK($B76),"",_xlfn.XLOOKUP($B76,Task_No,Project!$C$3:$C$144,"INVALID TASK"))</f>
        <v/>
      </c>
      <c r="E76" s="7" t="str">
        <f t="shared" si="19"/>
        <v/>
      </c>
      <c r="F76" s="7" t="str">
        <f t="shared" si="17"/>
        <v/>
      </c>
      <c r="G76" s="34"/>
      <c r="H76" s="34" t="str" cm="1">
        <f t="array" ref="H76">IF($C76="","",SUMPRODUCT((TEXT($AE$5:$OE$5, "mmm")=LOWER(G$3))*$AE76:$OE76))</f>
        <v/>
      </c>
      <c r="I76" s="34"/>
      <c r="J76" s="34" t="str" cm="1">
        <f t="array" ref="J76">IF($C76="","",SUMPRODUCT((TEXT($AE$5:$OE$5, "mmm")=LOWER(I$3))*$AE76:$OE76))</f>
        <v/>
      </c>
      <c r="K76" s="34"/>
      <c r="L76" s="34" t="str" cm="1">
        <f t="array" ref="L76">IF($C76="","",SUMPRODUCT((TEXT($AE$5:$OE$5, "mmm")=LOWER(K$3))*$AE76:$OE76))</f>
        <v/>
      </c>
      <c r="M76" s="34"/>
      <c r="N76" s="34" t="str" cm="1">
        <f t="array" ref="N76">IF($C76="","",SUMPRODUCT((TEXT($AE$5:$OE$5, "mmm")=LOWER(M$3))*$AE76:$OE76))</f>
        <v/>
      </c>
      <c r="O76" s="34"/>
      <c r="P76" s="34" t="str" cm="1">
        <f t="array" ref="P76">IF($C76="","",SUMPRODUCT((TEXT($AE$5:$OE$5, "mmm")=LOWER(O$3))*$AE76:$OE76))</f>
        <v/>
      </c>
      <c r="Q76" s="34"/>
      <c r="R76" s="34" t="str" cm="1">
        <f t="array" ref="R76">IF($C76="","",SUMPRODUCT((TEXT($AE$5:$OE$5, "mmm")=LOWER(Q$3))*$AE76:$OE76))</f>
        <v/>
      </c>
      <c r="S76" s="34"/>
      <c r="T76" s="34" t="str" cm="1">
        <f t="array" ref="T76">IF($C76="","",SUMPRODUCT((TEXT($AE$5:$OE$5, "mmm")=LOWER(S$3))*$AE76:$OE76))</f>
        <v/>
      </c>
      <c r="U76" s="34"/>
      <c r="V76" s="34" t="str" cm="1">
        <f t="array" ref="V76">IF($C76="","",SUMPRODUCT((TEXT($AE$5:$OE$5, "mmm")=LOWER(U$3))*$AE76:$OE76))</f>
        <v/>
      </c>
      <c r="W76" s="34"/>
      <c r="X76" s="34" t="str" cm="1">
        <f t="array" ref="X76">IF($C76="","",SUMPRODUCT((TEXT($AE$5:$OE$5, "mmm")=LOWER(W$3))*$AE76:$OE76))</f>
        <v/>
      </c>
      <c r="Y76" s="34"/>
      <c r="Z76" s="34" t="str" cm="1">
        <f t="array" ref="Z76">IF($C76="","",SUMPRODUCT((TEXT($AE$5:$OE$5, "mmm")=LOWER(Y$3))*$AE76:$OE76))</f>
        <v/>
      </c>
      <c r="AA76" s="34"/>
      <c r="AB76" s="34" t="str" cm="1">
        <f t="array" ref="AB76">IF($C76="","",SUMPRODUCT((TEXT($AE$5:$OE$5, "mmm")=LOWER(AA$3))*$AE76:$OE76))</f>
        <v/>
      </c>
      <c r="AC76" s="34"/>
      <c r="AD76" s="34" t="str" cm="1">
        <f t="array" ref="AD76">IF($C76="","",SUMPRODUCT((TEXT($AE$5:$OE$5, "mmm")=LOWER(AC$3))*$AE76:$OE76))</f>
        <v/>
      </c>
      <c r="OE76" s="49"/>
    </row>
    <row r="77" spans="1:395">
      <c r="A77" s="35"/>
      <c r="C77" s="2" t="str">
        <f>IF(ISBLANK($B77),"",_xlfn.XLOOKUP($B77,Task_No,Project!$C$3:$C$144,"INVALID TASK"))</f>
        <v/>
      </c>
      <c r="E77" s="7" t="str">
        <f t="shared" si="19"/>
        <v/>
      </c>
      <c r="F77" s="7" t="str">
        <f t="shared" si="17"/>
        <v/>
      </c>
      <c r="G77" s="34"/>
      <c r="H77" s="34" t="str" cm="1">
        <f t="array" ref="H77">IF($C77="","",SUMPRODUCT((TEXT($AE$5:$OE$5, "mmm")=LOWER(G$3))*$AE77:$OE77))</f>
        <v/>
      </c>
      <c r="I77" s="34"/>
      <c r="J77" s="34" t="str" cm="1">
        <f t="array" ref="J77">IF($C77="","",SUMPRODUCT((TEXT($AE$5:$OE$5, "mmm")=LOWER(I$3))*$AE77:$OE77))</f>
        <v/>
      </c>
      <c r="K77" s="34"/>
      <c r="L77" s="34" t="str" cm="1">
        <f t="array" ref="L77">IF($C77="","",SUMPRODUCT((TEXT($AE$5:$OE$5, "mmm")=LOWER(K$3))*$AE77:$OE77))</f>
        <v/>
      </c>
      <c r="M77" s="34"/>
      <c r="N77" s="34" t="str" cm="1">
        <f t="array" ref="N77">IF($C77="","",SUMPRODUCT((TEXT($AE$5:$OE$5, "mmm")=LOWER(M$3))*$AE77:$OE77))</f>
        <v/>
      </c>
      <c r="O77" s="34"/>
      <c r="P77" s="34" t="str" cm="1">
        <f t="array" ref="P77">IF($C77="","",SUMPRODUCT((TEXT($AE$5:$OE$5, "mmm")=LOWER(O$3))*$AE77:$OE77))</f>
        <v/>
      </c>
      <c r="Q77" s="34"/>
      <c r="R77" s="34" t="str" cm="1">
        <f t="array" ref="R77">IF($C77="","",SUMPRODUCT((TEXT($AE$5:$OE$5, "mmm")=LOWER(Q$3))*$AE77:$OE77))</f>
        <v/>
      </c>
      <c r="S77" s="34"/>
      <c r="T77" s="34" t="str" cm="1">
        <f t="array" ref="T77">IF($C77="","",SUMPRODUCT((TEXT($AE$5:$OE$5, "mmm")=LOWER(S$3))*$AE77:$OE77))</f>
        <v/>
      </c>
      <c r="U77" s="34"/>
      <c r="V77" s="34" t="str" cm="1">
        <f t="array" ref="V77">IF($C77="","",SUMPRODUCT((TEXT($AE$5:$OE$5, "mmm")=LOWER(U$3))*$AE77:$OE77))</f>
        <v/>
      </c>
      <c r="W77" s="34"/>
      <c r="X77" s="34" t="str" cm="1">
        <f t="array" ref="X77">IF($C77="","",SUMPRODUCT((TEXT($AE$5:$OE$5, "mmm")=LOWER(W$3))*$AE77:$OE77))</f>
        <v/>
      </c>
      <c r="Y77" s="34"/>
      <c r="Z77" s="34" t="str" cm="1">
        <f t="array" ref="Z77">IF($C77="","",SUMPRODUCT((TEXT($AE$5:$OE$5, "mmm")=LOWER(Y$3))*$AE77:$OE77))</f>
        <v/>
      </c>
      <c r="AA77" s="34"/>
      <c r="AB77" s="34" t="str" cm="1">
        <f t="array" ref="AB77">IF($C77="","",SUMPRODUCT((TEXT($AE$5:$OE$5, "mmm")=LOWER(AA$3))*$AE77:$OE77))</f>
        <v/>
      </c>
      <c r="AC77" s="34"/>
      <c r="AD77" s="34" t="str" cm="1">
        <f t="array" ref="AD77">IF($C77="","",SUMPRODUCT((TEXT($AE$5:$OE$5, "mmm")=LOWER(AC$3))*$AE77:$OE77))</f>
        <v/>
      </c>
      <c r="OE77" s="49"/>
    </row>
    <row r="78" spans="1:395">
      <c r="A78" s="35"/>
      <c r="C78" s="2" t="str">
        <f>IF(ISBLANK($B78),"",_xlfn.XLOOKUP($B78,Task_No,Project!$C$3:$C$144,"INVALID TASK"))</f>
        <v/>
      </c>
      <c r="E78" s="7" t="str">
        <f t="shared" si="19"/>
        <v/>
      </c>
      <c r="F78" s="7" t="str">
        <f t="shared" si="17"/>
        <v/>
      </c>
      <c r="G78" s="34"/>
      <c r="H78" s="34" t="str" cm="1">
        <f t="array" ref="H78">IF($C78="","",SUMPRODUCT((TEXT($AE$5:$OE$5, "mmm")=LOWER(G$3))*$AE78:$OE78))</f>
        <v/>
      </c>
      <c r="I78" s="34"/>
      <c r="J78" s="34" t="str" cm="1">
        <f t="array" ref="J78">IF($C78="","",SUMPRODUCT((TEXT($AE$5:$OE$5, "mmm")=LOWER(I$3))*$AE78:$OE78))</f>
        <v/>
      </c>
      <c r="K78" s="34"/>
      <c r="L78" s="34" t="str" cm="1">
        <f t="array" ref="L78">IF($C78="","",SUMPRODUCT((TEXT($AE$5:$OE$5, "mmm")=LOWER(K$3))*$AE78:$OE78))</f>
        <v/>
      </c>
      <c r="M78" s="34"/>
      <c r="N78" s="34" t="str" cm="1">
        <f t="array" ref="N78">IF($C78="","",SUMPRODUCT((TEXT($AE$5:$OE$5, "mmm")=LOWER(M$3))*$AE78:$OE78))</f>
        <v/>
      </c>
      <c r="O78" s="34"/>
      <c r="P78" s="34" t="str" cm="1">
        <f t="array" ref="P78">IF($C78="","",SUMPRODUCT((TEXT($AE$5:$OE$5, "mmm")=LOWER(O$3))*$AE78:$OE78))</f>
        <v/>
      </c>
      <c r="Q78" s="34"/>
      <c r="R78" s="34" t="str" cm="1">
        <f t="array" ref="R78">IF($C78="","",SUMPRODUCT((TEXT($AE$5:$OE$5, "mmm")=LOWER(Q$3))*$AE78:$OE78))</f>
        <v/>
      </c>
      <c r="S78" s="34"/>
      <c r="T78" s="34" t="str" cm="1">
        <f t="array" ref="T78">IF($C78="","",SUMPRODUCT((TEXT($AE$5:$OE$5, "mmm")=LOWER(S$3))*$AE78:$OE78))</f>
        <v/>
      </c>
      <c r="U78" s="34"/>
      <c r="V78" s="34" t="str" cm="1">
        <f t="array" ref="V78">IF($C78="","",SUMPRODUCT((TEXT($AE$5:$OE$5, "mmm")=LOWER(U$3))*$AE78:$OE78))</f>
        <v/>
      </c>
      <c r="W78" s="34"/>
      <c r="X78" s="34" t="str" cm="1">
        <f t="array" ref="X78">IF($C78="","",SUMPRODUCT((TEXT($AE$5:$OE$5, "mmm")=LOWER(W$3))*$AE78:$OE78))</f>
        <v/>
      </c>
      <c r="Y78" s="34"/>
      <c r="Z78" s="34" t="str" cm="1">
        <f t="array" ref="Z78">IF($C78="","",SUMPRODUCT((TEXT($AE$5:$OE$5, "mmm")=LOWER(Y$3))*$AE78:$OE78))</f>
        <v/>
      </c>
      <c r="AA78" s="34"/>
      <c r="AB78" s="34" t="str" cm="1">
        <f t="array" ref="AB78">IF($C78="","",SUMPRODUCT((TEXT($AE$5:$OE$5, "mmm")=LOWER(AA$3))*$AE78:$OE78))</f>
        <v/>
      </c>
      <c r="AC78" s="34"/>
      <c r="AD78" s="34" t="str" cm="1">
        <f t="array" ref="AD78">IF($C78="","",SUMPRODUCT((TEXT($AE$5:$OE$5, "mmm")=LOWER(AC$3))*$AE78:$OE78))</f>
        <v/>
      </c>
      <c r="OE78" s="49"/>
    </row>
    <row r="79" spans="1:395">
      <c r="A79" s="35"/>
      <c r="C79" s="2" t="str">
        <f>IF(ISBLANK($B79),"",_xlfn.XLOOKUP($B79,Task_No,Project!$C$3:$C$144,"INVALID TASK"))</f>
        <v/>
      </c>
      <c r="E79" s="7" t="str">
        <f t="shared" si="19"/>
        <v/>
      </c>
      <c r="F79" s="7" t="str">
        <f t="shared" ref="F79:F142" si="20">IF(C79 = "", "", SUM($H79,$J79,$L79,$N79,$P79,$R79,$T79,$V79,$X79,$Z79,$AB79,$AD79))</f>
        <v/>
      </c>
      <c r="G79" s="34"/>
      <c r="H79" s="34" t="str" cm="1">
        <f t="array" ref="H79">IF($C79="","",SUMPRODUCT((TEXT($AE$5:$OE$5, "mmm")=LOWER(G$3))*$AE79:$OE79))</f>
        <v/>
      </c>
      <c r="I79" s="34"/>
      <c r="J79" s="34" t="str" cm="1">
        <f t="array" ref="J79">IF($C79="","",SUMPRODUCT((TEXT($AE$5:$OE$5, "mmm")=LOWER(I$3))*$AE79:$OE79))</f>
        <v/>
      </c>
      <c r="K79" s="34"/>
      <c r="L79" s="34" t="str" cm="1">
        <f t="array" ref="L79">IF($C79="","",SUMPRODUCT((TEXT($AE$5:$OE$5, "mmm")=LOWER(K$3))*$AE79:$OE79))</f>
        <v/>
      </c>
      <c r="M79" s="34"/>
      <c r="N79" s="34" t="str" cm="1">
        <f t="array" ref="N79">IF($C79="","",SUMPRODUCT((TEXT($AE$5:$OE$5, "mmm")=LOWER(M$3))*$AE79:$OE79))</f>
        <v/>
      </c>
      <c r="O79" s="34"/>
      <c r="P79" s="34" t="str" cm="1">
        <f t="array" ref="P79">IF($C79="","",SUMPRODUCT((TEXT($AE$5:$OE$5, "mmm")=LOWER(O$3))*$AE79:$OE79))</f>
        <v/>
      </c>
      <c r="Q79" s="34"/>
      <c r="R79" s="34" t="str" cm="1">
        <f t="array" ref="R79">IF($C79="","",SUMPRODUCT((TEXT($AE$5:$OE$5, "mmm")=LOWER(Q$3))*$AE79:$OE79))</f>
        <v/>
      </c>
      <c r="S79" s="34"/>
      <c r="T79" s="34" t="str" cm="1">
        <f t="array" ref="T79">IF($C79="","",SUMPRODUCT((TEXT($AE$5:$OE$5, "mmm")=LOWER(S$3))*$AE79:$OE79))</f>
        <v/>
      </c>
      <c r="U79" s="34"/>
      <c r="V79" s="34" t="str" cm="1">
        <f t="array" ref="V79">IF($C79="","",SUMPRODUCT((TEXT($AE$5:$OE$5, "mmm")=LOWER(U$3))*$AE79:$OE79))</f>
        <v/>
      </c>
      <c r="W79" s="34"/>
      <c r="X79" s="34" t="str" cm="1">
        <f t="array" ref="X79">IF($C79="","",SUMPRODUCT((TEXT($AE$5:$OE$5, "mmm")=LOWER(W$3))*$AE79:$OE79))</f>
        <v/>
      </c>
      <c r="Y79" s="34"/>
      <c r="Z79" s="34" t="str" cm="1">
        <f t="array" ref="Z79">IF($C79="","",SUMPRODUCT((TEXT($AE$5:$OE$5, "mmm")=LOWER(Y$3))*$AE79:$OE79))</f>
        <v/>
      </c>
      <c r="AA79" s="34"/>
      <c r="AB79" s="34" t="str" cm="1">
        <f t="array" ref="AB79">IF($C79="","",SUMPRODUCT((TEXT($AE$5:$OE$5, "mmm")=LOWER(AA$3))*$AE79:$OE79))</f>
        <v/>
      </c>
      <c r="AC79" s="34"/>
      <c r="AD79" s="34" t="str" cm="1">
        <f t="array" ref="AD79">IF($C79="","",SUMPRODUCT((TEXT($AE$5:$OE$5, "mmm")=LOWER(AC$3))*$AE79:$OE79))</f>
        <v/>
      </c>
      <c r="OE79" s="49"/>
    </row>
    <row r="80" spans="1:395">
      <c r="A80" s="35"/>
      <c r="C80" s="2" t="str">
        <f>IF(ISBLANK($B80),"",_xlfn.XLOOKUP($B80,Task_No,Project!$C$3:$C$144,"INVALID TASK"))</f>
        <v/>
      </c>
      <c r="E80" s="7" t="str">
        <f t="shared" si="19"/>
        <v/>
      </c>
      <c r="F80" s="7" t="str">
        <f t="shared" si="20"/>
        <v/>
      </c>
      <c r="G80" s="34"/>
      <c r="H80" s="34" t="str" cm="1">
        <f t="array" ref="H80">IF($C80="","",SUMPRODUCT((TEXT($AE$5:$OE$5, "mmm")=LOWER(G$3))*$AE80:$OE80))</f>
        <v/>
      </c>
      <c r="I80" s="34"/>
      <c r="J80" s="34" t="str" cm="1">
        <f t="array" ref="J80">IF($C80="","",SUMPRODUCT((TEXT($AE$5:$OE$5, "mmm")=LOWER(I$3))*$AE80:$OE80))</f>
        <v/>
      </c>
      <c r="K80" s="34"/>
      <c r="L80" s="34" t="str" cm="1">
        <f t="array" ref="L80">IF($C80="","",SUMPRODUCT((TEXT($AE$5:$OE$5, "mmm")=LOWER(K$3))*$AE80:$OE80))</f>
        <v/>
      </c>
      <c r="M80" s="34"/>
      <c r="N80" s="34" t="str" cm="1">
        <f t="array" ref="N80">IF($C80="","",SUMPRODUCT((TEXT($AE$5:$OE$5, "mmm")=LOWER(M$3))*$AE80:$OE80))</f>
        <v/>
      </c>
      <c r="O80" s="34"/>
      <c r="P80" s="34" t="str" cm="1">
        <f t="array" ref="P80">IF($C80="","",SUMPRODUCT((TEXT($AE$5:$OE$5, "mmm")=LOWER(O$3))*$AE80:$OE80))</f>
        <v/>
      </c>
      <c r="Q80" s="34"/>
      <c r="R80" s="34" t="str" cm="1">
        <f t="array" ref="R80">IF($C80="","",SUMPRODUCT((TEXT($AE$5:$OE$5, "mmm")=LOWER(Q$3))*$AE80:$OE80))</f>
        <v/>
      </c>
      <c r="S80" s="34"/>
      <c r="T80" s="34" t="str" cm="1">
        <f t="array" ref="T80">IF($C80="","",SUMPRODUCT((TEXT($AE$5:$OE$5, "mmm")=LOWER(S$3))*$AE80:$OE80))</f>
        <v/>
      </c>
      <c r="U80" s="34"/>
      <c r="V80" s="34" t="str" cm="1">
        <f t="array" ref="V80">IF($C80="","",SUMPRODUCT((TEXT($AE$5:$OE$5, "mmm")=LOWER(U$3))*$AE80:$OE80))</f>
        <v/>
      </c>
      <c r="W80" s="34"/>
      <c r="X80" s="34" t="str" cm="1">
        <f t="array" ref="X80">IF($C80="","",SUMPRODUCT((TEXT($AE$5:$OE$5, "mmm")=LOWER(W$3))*$AE80:$OE80))</f>
        <v/>
      </c>
      <c r="Y80" s="34"/>
      <c r="Z80" s="34" t="str" cm="1">
        <f t="array" ref="Z80">IF($C80="","",SUMPRODUCT((TEXT($AE$5:$OE$5, "mmm")=LOWER(Y$3))*$AE80:$OE80))</f>
        <v/>
      </c>
      <c r="AA80" s="34"/>
      <c r="AB80" s="34" t="str" cm="1">
        <f t="array" ref="AB80">IF($C80="","",SUMPRODUCT((TEXT($AE$5:$OE$5, "mmm")=LOWER(AA$3))*$AE80:$OE80))</f>
        <v/>
      </c>
      <c r="AC80" s="34"/>
      <c r="AD80" s="34" t="str" cm="1">
        <f t="array" ref="AD80">IF($C80="","",SUMPRODUCT((TEXT($AE$5:$OE$5, "mmm")=LOWER(AC$3))*$AE80:$OE80))</f>
        <v/>
      </c>
      <c r="OE80" s="49"/>
    </row>
    <row r="81" spans="1:395">
      <c r="A81" s="35"/>
      <c r="C81" s="2" t="str">
        <f>IF(ISBLANK($B81),"",_xlfn.XLOOKUP($B81,Task_No,Project!$C$3:$C$144,"INVALID TASK"))</f>
        <v/>
      </c>
      <c r="E81" s="7" t="str">
        <f t="shared" si="19"/>
        <v/>
      </c>
      <c r="F81" s="7" t="str">
        <f t="shared" si="20"/>
        <v/>
      </c>
      <c r="G81" s="34"/>
      <c r="H81" s="34" t="str" cm="1">
        <f t="array" ref="H81">IF($C81="","",SUMPRODUCT((TEXT($AE$5:$OE$5, "mmm")=LOWER(G$3))*$AE81:$OE81))</f>
        <v/>
      </c>
      <c r="I81" s="34"/>
      <c r="J81" s="34" t="str" cm="1">
        <f t="array" ref="J81">IF($C81="","",SUMPRODUCT((TEXT($AE$5:$OE$5, "mmm")=LOWER(I$3))*$AE81:$OE81))</f>
        <v/>
      </c>
      <c r="K81" s="34"/>
      <c r="L81" s="34" t="str" cm="1">
        <f t="array" ref="L81">IF($C81="","",SUMPRODUCT((TEXT($AE$5:$OE$5, "mmm")=LOWER(K$3))*$AE81:$OE81))</f>
        <v/>
      </c>
      <c r="M81" s="34"/>
      <c r="N81" s="34" t="str" cm="1">
        <f t="array" ref="N81">IF($C81="","",SUMPRODUCT((TEXT($AE$5:$OE$5, "mmm")=LOWER(M$3))*$AE81:$OE81))</f>
        <v/>
      </c>
      <c r="O81" s="34"/>
      <c r="P81" s="34" t="str" cm="1">
        <f t="array" ref="P81">IF($C81="","",SUMPRODUCT((TEXT($AE$5:$OE$5, "mmm")=LOWER(O$3))*$AE81:$OE81))</f>
        <v/>
      </c>
      <c r="Q81" s="34"/>
      <c r="R81" s="34" t="str" cm="1">
        <f t="array" ref="R81">IF($C81="","",SUMPRODUCT((TEXT($AE$5:$OE$5, "mmm")=LOWER(Q$3))*$AE81:$OE81))</f>
        <v/>
      </c>
      <c r="S81" s="34"/>
      <c r="T81" s="34" t="str" cm="1">
        <f t="array" ref="T81">IF($C81="","",SUMPRODUCT((TEXT($AE$5:$OE$5, "mmm")=LOWER(S$3))*$AE81:$OE81))</f>
        <v/>
      </c>
      <c r="U81" s="34"/>
      <c r="V81" s="34" t="str" cm="1">
        <f t="array" ref="V81">IF($C81="","",SUMPRODUCT((TEXT($AE$5:$OE$5, "mmm")=LOWER(U$3))*$AE81:$OE81))</f>
        <v/>
      </c>
      <c r="W81" s="34"/>
      <c r="X81" s="34" t="str" cm="1">
        <f t="array" ref="X81">IF($C81="","",SUMPRODUCT((TEXT($AE$5:$OE$5, "mmm")=LOWER(W$3))*$AE81:$OE81))</f>
        <v/>
      </c>
      <c r="Y81" s="34"/>
      <c r="Z81" s="34" t="str" cm="1">
        <f t="array" ref="Z81">IF($C81="","",SUMPRODUCT((TEXT($AE$5:$OE$5, "mmm")=LOWER(Y$3))*$AE81:$OE81))</f>
        <v/>
      </c>
      <c r="AA81" s="34"/>
      <c r="AB81" s="34" t="str" cm="1">
        <f t="array" ref="AB81">IF($C81="","",SUMPRODUCT((TEXT($AE$5:$OE$5, "mmm")=LOWER(AA$3))*$AE81:$OE81))</f>
        <v/>
      </c>
      <c r="AC81" s="34"/>
      <c r="AD81" s="34" t="str" cm="1">
        <f t="array" ref="AD81">IF($C81="","",SUMPRODUCT((TEXT($AE$5:$OE$5, "mmm")=LOWER(AC$3))*$AE81:$OE81))</f>
        <v/>
      </c>
      <c r="OE81" s="49"/>
    </row>
    <row r="82" spans="1:395">
      <c r="A82" s="35"/>
      <c r="C82" s="2" t="str">
        <f>IF(ISBLANK($B82),"",_xlfn.XLOOKUP($B82,Task_No,Project!$C$3:$C$144,"INVALID TASK"))</f>
        <v/>
      </c>
      <c r="E82" s="7" t="str">
        <f t="shared" si="19"/>
        <v/>
      </c>
      <c r="F82" s="7" t="str">
        <f t="shared" si="20"/>
        <v/>
      </c>
      <c r="G82" s="34"/>
      <c r="H82" s="34" t="str" cm="1">
        <f t="array" ref="H82">IF($C82="","",SUMPRODUCT((TEXT($AE$5:$OE$5, "mmm")=LOWER(G$3))*$AE82:$OE82))</f>
        <v/>
      </c>
      <c r="I82" s="34"/>
      <c r="J82" s="34" t="str" cm="1">
        <f t="array" ref="J82">IF($C82="","",SUMPRODUCT((TEXT($AE$5:$OE$5, "mmm")=LOWER(I$3))*$AE82:$OE82))</f>
        <v/>
      </c>
      <c r="K82" s="34"/>
      <c r="L82" s="34" t="str" cm="1">
        <f t="array" ref="L82">IF($C82="","",SUMPRODUCT((TEXT($AE$5:$OE$5, "mmm")=LOWER(K$3))*$AE82:$OE82))</f>
        <v/>
      </c>
      <c r="M82" s="34"/>
      <c r="N82" s="34" t="str" cm="1">
        <f t="array" ref="N82">IF($C82="","",SUMPRODUCT((TEXT($AE$5:$OE$5, "mmm")=LOWER(M$3))*$AE82:$OE82))</f>
        <v/>
      </c>
      <c r="O82" s="34"/>
      <c r="P82" s="34" t="str" cm="1">
        <f t="array" ref="P82">IF($C82="","",SUMPRODUCT((TEXT($AE$5:$OE$5, "mmm")=LOWER(O$3))*$AE82:$OE82))</f>
        <v/>
      </c>
      <c r="Q82" s="34"/>
      <c r="R82" s="34" t="str" cm="1">
        <f t="array" ref="R82">IF($C82="","",SUMPRODUCT((TEXT($AE$5:$OE$5, "mmm")=LOWER(Q$3))*$AE82:$OE82))</f>
        <v/>
      </c>
      <c r="S82" s="34"/>
      <c r="T82" s="34" t="str" cm="1">
        <f t="array" ref="T82">IF($C82="","",SUMPRODUCT((TEXT($AE$5:$OE$5, "mmm")=LOWER(S$3))*$AE82:$OE82))</f>
        <v/>
      </c>
      <c r="U82" s="34"/>
      <c r="V82" s="34" t="str" cm="1">
        <f t="array" ref="V82">IF($C82="","",SUMPRODUCT((TEXT($AE$5:$OE$5, "mmm")=LOWER(U$3))*$AE82:$OE82))</f>
        <v/>
      </c>
      <c r="W82" s="34"/>
      <c r="X82" s="34" t="str" cm="1">
        <f t="array" ref="X82">IF($C82="","",SUMPRODUCT((TEXT($AE$5:$OE$5, "mmm")=LOWER(W$3))*$AE82:$OE82))</f>
        <v/>
      </c>
      <c r="Y82" s="34"/>
      <c r="Z82" s="34" t="str" cm="1">
        <f t="array" ref="Z82">IF($C82="","",SUMPRODUCT((TEXT($AE$5:$OE$5, "mmm")=LOWER(Y$3))*$AE82:$OE82))</f>
        <v/>
      </c>
      <c r="AA82" s="34"/>
      <c r="AB82" s="34" t="str" cm="1">
        <f t="array" ref="AB82">IF($C82="","",SUMPRODUCT((TEXT($AE$5:$OE$5, "mmm")=LOWER(AA$3))*$AE82:$OE82))</f>
        <v/>
      </c>
      <c r="AC82" s="34"/>
      <c r="AD82" s="34" t="str" cm="1">
        <f t="array" ref="AD82">IF($C82="","",SUMPRODUCT((TEXT($AE$5:$OE$5, "mmm")=LOWER(AC$3))*$AE82:$OE82))</f>
        <v/>
      </c>
      <c r="OE82" s="49"/>
    </row>
    <row r="83" spans="1:395">
      <c r="A83" s="35"/>
      <c r="C83" s="2" t="str">
        <f>IF(ISBLANK($B83),"",_xlfn.XLOOKUP($B83,Task_No,Project!$C$3:$C$144,"INVALID TASK"))</f>
        <v/>
      </c>
      <c r="E83" s="7" t="str">
        <f t="shared" ref="E83:E146" si="21">IF(C83="","",SUM($G83,$I83,$K83,$M83,$O83,$Q83,$S83,$U83,$W83,$Y83,$AA83,$AC83))</f>
        <v/>
      </c>
      <c r="F83" s="7" t="str">
        <f t="shared" si="20"/>
        <v/>
      </c>
      <c r="G83" s="34"/>
      <c r="H83" s="34" t="str" cm="1">
        <f t="array" ref="H83">IF($C83="","",SUMPRODUCT((TEXT($AE$5:$OE$5, "mmm")=LOWER(G$3))*$AE83:$OE83))</f>
        <v/>
      </c>
      <c r="I83" s="34"/>
      <c r="J83" s="34" t="str" cm="1">
        <f t="array" ref="J83">IF($C83="","",SUMPRODUCT((TEXT($AE$5:$OE$5, "mmm")=LOWER(I$3))*$AE83:$OE83))</f>
        <v/>
      </c>
      <c r="K83" s="34"/>
      <c r="L83" s="34" t="str" cm="1">
        <f t="array" ref="L83">IF($C83="","",SUMPRODUCT((TEXT($AE$5:$OE$5, "mmm")=LOWER(K$3))*$AE83:$OE83))</f>
        <v/>
      </c>
      <c r="M83" s="34"/>
      <c r="N83" s="34" t="str" cm="1">
        <f t="array" ref="N83">IF($C83="","",SUMPRODUCT((TEXT($AE$5:$OE$5, "mmm")=LOWER(M$3))*$AE83:$OE83))</f>
        <v/>
      </c>
      <c r="O83" s="34"/>
      <c r="P83" s="34" t="str" cm="1">
        <f t="array" ref="P83">IF($C83="","",SUMPRODUCT((TEXT($AE$5:$OE$5, "mmm")=LOWER(O$3))*$AE83:$OE83))</f>
        <v/>
      </c>
      <c r="Q83" s="34"/>
      <c r="R83" s="34" t="str" cm="1">
        <f t="array" ref="R83">IF($C83="","",SUMPRODUCT((TEXT($AE$5:$OE$5, "mmm")=LOWER(Q$3))*$AE83:$OE83))</f>
        <v/>
      </c>
      <c r="S83" s="34"/>
      <c r="T83" s="34" t="str" cm="1">
        <f t="array" ref="T83">IF($C83="","",SUMPRODUCT((TEXT($AE$5:$OE$5, "mmm")=LOWER(S$3))*$AE83:$OE83))</f>
        <v/>
      </c>
      <c r="U83" s="34"/>
      <c r="V83" s="34" t="str" cm="1">
        <f t="array" ref="V83">IF($C83="","",SUMPRODUCT((TEXT($AE$5:$OE$5, "mmm")=LOWER(U$3))*$AE83:$OE83))</f>
        <v/>
      </c>
      <c r="W83" s="34"/>
      <c r="X83" s="34" t="str" cm="1">
        <f t="array" ref="X83">IF($C83="","",SUMPRODUCT((TEXT($AE$5:$OE$5, "mmm")=LOWER(W$3))*$AE83:$OE83))</f>
        <v/>
      </c>
      <c r="Y83" s="34"/>
      <c r="Z83" s="34" t="str" cm="1">
        <f t="array" ref="Z83">IF($C83="","",SUMPRODUCT((TEXT($AE$5:$OE$5, "mmm")=LOWER(Y$3))*$AE83:$OE83))</f>
        <v/>
      </c>
      <c r="AA83" s="34"/>
      <c r="AB83" s="34" t="str" cm="1">
        <f t="array" ref="AB83">IF($C83="","",SUMPRODUCT((TEXT($AE$5:$OE$5, "mmm")=LOWER(AA$3))*$AE83:$OE83))</f>
        <v/>
      </c>
      <c r="AC83" s="34"/>
      <c r="AD83" s="34" t="str" cm="1">
        <f t="array" ref="AD83">IF($C83="","",SUMPRODUCT((TEXT($AE$5:$OE$5, "mmm")=LOWER(AC$3))*$AE83:$OE83))</f>
        <v/>
      </c>
      <c r="OE83" s="49"/>
    </row>
    <row r="84" spans="1:395">
      <c r="A84" s="35"/>
      <c r="C84" s="2" t="str">
        <f>IF(ISBLANK($B84),"",_xlfn.XLOOKUP($B84,Task_No,Project!$C$3:$C$144,"INVALID TASK"))</f>
        <v/>
      </c>
      <c r="E84" s="7" t="str">
        <f t="shared" si="21"/>
        <v/>
      </c>
      <c r="F84" s="7" t="str">
        <f t="shared" si="20"/>
        <v/>
      </c>
      <c r="G84" s="34"/>
      <c r="H84" s="34" t="str" cm="1">
        <f t="array" ref="H84">IF($C84="","",SUMPRODUCT((TEXT($AE$5:$OE$5, "mmm")=LOWER(G$3))*$AE84:$OE84))</f>
        <v/>
      </c>
      <c r="I84" s="34"/>
      <c r="J84" s="34" t="str" cm="1">
        <f t="array" ref="J84">IF($C84="","",SUMPRODUCT((TEXT($AE$5:$OE$5, "mmm")=LOWER(I$3))*$AE84:$OE84))</f>
        <v/>
      </c>
      <c r="K84" s="34"/>
      <c r="L84" s="34" t="str" cm="1">
        <f t="array" ref="L84">IF($C84="","",SUMPRODUCT((TEXT($AE$5:$OE$5, "mmm")=LOWER(K$3))*$AE84:$OE84))</f>
        <v/>
      </c>
      <c r="M84" s="34"/>
      <c r="N84" s="34" t="str" cm="1">
        <f t="array" ref="N84">IF($C84="","",SUMPRODUCT((TEXT($AE$5:$OE$5, "mmm")=LOWER(M$3))*$AE84:$OE84))</f>
        <v/>
      </c>
      <c r="O84" s="34"/>
      <c r="P84" s="34" t="str" cm="1">
        <f t="array" ref="P84">IF($C84="","",SUMPRODUCT((TEXT($AE$5:$OE$5, "mmm")=LOWER(O$3))*$AE84:$OE84))</f>
        <v/>
      </c>
      <c r="Q84" s="34"/>
      <c r="R84" s="34" t="str" cm="1">
        <f t="array" ref="R84">IF($C84="","",SUMPRODUCT((TEXT($AE$5:$OE$5, "mmm")=LOWER(Q$3))*$AE84:$OE84))</f>
        <v/>
      </c>
      <c r="S84" s="34"/>
      <c r="T84" s="34" t="str" cm="1">
        <f t="array" ref="T84">IF($C84="","",SUMPRODUCT((TEXT($AE$5:$OE$5, "mmm")=LOWER(S$3))*$AE84:$OE84))</f>
        <v/>
      </c>
      <c r="U84" s="34"/>
      <c r="V84" s="34" t="str" cm="1">
        <f t="array" ref="V84">IF($C84="","",SUMPRODUCT((TEXT($AE$5:$OE$5, "mmm")=LOWER(U$3))*$AE84:$OE84))</f>
        <v/>
      </c>
      <c r="W84" s="34"/>
      <c r="X84" s="34" t="str" cm="1">
        <f t="array" ref="X84">IF($C84="","",SUMPRODUCT((TEXT($AE$5:$OE$5, "mmm")=LOWER(W$3))*$AE84:$OE84))</f>
        <v/>
      </c>
      <c r="Y84" s="34"/>
      <c r="Z84" s="34" t="str" cm="1">
        <f t="array" ref="Z84">IF($C84="","",SUMPRODUCT((TEXT($AE$5:$OE$5, "mmm")=LOWER(Y$3))*$AE84:$OE84))</f>
        <v/>
      </c>
      <c r="AA84" s="34"/>
      <c r="AB84" s="34" t="str" cm="1">
        <f t="array" ref="AB84">IF($C84="","",SUMPRODUCT((TEXT($AE$5:$OE$5, "mmm")=LOWER(AA$3))*$AE84:$OE84))</f>
        <v/>
      </c>
      <c r="AC84" s="34"/>
      <c r="AD84" s="34" t="str" cm="1">
        <f t="array" ref="AD84">IF($C84="","",SUMPRODUCT((TEXT($AE$5:$OE$5, "mmm")=LOWER(AC$3))*$AE84:$OE84))</f>
        <v/>
      </c>
      <c r="OE84" s="49"/>
    </row>
    <row r="85" spans="1:395">
      <c r="A85" s="35"/>
      <c r="C85" s="2" t="str">
        <f>IF(ISBLANK($B85),"",_xlfn.XLOOKUP($B85,Task_No,Project!$C$3:$C$144,"INVALID TASK"))</f>
        <v/>
      </c>
      <c r="E85" s="7" t="str">
        <f t="shared" si="21"/>
        <v/>
      </c>
      <c r="F85" s="7" t="str">
        <f t="shared" si="20"/>
        <v/>
      </c>
      <c r="G85" s="34"/>
      <c r="H85" s="34" t="str" cm="1">
        <f t="array" ref="H85">IF($C85="","",SUMPRODUCT((TEXT($AE$5:$OE$5, "mmm")=LOWER(G$3))*$AE85:$OE85))</f>
        <v/>
      </c>
      <c r="I85" s="34"/>
      <c r="J85" s="34" t="str" cm="1">
        <f t="array" ref="J85">IF($C85="","",SUMPRODUCT((TEXT($AE$5:$OE$5, "mmm")=LOWER(I$3))*$AE85:$OE85))</f>
        <v/>
      </c>
      <c r="K85" s="34"/>
      <c r="L85" s="34" t="str" cm="1">
        <f t="array" ref="L85">IF($C85="","",SUMPRODUCT((TEXT($AE$5:$OE$5, "mmm")=LOWER(K$3))*$AE85:$OE85))</f>
        <v/>
      </c>
      <c r="M85" s="34"/>
      <c r="N85" s="34" t="str" cm="1">
        <f t="array" ref="N85">IF($C85="","",SUMPRODUCT((TEXT($AE$5:$OE$5, "mmm")=LOWER(M$3))*$AE85:$OE85))</f>
        <v/>
      </c>
      <c r="O85" s="34"/>
      <c r="P85" s="34" t="str" cm="1">
        <f t="array" ref="P85">IF($C85="","",SUMPRODUCT((TEXT($AE$5:$OE$5, "mmm")=LOWER(O$3))*$AE85:$OE85))</f>
        <v/>
      </c>
      <c r="Q85" s="34"/>
      <c r="R85" s="34" t="str" cm="1">
        <f t="array" ref="R85">IF($C85="","",SUMPRODUCT((TEXT($AE$5:$OE$5, "mmm")=LOWER(Q$3))*$AE85:$OE85))</f>
        <v/>
      </c>
      <c r="S85" s="34"/>
      <c r="T85" s="34" t="str" cm="1">
        <f t="array" ref="T85">IF($C85="","",SUMPRODUCT((TEXT($AE$5:$OE$5, "mmm")=LOWER(S$3))*$AE85:$OE85))</f>
        <v/>
      </c>
      <c r="U85" s="34"/>
      <c r="V85" s="34" t="str" cm="1">
        <f t="array" ref="V85">IF($C85="","",SUMPRODUCT((TEXT($AE$5:$OE$5, "mmm")=LOWER(U$3))*$AE85:$OE85))</f>
        <v/>
      </c>
      <c r="W85" s="34"/>
      <c r="X85" s="34" t="str" cm="1">
        <f t="array" ref="X85">IF($C85="","",SUMPRODUCT((TEXT($AE$5:$OE$5, "mmm")=LOWER(W$3))*$AE85:$OE85))</f>
        <v/>
      </c>
      <c r="Y85" s="34"/>
      <c r="Z85" s="34" t="str" cm="1">
        <f t="array" ref="Z85">IF($C85="","",SUMPRODUCT((TEXT($AE$5:$OE$5, "mmm")=LOWER(Y$3))*$AE85:$OE85))</f>
        <v/>
      </c>
      <c r="AA85" s="34"/>
      <c r="AB85" s="34" t="str" cm="1">
        <f t="array" ref="AB85">IF($C85="","",SUMPRODUCT((TEXT($AE$5:$OE$5, "mmm")=LOWER(AA$3))*$AE85:$OE85))</f>
        <v/>
      </c>
      <c r="AC85" s="34"/>
      <c r="AD85" s="34" t="str" cm="1">
        <f t="array" ref="AD85">IF($C85="","",SUMPRODUCT((TEXT($AE$5:$OE$5, "mmm")=LOWER(AC$3))*$AE85:$OE85))</f>
        <v/>
      </c>
      <c r="OE85" s="49"/>
    </row>
    <row r="86" spans="1:395">
      <c r="A86" s="35"/>
      <c r="C86" s="2" t="str">
        <f>IF(ISBLANK($B86),"",_xlfn.XLOOKUP($B86,Task_No,Project!$C$3:$C$144,"INVALID TASK"))</f>
        <v/>
      </c>
      <c r="E86" s="7" t="str">
        <f t="shared" si="21"/>
        <v/>
      </c>
      <c r="F86" s="7" t="str">
        <f t="shared" si="20"/>
        <v/>
      </c>
      <c r="G86" s="34"/>
      <c r="H86" s="34" t="str" cm="1">
        <f t="array" ref="H86">IF($C86="","",SUMPRODUCT((TEXT($AE$5:$OE$5, "mmm")=LOWER(G$3))*$AE86:$OE86))</f>
        <v/>
      </c>
      <c r="I86" s="34"/>
      <c r="J86" s="34" t="str" cm="1">
        <f t="array" ref="J86">IF($C86="","",SUMPRODUCT((TEXT($AE$5:$OE$5, "mmm")=LOWER(I$3))*$AE86:$OE86))</f>
        <v/>
      </c>
      <c r="K86" s="34"/>
      <c r="L86" s="34" t="str" cm="1">
        <f t="array" ref="L86">IF($C86="","",SUMPRODUCT((TEXT($AE$5:$OE$5, "mmm")=LOWER(K$3))*$AE86:$OE86))</f>
        <v/>
      </c>
      <c r="M86" s="34"/>
      <c r="N86" s="34" t="str" cm="1">
        <f t="array" ref="N86">IF($C86="","",SUMPRODUCT((TEXT($AE$5:$OE$5, "mmm")=LOWER(M$3))*$AE86:$OE86))</f>
        <v/>
      </c>
      <c r="O86" s="34"/>
      <c r="P86" s="34" t="str" cm="1">
        <f t="array" ref="P86">IF($C86="","",SUMPRODUCT((TEXT($AE$5:$OE$5, "mmm")=LOWER(O$3))*$AE86:$OE86))</f>
        <v/>
      </c>
      <c r="Q86" s="34"/>
      <c r="R86" s="34" t="str" cm="1">
        <f t="array" ref="R86">IF($C86="","",SUMPRODUCT((TEXT($AE$5:$OE$5, "mmm")=LOWER(Q$3))*$AE86:$OE86))</f>
        <v/>
      </c>
      <c r="S86" s="34"/>
      <c r="T86" s="34" t="str" cm="1">
        <f t="array" ref="T86">IF($C86="","",SUMPRODUCT((TEXT($AE$5:$OE$5, "mmm")=LOWER(S$3))*$AE86:$OE86))</f>
        <v/>
      </c>
      <c r="U86" s="34"/>
      <c r="V86" s="34" t="str" cm="1">
        <f t="array" ref="V86">IF($C86="","",SUMPRODUCT((TEXT($AE$5:$OE$5, "mmm")=LOWER(U$3))*$AE86:$OE86))</f>
        <v/>
      </c>
      <c r="W86" s="34"/>
      <c r="X86" s="34" t="str" cm="1">
        <f t="array" ref="X86">IF($C86="","",SUMPRODUCT((TEXT($AE$5:$OE$5, "mmm")=LOWER(W$3))*$AE86:$OE86))</f>
        <v/>
      </c>
      <c r="Y86" s="34"/>
      <c r="Z86" s="34" t="str" cm="1">
        <f t="array" ref="Z86">IF($C86="","",SUMPRODUCT((TEXT($AE$5:$OE$5, "mmm")=LOWER(Y$3))*$AE86:$OE86))</f>
        <v/>
      </c>
      <c r="AA86" s="34"/>
      <c r="AB86" s="34" t="str" cm="1">
        <f t="array" ref="AB86">IF($C86="","",SUMPRODUCT((TEXT($AE$5:$OE$5, "mmm")=LOWER(AA$3))*$AE86:$OE86))</f>
        <v/>
      </c>
      <c r="AC86" s="34"/>
      <c r="AD86" s="34" t="str" cm="1">
        <f t="array" ref="AD86">IF($C86="","",SUMPRODUCT((TEXT($AE$5:$OE$5, "mmm")=LOWER(AC$3))*$AE86:$OE86))</f>
        <v/>
      </c>
      <c r="OE86" s="49"/>
    </row>
    <row r="87" spans="1:395">
      <c r="A87" s="35"/>
      <c r="C87" s="2" t="str">
        <f>IF(ISBLANK($B87),"",_xlfn.XLOOKUP($B87,Task_No,Project!$C$3:$C$144,"INVALID TASK"))</f>
        <v/>
      </c>
      <c r="E87" s="7" t="str">
        <f t="shared" si="21"/>
        <v/>
      </c>
      <c r="F87" s="7" t="str">
        <f t="shared" si="20"/>
        <v/>
      </c>
      <c r="G87" s="34"/>
      <c r="H87" s="34" t="str" cm="1">
        <f t="array" ref="H87">IF($C87="","",SUMPRODUCT((TEXT($AE$5:$OE$5, "mmm")=LOWER(G$3))*$AE87:$OE87))</f>
        <v/>
      </c>
      <c r="I87" s="34"/>
      <c r="J87" s="34" t="str" cm="1">
        <f t="array" ref="J87">IF($C87="","",SUMPRODUCT((TEXT($AE$5:$OE$5, "mmm")=LOWER(I$3))*$AE87:$OE87))</f>
        <v/>
      </c>
      <c r="K87" s="34"/>
      <c r="L87" s="34" t="str" cm="1">
        <f t="array" ref="L87">IF($C87="","",SUMPRODUCT((TEXT($AE$5:$OE$5, "mmm")=LOWER(K$3))*$AE87:$OE87))</f>
        <v/>
      </c>
      <c r="M87" s="34"/>
      <c r="N87" s="34" t="str" cm="1">
        <f t="array" ref="N87">IF($C87="","",SUMPRODUCT((TEXT($AE$5:$OE$5, "mmm")=LOWER(M$3))*$AE87:$OE87))</f>
        <v/>
      </c>
      <c r="O87" s="34"/>
      <c r="P87" s="34" t="str" cm="1">
        <f t="array" ref="P87">IF($C87="","",SUMPRODUCT((TEXT($AE$5:$OE$5, "mmm")=LOWER(O$3))*$AE87:$OE87))</f>
        <v/>
      </c>
      <c r="Q87" s="34"/>
      <c r="R87" s="34" t="str" cm="1">
        <f t="array" ref="R87">IF($C87="","",SUMPRODUCT((TEXT($AE$5:$OE$5, "mmm")=LOWER(Q$3))*$AE87:$OE87))</f>
        <v/>
      </c>
      <c r="S87" s="34"/>
      <c r="T87" s="34" t="str" cm="1">
        <f t="array" ref="T87">IF($C87="","",SUMPRODUCT((TEXT($AE$5:$OE$5, "mmm")=LOWER(S$3))*$AE87:$OE87))</f>
        <v/>
      </c>
      <c r="U87" s="34"/>
      <c r="V87" s="34" t="str" cm="1">
        <f t="array" ref="V87">IF($C87="","",SUMPRODUCT((TEXT($AE$5:$OE$5, "mmm")=LOWER(U$3))*$AE87:$OE87))</f>
        <v/>
      </c>
      <c r="W87" s="34"/>
      <c r="X87" s="34" t="str" cm="1">
        <f t="array" ref="X87">IF($C87="","",SUMPRODUCT((TEXT($AE$5:$OE$5, "mmm")=LOWER(W$3))*$AE87:$OE87))</f>
        <v/>
      </c>
      <c r="Y87" s="34"/>
      <c r="Z87" s="34" t="str" cm="1">
        <f t="array" ref="Z87">IF($C87="","",SUMPRODUCT((TEXT($AE$5:$OE$5, "mmm")=LOWER(Y$3))*$AE87:$OE87))</f>
        <v/>
      </c>
      <c r="AA87" s="34"/>
      <c r="AB87" s="34" t="str" cm="1">
        <f t="array" ref="AB87">IF($C87="","",SUMPRODUCT((TEXT($AE$5:$OE$5, "mmm")=LOWER(AA$3))*$AE87:$OE87))</f>
        <v/>
      </c>
      <c r="AC87" s="34"/>
      <c r="AD87" s="34" t="str" cm="1">
        <f t="array" ref="AD87">IF($C87="","",SUMPRODUCT((TEXT($AE$5:$OE$5, "mmm")=LOWER(AC$3))*$AE87:$OE87))</f>
        <v/>
      </c>
      <c r="OE87" s="49"/>
    </row>
    <row r="88" spans="1:395">
      <c r="A88" s="35"/>
      <c r="C88" s="2" t="str">
        <f>IF(ISBLANK($B88),"",_xlfn.XLOOKUP($B88,Task_No,Project!$C$3:$C$144,"INVALID TASK"))</f>
        <v/>
      </c>
      <c r="E88" s="7" t="str">
        <f t="shared" si="21"/>
        <v/>
      </c>
      <c r="F88" s="7" t="str">
        <f t="shared" si="20"/>
        <v/>
      </c>
      <c r="G88" s="34"/>
      <c r="H88" s="34" t="str" cm="1">
        <f t="array" ref="H88">IF($C88="","",SUMPRODUCT((TEXT($AE$5:$OE$5, "mmm")=LOWER(G$3))*$AE88:$OE88))</f>
        <v/>
      </c>
      <c r="I88" s="34"/>
      <c r="J88" s="34" t="str" cm="1">
        <f t="array" ref="J88">IF($C88="","",SUMPRODUCT((TEXT($AE$5:$OE$5, "mmm")=LOWER(I$3))*$AE88:$OE88))</f>
        <v/>
      </c>
      <c r="K88" s="34"/>
      <c r="L88" s="34" t="str" cm="1">
        <f t="array" ref="L88">IF($C88="","",SUMPRODUCT((TEXT($AE$5:$OE$5, "mmm")=LOWER(K$3))*$AE88:$OE88))</f>
        <v/>
      </c>
      <c r="M88" s="34"/>
      <c r="N88" s="34" t="str" cm="1">
        <f t="array" ref="N88">IF($C88="","",SUMPRODUCT((TEXT($AE$5:$OE$5, "mmm")=LOWER(M$3))*$AE88:$OE88))</f>
        <v/>
      </c>
      <c r="O88" s="34"/>
      <c r="P88" s="34" t="str" cm="1">
        <f t="array" ref="P88">IF($C88="","",SUMPRODUCT((TEXT($AE$5:$OE$5, "mmm")=LOWER(O$3))*$AE88:$OE88))</f>
        <v/>
      </c>
      <c r="Q88" s="34"/>
      <c r="R88" s="34" t="str" cm="1">
        <f t="array" ref="R88">IF($C88="","",SUMPRODUCT((TEXT($AE$5:$OE$5, "mmm")=LOWER(Q$3))*$AE88:$OE88))</f>
        <v/>
      </c>
      <c r="S88" s="34"/>
      <c r="T88" s="34" t="str" cm="1">
        <f t="array" ref="T88">IF($C88="","",SUMPRODUCT((TEXT($AE$5:$OE$5, "mmm")=LOWER(S$3))*$AE88:$OE88))</f>
        <v/>
      </c>
      <c r="U88" s="34"/>
      <c r="V88" s="34" t="str" cm="1">
        <f t="array" ref="V88">IF($C88="","",SUMPRODUCT((TEXT($AE$5:$OE$5, "mmm")=LOWER(U$3))*$AE88:$OE88))</f>
        <v/>
      </c>
      <c r="W88" s="34"/>
      <c r="X88" s="34" t="str" cm="1">
        <f t="array" ref="X88">IF($C88="","",SUMPRODUCT((TEXT($AE$5:$OE$5, "mmm")=LOWER(W$3))*$AE88:$OE88))</f>
        <v/>
      </c>
      <c r="Y88" s="34"/>
      <c r="Z88" s="34" t="str" cm="1">
        <f t="array" ref="Z88">IF($C88="","",SUMPRODUCT((TEXT($AE$5:$OE$5, "mmm")=LOWER(Y$3))*$AE88:$OE88))</f>
        <v/>
      </c>
      <c r="AA88" s="34"/>
      <c r="AB88" s="34" t="str" cm="1">
        <f t="array" ref="AB88">IF($C88="","",SUMPRODUCT((TEXT($AE$5:$OE$5, "mmm")=LOWER(AA$3))*$AE88:$OE88))</f>
        <v/>
      </c>
      <c r="AC88" s="34"/>
      <c r="AD88" s="34" t="str" cm="1">
        <f t="array" ref="AD88">IF($C88="","",SUMPRODUCT((TEXT($AE$5:$OE$5, "mmm")=LOWER(AC$3))*$AE88:$OE88))</f>
        <v/>
      </c>
      <c r="OE88" s="49"/>
    </row>
    <row r="89" spans="1:395">
      <c r="A89" s="35"/>
      <c r="C89" s="2" t="str">
        <f>IF(ISBLANK($B89),"",_xlfn.XLOOKUP($B89,Task_No,Project!$C$3:$C$144,"INVALID TASK"))</f>
        <v/>
      </c>
      <c r="E89" s="7" t="str">
        <f t="shared" si="21"/>
        <v/>
      </c>
      <c r="F89" s="7" t="str">
        <f t="shared" si="20"/>
        <v/>
      </c>
      <c r="G89" s="34"/>
      <c r="H89" s="34" t="str" cm="1">
        <f t="array" ref="H89">IF($C89="","",SUMPRODUCT((TEXT($AE$5:$OE$5, "mmm")=LOWER(G$3))*$AE89:$OE89))</f>
        <v/>
      </c>
      <c r="I89" s="34"/>
      <c r="J89" s="34" t="str" cm="1">
        <f t="array" ref="J89">IF($C89="","",SUMPRODUCT((TEXT($AE$5:$OE$5, "mmm")=LOWER(I$3))*$AE89:$OE89))</f>
        <v/>
      </c>
      <c r="K89" s="34"/>
      <c r="L89" s="34" t="str" cm="1">
        <f t="array" ref="L89">IF($C89="","",SUMPRODUCT((TEXT($AE$5:$OE$5, "mmm")=LOWER(K$3))*$AE89:$OE89))</f>
        <v/>
      </c>
      <c r="M89" s="34"/>
      <c r="N89" s="34" t="str" cm="1">
        <f t="array" ref="N89">IF($C89="","",SUMPRODUCT((TEXT($AE$5:$OE$5, "mmm")=LOWER(M$3))*$AE89:$OE89))</f>
        <v/>
      </c>
      <c r="O89" s="34"/>
      <c r="P89" s="34" t="str" cm="1">
        <f t="array" ref="P89">IF($C89="","",SUMPRODUCT((TEXT($AE$5:$OE$5, "mmm")=LOWER(O$3))*$AE89:$OE89))</f>
        <v/>
      </c>
      <c r="Q89" s="34"/>
      <c r="R89" s="34" t="str" cm="1">
        <f t="array" ref="R89">IF($C89="","",SUMPRODUCT((TEXT($AE$5:$OE$5, "mmm")=LOWER(Q$3))*$AE89:$OE89))</f>
        <v/>
      </c>
      <c r="S89" s="34"/>
      <c r="T89" s="34" t="str" cm="1">
        <f t="array" ref="T89">IF($C89="","",SUMPRODUCT((TEXT($AE$5:$OE$5, "mmm")=LOWER(S$3))*$AE89:$OE89))</f>
        <v/>
      </c>
      <c r="U89" s="34"/>
      <c r="V89" s="34" t="str" cm="1">
        <f t="array" ref="V89">IF($C89="","",SUMPRODUCT((TEXT($AE$5:$OE$5, "mmm")=LOWER(U$3))*$AE89:$OE89))</f>
        <v/>
      </c>
      <c r="W89" s="34"/>
      <c r="X89" s="34" t="str" cm="1">
        <f t="array" ref="X89">IF($C89="","",SUMPRODUCT((TEXT($AE$5:$OE$5, "mmm")=LOWER(W$3))*$AE89:$OE89))</f>
        <v/>
      </c>
      <c r="Y89" s="34"/>
      <c r="Z89" s="34" t="str" cm="1">
        <f t="array" ref="Z89">IF($C89="","",SUMPRODUCT((TEXT($AE$5:$OE$5, "mmm")=LOWER(Y$3))*$AE89:$OE89))</f>
        <v/>
      </c>
      <c r="AA89" s="34"/>
      <c r="AB89" s="34" t="str" cm="1">
        <f t="array" ref="AB89">IF($C89="","",SUMPRODUCT((TEXT($AE$5:$OE$5, "mmm")=LOWER(AA$3))*$AE89:$OE89))</f>
        <v/>
      </c>
      <c r="AC89" s="34"/>
      <c r="AD89" s="34" t="str" cm="1">
        <f t="array" ref="AD89">IF($C89="","",SUMPRODUCT((TEXT($AE$5:$OE$5, "mmm")=LOWER(AC$3))*$AE89:$OE89))</f>
        <v/>
      </c>
      <c r="OE89" s="49"/>
    </row>
    <row r="90" spans="1:395">
      <c r="A90" s="35"/>
      <c r="C90" s="2" t="str">
        <f>IF(ISBLANK($B90),"",_xlfn.XLOOKUP($B90,Task_No,Project!$C$3:$C$144,"INVALID TASK"))</f>
        <v/>
      </c>
      <c r="E90" s="7" t="str">
        <f t="shared" si="21"/>
        <v/>
      </c>
      <c r="F90" s="7" t="str">
        <f t="shared" si="20"/>
        <v/>
      </c>
      <c r="G90" s="34"/>
      <c r="H90" s="34" t="str" cm="1">
        <f t="array" ref="H90">IF($C90="","",SUMPRODUCT((TEXT($AE$5:$OE$5, "mmm")=LOWER(G$3))*$AE90:$OE90))</f>
        <v/>
      </c>
      <c r="I90" s="34"/>
      <c r="J90" s="34" t="str" cm="1">
        <f t="array" ref="J90">IF($C90="","",SUMPRODUCT((TEXT($AE$5:$OE$5, "mmm")=LOWER(I$3))*$AE90:$OE90))</f>
        <v/>
      </c>
      <c r="K90" s="34"/>
      <c r="L90" s="34" t="str" cm="1">
        <f t="array" ref="L90">IF($C90="","",SUMPRODUCT((TEXT($AE$5:$OE$5, "mmm")=LOWER(K$3))*$AE90:$OE90))</f>
        <v/>
      </c>
      <c r="M90" s="34"/>
      <c r="N90" s="34" t="str" cm="1">
        <f t="array" ref="N90">IF($C90="","",SUMPRODUCT((TEXT($AE$5:$OE$5, "mmm")=LOWER(M$3))*$AE90:$OE90))</f>
        <v/>
      </c>
      <c r="O90" s="34"/>
      <c r="P90" s="34" t="str" cm="1">
        <f t="array" ref="P90">IF($C90="","",SUMPRODUCT((TEXT($AE$5:$OE$5, "mmm")=LOWER(O$3))*$AE90:$OE90))</f>
        <v/>
      </c>
      <c r="Q90" s="34"/>
      <c r="R90" s="34" t="str" cm="1">
        <f t="array" ref="R90">IF($C90="","",SUMPRODUCT((TEXT($AE$5:$OE$5, "mmm")=LOWER(Q$3))*$AE90:$OE90))</f>
        <v/>
      </c>
      <c r="S90" s="34"/>
      <c r="T90" s="34" t="str" cm="1">
        <f t="array" ref="T90">IF($C90="","",SUMPRODUCT((TEXT($AE$5:$OE$5, "mmm")=LOWER(S$3))*$AE90:$OE90))</f>
        <v/>
      </c>
      <c r="U90" s="34"/>
      <c r="V90" s="34" t="str" cm="1">
        <f t="array" ref="V90">IF($C90="","",SUMPRODUCT((TEXT($AE$5:$OE$5, "mmm")=LOWER(U$3))*$AE90:$OE90))</f>
        <v/>
      </c>
      <c r="W90" s="34"/>
      <c r="X90" s="34" t="str" cm="1">
        <f t="array" ref="X90">IF($C90="","",SUMPRODUCT((TEXT($AE$5:$OE$5, "mmm")=LOWER(W$3))*$AE90:$OE90))</f>
        <v/>
      </c>
      <c r="Y90" s="34"/>
      <c r="Z90" s="34" t="str" cm="1">
        <f t="array" ref="Z90">IF($C90="","",SUMPRODUCT((TEXT($AE$5:$OE$5, "mmm")=LOWER(Y$3))*$AE90:$OE90))</f>
        <v/>
      </c>
      <c r="AA90" s="34"/>
      <c r="AB90" s="34" t="str" cm="1">
        <f t="array" ref="AB90">IF($C90="","",SUMPRODUCT((TEXT($AE$5:$OE$5, "mmm")=LOWER(AA$3))*$AE90:$OE90))</f>
        <v/>
      </c>
      <c r="AC90" s="34"/>
      <c r="AD90" s="34" t="str" cm="1">
        <f t="array" ref="AD90">IF($C90="","",SUMPRODUCT((TEXT($AE$5:$OE$5, "mmm")=LOWER(AC$3))*$AE90:$OE90))</f>
        <v/>
      </c>
      <c r="OE90" s="49"/>
    </row>
    <row r="91" spans="1:395">
      <c r="A91" s="35"/>
      <c r="C91" s="2" t="str">
        <f>IF(ISBLANK($B91),"",_xlfn.XLOOKUP($B91,Task_No,Project!$C$3:$C$144,"INVALID TASK"))</f>
        <v/>
      </c>
      <c r="E91" s="7" t="str">
        <f t="shared" si="21"/>
        <v/>
      </c>
      <c r="F91" s="7" t="str">
        <f t="shared" si="20"/>
        <v/>
      </c>
      <c r="G91" s="34"/>
      <c r="H91" s="34" t="str" cm="1">
        <f t="array" ref="H91">IF($C91="","",SUMPRODUCT((TEXT($AE$5:$OE$5, "mmm")=LOWER(G$3))*$AE91:$OE91))</f>
        <v/>
      </c>
      <c r="I91" s="34"/>
      <c r="J91" s="34" t="str" cm="1">
        <f t="array" ref="J91">IF($C91="","",SUMPRODUCT((TEXT($AE$5:$OE$5, "mmm")=LOWER(I$3))*$AE91:$OE91))</f>
        <v/>
      </c>
      <c r="K91" s="34"/>
      <c r="L91" s="34" t="str" cm="1">
        <f t="array" ref="L91">IF($C91="","",SUMPRODUCT((TEXT($AE$5:$OE$5, "mmm")=LOWER(K$3))*$AE91:$OE91))</f>
        <v/>
      </c>
      <c r="M91" s="34"/>
      <c r="N91" s="34" t="str" cm="1">
        <f t="array" ref="N91">IF($C91="","",SUMPRODUCT((TEXT($AE$5:$OE$5, "mmm")=LOWER(M$3))*$AE91:$OE91))</f>
        <v/>
      </c>
      <c r="O91" s="34"/>
      <c r="P91" s="34" t="str" cm="1">
        <f t="array" ref="P91">IF($C91="","",SUMPRODUCT((TEXT($AE$5:$OE$5, "mmm")=LOWER(O$3))*$AE91:$OE91))</f>
        <v/>
      </c>
      <c r="Q91" s="34"/>
      <c r="R91" s="34" t="str" cm="1">
        <f t="array" ref="R91">IF($C91="","",SUMPRODUCT((TEXT($AE$5:$OE$5, "mmm")=LOWER(Q$3))*$AE91:$OE91))</f>
        <v/>
      </c>
      <c r="S91" s="34"/>
      <c r="T91" s="34" t="str" cm="1">
        <f t="array" ref="T91">IF($C91="","",SUMPRODUCT((TEXT($AE$5:$OE$5, "mmm")=LOWER(S$3))*$AE91:$OE91))</f>
        <v/>
      </c>
      <c r="U91" s="34"/>
      <c r="V91" s="34" t="str" cm="1">
        <f t="array" ref="V91">IF($C91="","",SUMPRODUCT((TEXT($AE$5:$OE$5, "mmm")=LOWER(U$3))*$AE91:$OE91))</f>
        <v/>
      </c>
      <c r="W91" s="34"/>
      <c r="X91" s="34" t="str" cm="1">
        <f t="array" ref="X91">IF($C91="","",SUMPRODUCT((TEXT($AE$5:$OE$5, "mmm")=LOWER(W$3))*$AE91:$OE91))</f>
        <v/>
      </c>
      <c r="Y91" s="34"/>
      <c r="Z91" s="34" t="str" cm="1">
        <f t="array" ref="Z91">IF($C91="","",SUMPRODUCT((TEXT($AE$5:$OE$5, "mmm")=LOWER(Y$3))*$AE91:$OE91))</f>
        <v/>
      </c>
      <c r="AA91" s="34"/>
      <c r="AB91" s="34" t="str" cm="1">
        <f t="array" ref="AB91">IF($C91="","",SUMPRODUCT((TEXT($AE$5:$OE$5, "mmm")=LOWER(AA$3))*$AE91:$OE91))</f>
        <v/>
      </c>
      <c r="AC91" s="34"/>
      <c r="AD91" s="34" t="str" cm="1">
        <f t="array" ref="AD91">IF($C91="","",SUMPRODUCT((TEXT($AE$5:$OE$5, "mmm")=LOWER(AC$3))*$AE91:$OE91))</f>
        <v/>
      </c>
      <c r="OE91" s="49"/>
    </row>
    <row r="92" spans="1:395">
      <c r="A92" s="35"/>
      <c r="C92" s="2" t="str">
        <f>IF(ISBLANK($B92),"",_xlfn.XLOOKUP($B92,Task_No,Project!$C$3:$C$144,"INVALID TASK"))</f>
        <v/>
      </c>
      <c r="E92" s="7" t="str">
        <f t="shared" si="21"/>
        <v/>
      </c>
      <c r="F92" s="7" t="str">
        <f t="shared" si="20"/>
        <v/>
      </c>
      <c r="G92" s="34"/>
      <c r="H92" s="34" t="str" cm="1">
        <f t="array" ref="H92">IF($C92="","",SUMPRODUCT((TEXT($AE$5:$OE$5, "mmm")=LOWER(G$3))*$AE92:$OE92))</f>
        <v/>
      </c>
      <c r="I92" s="34"/>
      <c r="J92" s="34" t="str" cm="1">
        <f t="array" ref="J92">IF($C92="","",SUMPRODUCT((TEXT($AE$5:$OE$5, "mmm")=LOWER(I$3))*$AE92:$OE92))</f>
        <v/>
      </c>
      <c r="K92" s="34"/>
      <c r="L92" s="34" t="str" cm="1">
        <f t="array" ref="L92">IF($C92="","",SUMPRODUCT((TEXT($AE$5:$OE$5, "mmm")=LOWER(K$3))*$AE92:$OE92))</f>
        <v/>
      </c>
      <c r="M92" s="34"/>
      <c r="N92" s="34" t="str" cm="1">
        <f t="array" ref="N92">IF($C92="","",SUMPRODUCT((TEXT($AE$5:$OE$5, "mmm")=LOWER(M$3))*$AE92:$OE92))</f>
        <v/>
      </c>
      <c r="O92" s="34"/>
      <c r="P92" s="34" t="str" cm="1">
        <f t="array" ref="P92">IF($C92="","",SUMPRODUCT((TEXT($AE$5:$OE$5, "mmm")=LOWER(O$3))*$AE92:$OE92))</f>
        <v/>
      </c>
      <c r="Q92" s="34"/>
      <c r="R92" s="34" t="str" cm="1">
        <f t="array" ref="R92">IF($C92="","",SUMPRODUCT((TEXT($AE$5:$OE$5, "mmm")=LOWER(Q$3))*$AE92:$OE92))</f>
        <v/>
      </c>
      <c r="S92" s="34"/>
      <c r="T92" s="34" t="str" cm="1">
        <f t="array" ref="T92">IF($C92="","",SUMPRODUCT((TEXT($AE$5:$OE$5, "mmm")=LOWER(S$3))*$AE92:$OE92))</f>
        <v/>
      </c>
      <c r="U92" s="34"/>
      <c r="V92" s="34" t="str" cm="1">
        <f t="array" ref="V92">IF($C92="","",SUMPRODUCT((TEXT($AE$5:$OE$5, "mmm")=LOWER(U$3))*$AE92:$OE92))</f>
        <v/>
      </c>
      <c r="W92" s="34"/>
      <c r="X92" s="34" t="str" cm="1">
        <f t="array" ref="X92">IF($C92="","",SUMPRODUCT((TEXT($AE$5:$OE$5, "mmm")=LOWER(W$3))*$AE92:$OE92))</f>
        <v/>
      </c>
      <c r="Y92" s="34"/>
      <c r="Z92" s="34" t="str" cm="1">
        <f t="array" ref="Z92">IF($C92="","",SUMPRODUCT((TEXT($AE$5:$OE$5, "mmm")=LOWER(Y$3))*$AE92:$OE92))</f>
        <v/>
      </c>
      <c r="AA92" s="34"/>
      <c r="AB92" s="34" t="str" cm="1">
        <f t="array" ref="AB92">IF($C92="","",SUMPRODUCT((TEXT($AE$5:$OE$5, "mmm")=LOWER(AA$3))*$AE92:$OE92))</f>
        <v/>
      </c>
      <c r="AC92" s="34"/>
      <c r="AD92" s="34" t="str" cm="1">
        <f t="array" ref="AD92">IF($C92="","",SUMPRODUCT((TEXT($AE$5:$OE$5, "mmm")=LOWER(AC$3))*$AE92:$OE92))</f>
        <v/>
      </c>
      <c r="OE92" s="49"/>
    </row>
    <row r="93" spans="1:395">
      <c r="A93" s="35"/>
      <c r="C93" s="2" t="str">
        <f>IF(ISBLANK($B93),"",_xlfn.XLOOKUP($B93,Task_No,Project!$C$3:$C$144,"INVALID TASK"))</f>
        <v/>
      </c>
      <c r="E93" s="7" t="str">
        <f t="shared" si="21"/>
        <v/>
      </c>
      <c r="F93" s="7" t="str">
        <f t="shared" si="20"/>
        <v/>
      </c>
      <c r="G93" s="34"/>
      <c r="H93" s="34" t="str" cm="1">
        <f t="array" ref="H93">IF($C93="","",SUMPRODUCT((TEXT($AE$5:$OE$5, "mmm")=LOWER(G$3))*$AE93:$OE93))</f>
        <v/>
      </c>
      <c r="I93" s="34"/>
      <c r="J93" s="34" t="str" cm="1">
        <f t="array" ref="J93">IF($C93="","",SUMPRODUCT((TEXT($AE$5:$OE$5, "mmm")=LOWER(I$3))*$AE93:$OE93))</f>
        <v/>
      </c>
      <c r="K93" s="34"/>
      <c r="L93" s="34" t="str" cm="1">
        <f t="array" ref="L93">IF($C93="","",SUMPRODUCT((TEXT($AE$5:$OE$5, "mmm")=LOWER(K$3))*$AE93:$OE93))</f>
        <v/>
      </c>
      <c r="M93" s="34"/>
      <c r="N93" s="34" t="str" cm="1">
        <f t="array" ref="N93">IF($C93="","",SUMPRODUCT((TEXT($AE$5:$OE$5, "mmm")=LOWER(M$3))*$AE93:$OE93))</f>
        <v/>
      </c>
      <c r="O93" s="34"/>
      <c r="P93" s="34" t="str" cm="1">
        <f t="array" ref="P93">IF($C93="","",SUMPRODUCT((TEXT($AE$5:$OE$5, "mmm")=LOWER(O$3))*$AE93:$OE93))</f>
        <v/>
      </c>
      <c r="Q93" s="34"/>
      <c r="R93" s="34" t="str" cm="1">
        <f t="array" ref="R93">IF($C93="","",SUMPRODUCT((TEXT($AE$5:$OE$5, "mmm")=LOWER(Q$3))*$AE93:$OE93))</f>
        <v/>
      </c>
      <c r="S93" s="34"/>
      <c r="T93" s="34" t="str" cm="1">
        <f t="array" ref="T93">IF($C93="","",SUMPRODUCT((TEXT($AE$5:$OE$5, "mmm")=LOWER(S$3))*$AE93:$OE93))</f>
        <v/>
      </c>
      <c r="U93" s="34"/>
      <c r="V93" s="34" t="str" cm="1">
        <f t="array" ref="V93">IF($C93="","",SUMPRODUCT((TEXT($AE$5:$OE$5, "mmm")=LOWER(U$3))*$AE93:$OE93))</f>
        <v/>
      </c>
      <c r="W93" s="34"/>
      <c r="X93" s="34" t="str" cm="1">
        <f t="array" ref="X93">IF($C93="","",SUMPRODUCT((TEXT($AE$5:$OE$5, "mmm")=LOWER(W$3))*$AE93:$OE93))</f>
        <v/>
      </c>
      <c r="Y93" s="34"/>
      <c r="Z93" s="34" t="str" cm="1">
        <f t="array" ref="Z93">IF($C93="","",SUMPRODUCT((TEXT($AE$5:$OE$5, "mmm")=LOWER(Y$3))*$AE93:$OE93))</f>
        <v/>
      </c>
      <c r="AA93" s="34"/>
      <c r="AB93" s="34" t="str" cm="1">
        <f t="array" ref="AB93">IF($C93="","",SUMPRODUCT((TEXT($AE$5:$OE$5, "mmm")=LOWER(AA$3))*$AE93:$OE93))</f>
        <v/>
      </c>
      <c r="AC93" s="34"/>
      <c r="AD93" s="34" t="str" cm="1">
        <f t="array" ref="AD93">IF($C93="","",SUMPRODUCT((TEXT($AE$5:$OE$5, "mmm")=LOWER(AC$3))*$AE93:$OE93))</f>
        <v/>
      </c>
      <c r="OE93" s="49"/>
    </row>
    <row r="94" spans="1:395">
      <c r="A94" s="35"/>
      <c r="C94" s="2" t="str">
        <f>IF(ISBLANK($B94),"",_xlfn.XLOOKUP($B94,Task_No,Project!$C$3:$C$144,"INVALID TASK"))</f>
        <v/>
      </c>
      <c r="E94" s="7" t="str">
        <f t="shared" si="21"/>
        <v/>
      </c>
      <c r="F94" s="7" t="str">
        <f t="shared" si="20"/>
        <v/>
      </c>
      <c r="G94" s="34"/>
      <c r="H94" s="34" t="str" cm="1">
        <f t="array" ref="H94">IF($C94="","",SUMPRODUCT((TEXT($AE$5:$OE$5, "mmm")=LOWER(G$3))*$AE94:$OE94))</f>
        <v/>
      </c>
      <c r="I94" s="34"/>
      <c r="J94" s="34" t="str" cm="1">
        <f t="array" ref="J94">IF($C94="","",SUMPRODUCT((TEXT($AE$5:$OE$5, "mmm")=LOWER(I$3))*$AE94:$OE94))</f>
        <v/>
      </c>
      <c r="K94" s="34"/>
      <c r="L94" s="34" t="str" cm="1">
        <f t="array" ref="L94">IF($C94="","",SUMPRODUCT((TEXT($AE$5:$OE$5, "mmm")=LOWER(K$3))*$AE94:$OE94))</f>
        <v/>
      </c>
      <c r="M94" s="34"/>
      <c r="N94" s="34" t="str" cm="1">
        <f t="array" ref="N94">IF($C94="","",SUMPRODUCT((TEXT($AE$5:$OE$5, "mmm")=LOWER(M$3))*$AE94:$OE94))</f>
        <v/>
      </c>
      <c r="O94" s="34"/>
      <c r="P94" s="34" t="str" cm="1">
        <f t="array" ref="P94">IF($C94="","",SUMPRODUCT((TEXT($AE$5:$OE$5, "mmm")=LOWER(O$3))*$AE94:$OE94))</f>
        <v/>
      </c>
      <c r="Q94" s="34"/>
      <c r="R94" s="34" t="str" cm="1">
        <f t="array" ref="R94">IF($C94="","",SUMPRODUCT((TEXT($AE$5:$OE$5, "mmm")=LOWER(Q$3))*$AE94:$OE94))</f>
        <v/>
      </c>
      <c r="S94" s="34"/>
      <c r="T94" s="34" t="str" cm="1">
        <f t="array" ref="T94">IF($C94="","",SUMPRODUCT((TEXT($AE$5:$OE$5, "mmm")=LOWER(S$3))*$AE94:$OE94))</f>
        <v/>
      </c>
      <c r="U94" s="34"/>
      <c r="V94" s="34" t="str" cm="1">
        <f t="array" ref="V94">IF($C94="","",SUMPRODUCT((TEXT($AE$5:$OE$5, "mmm")=LOWER(U$3))*$AE94:$OE94))</f>
        <v/>
      </c>
      <c r="W94" s="34"/>
      <c r="X94" s="34" t="str" cm="1">
        <f t="array" ref="X94">IF($C94="","",SUMPRODUCT((TEXT($AE$5:$OE$5, "mmm")=LOWER(W$3))*$AE94:$OE94))</f>
        <v/>
      </c>
      <c r="Y94" s="34"/>
      <c r="Z94" s="34" t="str" cm="1">
        <f t="array" ref="Z94">IF($C94="","",SUMPRODUCT((TEXT($AE$5:$OE$5, "mmm")=LOWER(Y$3))*$AE94:$OE94))</f>
        <v/>
      </c>
      <c r="AA94" s="34"/>
      <c r="AB94" s="34" t="str" cm="1">
        <f t="array" ref="AB94">IF($C94="","",SUMPRODUCT((TEXT($AE$5:$OE$5, "mmm")=LOWER(AA$3))*$AE94:$OE94))</f>
        <v/>
      </c>
      <c r="AC94" s="34"/>
      <c r="AD94" s="34" t="str" cm="1">
        <f t="array" ref="AD94">IF($C94="","",SUMPRODUCT((TEXT($AE$5:$OE$5, "mmm")=LOWER(AC$3))*$AE94:$OE94))</f>
        <v/>
      </c>
      <c r="OE94" s="49"/>
    </row>
    <row r="95" spans="1:395">
      <c r="A95" s="35"/>
      <c r="C95" s="2" t="str">
        <f>IF(ISBLANK($B95),"",_xlfn.XLOOKUP($B95,Task_No,Project!$C$3:$C$144,"INVALID TASK"))</f>
        <v/>
      </c>
      <c r="E95" s="7" t="str">
        <f t="shared" si="21"/>
        <v/>
      </c>
      <c r="F95" s="7" t="str">
        <f t="shared" si="20"/>
        <v/>
      </c>
      <c r="G95" s="34"/>
      <c r="H95" s="34" t="str" cm="1">
        <f t="array" ref="H95">IF($C95="","",SUMPRODUCT((TEXT($AE$5:$OE$5, "mmm")=LOWER(G$3))*$AE95:$OE95))</f>
        <v/>
      </c>
      <c r="I95" s="34"/>
      <c r="J95" s="34" t="str" cm="1">
        <f t="array" ref="J95">IF($C95="","",SUMPRODUCT((TEXT($AE$5:$OE$5, "mmm")=LOWER(I$3))*$AE95:$OE95))</f>
        <v/>
      </c>
      <c r="K95" s="34"/>
      <c r="L95" s="34" t="str" cm="1">
        <f t="array" ref="L95">IF($C95="","",SUMPRODUCT((TEXT($AE$5:$OE$5, "mmm")=LOWER(K$3))*$AE95:$OE95))</f>
        <v/>
      </c>
      <c r="M95" s="34"/>
      <c r="N95" s="34" t="str" cm="1">
        <f t="array" ref="N95">IF($C95="","",SUMPRODUCT((TEXT($AE$5:$OE$5, "mmm")=LOWER(M$3))*$AE95:$OE95))</f>
        <v/>
      </c>
      <c r="O95" s="34"/>
      <c r="P95" s="34" t="str" cm="1">
        <f t="array" ref="P95">IF($C95="","",SUMPRODUCT((TEXT($AE$5:$OE$5, "mmm")=LOWER(O$3))*$AE95:$OE95))</f>
        <v/>
      </c>
      <c r="Q95" s="34"/>
      <c r="R95" s="34" t="str" cm="1">
        <f t="array" ref="R95">IF($C95="","",SUMPRODUCT((TEXT($AE$5:$OE$5, "mmm")=LOWER(Q$3))*$AE95:$OE95))</f>
        <v/>
      </c>
      <c r="S95" s="34"/>
      <c r="T95" s="34" t="str" cm="1">
        <f t="array" ref="T95">IF($C95="","",SUMPRODUCT((TEXT($AE$5:$OE$5, "mmm")=LOWER(S$3))*$AE95:$OE95))</f>
        <v/>
      </c>
      <c r="U95" s="34"/>
      <c r="V95" s="34" t="str" cm="1">
        <f t="array" ref="V95">IF($C95="","",SUMPRODUCT((TEXT($AE$5:$OE$5, "mmm")=LOWER(U$3))*$AE95:$OE95))</f>
        <v/>
      </c>
      <c r="W95" s="34"/>
      <c r="X95" s="34" t="str" cm="1">
        <f t="array" ref="X95">IF($C95="","",SUMPRODUCT((TEXT($AE$5:$OE$5, "mmm")=LOWER(W$3))*$AE95:$OE95))</f>
        <v/>
      </c>
      <c r="Y95" s="34"/>
      <c r="Z95" s="34" t="str" cm="1">
        <f t="array" ref="Z95">IF($C95="","",SUMPRODUCT((TEXT($AE$5:$OE$5, "mmm")=LOWER(Y$3))*$AE95:$OE95))</f>
        <v/>
      </c>
      <c r="AA95" s="34"/>
      <c r="AB95" s="34" t="str" cm="1">
        <f t="array" ref="AB95">IF($C95="","",SUMPRODUCT((TEXT($AE$5:$OE$5, "mmm")=LOWER(AA$3))*$AE95:$OE95))</f>
        <v/>
      </c>
      <c r="AC95" s="34"/>
      <c r="AD95" s="34" t="str" cm="1">
        <f t="array" ref="AD95">IF($C95="","",SUMPRODUCT((TEXT($AE$5:$OE$5, "mmm")=LOWER(AC$3))*$AE95:$OE95))</f>
        <v/>
      </c>
      <c r="OE95" s="49"/>
    </row>
    <row r="96" spans="1:395">
      <c r="A96" s="35"/>
      <c r="C96" s="2" t="str">
        <f>IF(ISBLANK($B96),"",_xlfn.XLOOKUP($B96,Task_No,Project!$C$3:$C$144,"INVALID TASK"))</f>
        <v/>
      </c>
      <c r="E96" s="7" t="str">
        <f t="shared" si="21"/>
        <v/>
      </c>
      <c r="F96" s="7" t="str">
        <f t="shared" si="20"/>
        <v/>
      </c>
      <c r="G96" s="34"/>
      <c r="H96" s="34" t="str" cm="1">
        <f t="array" ref="H96">IF($C96="","",SUMPRODUCT((TEXT($AE$5:$OE$5, "mmm")=LOWER(G$3))*$AE96:$OE96))</f>
        <v/>
      </c>
      <c r="I96" s="34"/>
      <c r="J96" s="34" t="str" cm="1">
        <f t="array" ref="J96">IF($C96="","",SUMPRODUCT((TEXT($AE$5:$OE$5, "mmm")=LOWER(I$3))*$AE96:$OE96))</f>
        <v/>
      </c>
      <c r="K96" s="34"/>
      <c r="L96" s="34" t="str" cm="1">
        <f t="array" ref="L96">IF($C96="","",SUMPRODUCT((TEXT($AE$5:$OE$5, "mmm")=LOWER(K$3))*$AE96:$OE96))</f>
        <v/>
      </c>
      <c r="M96" s="34"/>
      <c r="N96" s="34" t="str" cm="1">
        <f t="array" ref="N96">IF($C96="","",SUMPRODUCT((TEXT($AE$5:$OE$5, "mmm")=LOWER(M$3))*$AE96:$OE96))</f>
        <v/>
      </c>
      <c r="O96" s="34"/>
      <c r="P96" s="34" t="str" cm="1">
        <f t="array" ref="P96">IF($C96="","",SUMPRODUCT((TEXT($AE$5:$OE$5, "mmm")=LOWER(O$3))*$AE96:$OE96))</f>
        <v/>
      </c>
      <c r="Q96" s="34"/>
      <c r="R96" s="34" t="str" cm="1">
        <f t="array" ref="R96">IF($C96="","",SUMPRODUCT((TEXT($AE$5:$OE$5, "mmm")=LOWER(Q$3))*$AE96:$OE96))</f>
        <v/>
      </c>
      <c r="S96" s="34"/>
      <c r="T96" s="34" t="str" cm="1">
        <f t="array" ref="T96">IF($C96="","",SUMPRODUCT((TEXT($AE$5:$OE$5, "mmm")=LOWER(S$3))*$AE96:$OE96))</f>
        <v/>
      </c>
      <c r="U96" s="34"/>
      <c r="V96" s="34" t="str" cm="1">
        <f t="array" ref="V96">IF($C96="","",SUMPRODUCT((TEXT($AE$5:$OE$5, "mmm")=LOWER(U$3))*$AE96:$OE96))</f>
        <v/>
      </c>
      <c r="W96" s="34"/>
      <c r="X96" s="34" t="str" cm="1">
        <f t="array" ref="X96">IF($C96="","",SUMPRODUCT((TEXT($AE$5:$OE$5, "mmm")=LOWER(W$3))*$AE96:$OE96))</f>
        <v/>
      </c>
      <c r="Y96" s="34"/>
      <c r="Z96" s="34" t="str" cm="1">
        <f t="array" ref="Z96">IF($C96="","",SUMPRODUCT((TEXT($AE$5:$OE$5, "mmm")=LOWER(Y$3))*$AE96:$OE96))</f>
        <v/>
      </c>
      <c r="AA96" s="34"/>
      <c r="AB96" s="34" t="str" cm="1">
        <f t="array" ref="AB96">IF($C96="","",SUMPRODUCT((TEXT($AE$5:$OE$5, "mmm")=LOWER(AA$3))*$AE96:$OE96))</f>
        <v/>
      </c>
      <c r="AC96" s="34"/>
      <c r="AD96" s="34" t="str" cm="1">
        <f t="array" ref="AD96">IF($C96="","",SUMPRODUCT((TEXT($AE$5:$OE$5, "mmm")=LOWER(AC$3))*$AE96:$OE96))</f>
        <v/>
      </c>
      <c r="OE96" s="49"/>
    </row>
    <row r="97" spans="1:395">
      <c r="A97" s="35"/>
      <c r="C97" s="2" t="str">
        <f>IF(ISBLANK($B97),"",_xlfn.XLOOKUP($B97,Task_No,Project!$C$3:$C$144,"INVALID TASK"))</f>
        <v/>
      </c>
      <c r="E97" s="7" t="str">
        <f t="shared" si="21"/>
        <v/>
      </c>
      <c r="F97" s="7" t="str">
        <f t="shared" si="20"/>
        <v/>
      </c>
      <c r="G97" s="34"/>
      <c r="H97" s="34" t="str" cm="1">
        <f t="array" ref="H97">IF($C97="","",SUMPRODUCT((TEXT($AE$5:$OE$5, "mmm")=LOWER(G$3))*$AE97:$OE97))</f>
        <v/>
      </c>
      <c r="I97" s="34"/>
      <c r="J97" s="34" t="str" cm="1">
        <f t="array" ref="J97">IF($C97="","",SUMPRODUCT((TEXT($AE$5:$OE$5, "mmm")=LOWER(I$3))*$AE97:$OE97))</f>
        <v/>
      </c>
      <c r="K97" s="34"/>
      <c r="L97" s="34" t="str" cm="1">
        <f t="array" ref="L97">IF($C97="","",SUMPRODUCT((TEXT($AE$5:$OE$5, "mmm")=LOWER(K$3))*$AE97:$OE97))</f>
        <v/>
      </c>
      <c r="M97" s="34"/>
      <c r="N97" s="34" t="str" cm="1">
        <f t="array" ref="N97">IF($C97="","",SUMPRODUCT((TEXT($AE$5:$OE$5, "mmm")=LOWER(M$3))*$AE97:$OE97))</f>
        <v/>
      </c>
      <c r="O97" s="34"/>
      <c r="P97" s="34" t="str" cm="1">
        <f t="array" ref="P97">IF($C97="","",SUMPRODUCT((TEXT($AE$5:$OE$5, "mmm")=LOWER(O$3))*$AE97:$OE97))</f>
        <v/>
      </c>
      <c r="Q97" s="34"/>
      <c r="R97" s="34" t="str" cm="1">
        <f t="array" ref="R97">IF($C97="","",SUMPRODUCT((TEXT($AE$5:$OE$5, "mmm")=LOWER(Q$3))*$AE97:$OE97))</f>
        <v/>
      </c>
      <c r="S97" s="34"/>
      <c r="T97" s="34" t="str" cm="1">
        <f t="array" ref="T97">IF($C97="","",SUMPRODUCT((TEXT($AE$5:$OE$5, "mmm")=LOWER(S$3))*$AE97:$OE97))</f>
        <v/>
      </c>
      <c r="U97" s="34"/>
      <c r="V97" s="34" t="str" cm="1">
        <f t="array" ref="V97">IF($C97="","",SUMPRODUCT((TEXT($AE$5:$OE$5, "mmm")=LOWER(U$3))*$AE97:$OE97))</f>
        <v/>
      </c>
      <c r="W97" s="34"/>
      <c r="X97" s="34" t="str" cm="1">
        <f t="array" ref="X97">IF($C97="","",SUMPRODUCT((TEXT($AE$5:$OE$5, "mmm")=LOWER(W$3))*$AE97:$OE97))</f>
        <v/>
      </c>
      <c r="Y97" s="34"/>
      <c r="Z97" s="34" t="str" cm="1">
        <f t="array" ref="Z97">IF($C97="","",SUMPRODUCT((TEXT($AE$5:$OE$5, "mmm")=LOWER(Y$3))*$AE97:$OE97))</f>
        <v/>
      </c>
      <c r="AA97" s="34"/>
      <c r="AB97" s="34" t="str" cm="1">
        <f t="array" ref="AB97">IF($C97="","",SUMPRODUCT((TEXT($AE$5:$OE$5, "mmm")=LOWER(AA$3))*$AE97:$OE97))</f>
        <v/>
      </c>
      <c r="AC97" s="34"/>
      <c r="AD97" s="34" t="str" cm="1">
        <f t="array" ref="AD97">IF($C97="","",SUMPRODUCT((TEXT($AE$5:$OE$5, "mmm")=LOWER(AC$3))*$AE97:$OE97))</f>
        <v/>
      </c>
      <c r="OE97" s="49"/>
    </row>
    <row r="98" spans="1:395">
      <c r="A98" s="35"/>
      <c r="C98" s="2" t="str">
        <f>IF(ISBLANK($B98),"",_xlfn.XLOOKUP($B98,Task_No,Project!$C$3:$C$144,"INVALID TASK"))</f>
        <v/>
      </c>
      <c r="E98" s="7" t="str">
        <f t="shared" si="21"/>
        <v/>
      </c>
      <c r="F98" s="7" t="str">
        <f t="shared" si="20"/>
        <v/>
      </c>
      <c r="G98" s="34"/>
      <c r="H98" s="34" t="str" cm="1">
        <f t="array" ref="H98">IF($C98="","",SUMPRODUCT((TEXT($AE$5:$OE$5, "mmm")=LOWER(G$3))*$AE98:$OE98))</f>
        <v/>
      </c>
      <c r="I98" s="34"/>
      <c r="J98" s="34" t="str" cm="1">
        <f t="array" ref="J98">IF($C98="","",SUMPRODUCT((TEXT($AE$5:$OE$5, "mmm")=LOWER(I$3))*$AE98:$OE98))</f>
        <v/>
      </c>
      <c r="K98" s="34"/>
      <c r="L98" s="34" t="str" cm="1">
        <f t="array" ref="L98">IF($C98="","",SUMPRODUCT((TEXT($AE$5:$OE$5, "mmm")=LOWER(K$3))*$AE98:$OE98))</f>
        <v/>
      </c>
      <c r="M98" s="34"/>
      <c r="N98" s="34" t="str" cm="1">
        <f t="array" ref="N98">IF($C98="","",SUMPRODUCT((TEXT($AE$5:$OE$5, "mmm")=LOWER(M$3))*$AE98:$OE98))</f>
        <v/>
      </c>
      <c r="O98" s="34"/>
      <c r="P98" s="34" t="str" cm="1">
        <f t="array" ref="P98">IF($C98="","",SUMPRODUCT((TEXT($AE$5:$OE$5, "mmm")=LOWER(O$3))*$AE98:$OE98))</f>
        <v/>
      </c>
      <c r="Q98" s="34"/>
      <c r="R98" s="34" t="str" cm="1">
        <f t="array" ref="R98">IF($C98="","",SUMPRODUCT((TEXT($AE$5:$OE$5, "mmm")=LOWER(Q$3))*$AE98:$OE98))</f>
        <v/>
      </c>
      <c r="S98" s="34"/>
      <c r="T98" s="34" t="str" cm="1">
        <f t="array" ref="T98">IF($C98="","",SUMPRODUCT((TEXT($AE$5:$OE$5, "mmm")=LOWER(S$3))*$AE98:$OE98))</f>
        <v/>
      </c>
      <c r="U98" s="34"/>
      <c r="V98" s="34" t="str" cm="1">
        <f t="array" ref="V98">IF($C98="","",SUMPRODUCT((TEXT($AE$5:$OE$5, "mmm")=LOWER(U$3))*$AE98:$OE98))</f>
        <v/>
      </c>
      <c r="W98" s="34"/>
      <c r="X98" s="34" t="str" cm="1">
        <f t="array" ref="X98">IF($C98="","",SUMPRODUCT((TEXT($AE$5:$OE$5, "mmm")=LOWER(W$3))*$AE98:$OE98))</f>
        <v/>
      </c>
      <c r="Y98" s="34"/>
      <c r="Z98" s="34" t="str" cm="1">
        <f t="array" ref="Z98">IF($C98="","",SUMPRODUCT((TEXT($AE$5:$OE$5, "mmm")=LOWER(Y$3))*$AE98:$OE98))</f>
        <v/>
      </c>
      <c r="AA98" s="34"/>
      <c r="AB98" s="34" t="str" cm="1">
        <f t="array" ref="AB98">IF($C98="","",SUMPRODUCT((TEXT($AE$5:$OE$5, "mmm")=LOWER(AA$3))*$AE98:$OE98))</f>
        <v/>
      </c>
      <c r="AC98" s="34"/>
      <c r="AD98" s="34" t="str" cm="1">
        <f t="array" ref="AD98">IF($C98="","",SUMPRODUCT((TEXT($AE$5:$OE$5, "mmm")=LOWER(AC$3))*$AE98:$OE98))</f>
        <v/>
      </c>
      <c r="OE98" s="49"/>
    </row>
    <row r="99" spans="1:395">
      <c r="A99" s="35"/>
      <c r="C99" s="2" t="str">
        <f>IF(ISBLANK($B99),"",_xlfn.XLOOKUP($B99,Task_No,Project!$C$3:$C$144,"INVALID TASK"))</f>
        <v/>
      </c>
      <c r="E99" s="7" t="str">
        <f t="shared" si="21"/>
        <v/>
      </c>
      <c r="F99" s="7" t="str">
        <f t="shared" si="20"/>
        <v/>
      </c>
      <c r="G99" s="34"/>
      <c r="H99" s="34" t="str" cm="1">
        <f t="array" ref="H99">IF($C99="","",SUMPRODUCT((TEXT($AE$5:$OE$5, "mmm")=LOWER(G$3))*$AE99:$OE99))</f>
        <v/>
      </c>
      <c r="I99" s="34"/>
      <c r="J99" s="34" t="str" cm="1">
        <f t="array" ref="J99">IF($C99="","",SUMPRODUCT((TEXT($AE$5:$OE$5, "mmm")=LOWER(I$3))*$AE99:$OE99))</f>
        <v/>
      </c>
      <c r="K99" s="34"/>
      <c r="L99" s="34" t="str" cm="1">
        <f t="array" ref="L99">IF($C99="","",SUMPRODUCT((TEXT($AE$5:$OE$5, "mmm")=LOWER(K$3))*$AE99:$OE99))</f>
        <v/>
      </c>
      <c r="M99" s="34"/>
      <c r="N99" s="34" t="str" cm="1">
        <f t="array" ref="N99">IF($C99="","",SUMPRODUCT((TEXT($AE$5:$OE$5, "mmm")=LOWER(M$3))*$AE99:$OE99))</f>
        <v/>
      </c>
      <c r="O99" s="34"/>
      <c r="P99" s="34" t="str" cm="1">
        <f t="array" ref="P99">IF($C99="","",SUMPRODUCT((TEXT($AE$5:$OE$5, "mmm")=LOWER(O$3))*$AE99:$OE99))</f>
        <v/>
      </c>
      <c r="Q99" s="34"/>
      <c r="R99" s="34" t="str" cm="1">
        <f t="array" ref="R99">IF($C99="","",SUMPRODUCT((TEXT($AE$5:$OE$5, "mmm")=LOWER(Q$3))*$AE99:$OE99))</f>
        <v/>
      </c>
      <c r="S99" s="34"/>
      <c r="T99" s="34" t="str" cm="1">
        <f t="array" ref="T99">IF($C99="","",SUMPRODUCT((TEXT($AE$5:$OE$5, "mmm")=LOWER(S$3))*$AE99:$OE99))</f>
        <v/>
      </c>
      <c r="U99" s="34"/>
      <c r="V99" s="34" t="str" cm="1">
        <f t="array" ref="V99">IF($C99="","",SUMPRODUCT((TEXT($AE$5:$OE$5, "mmm")=LOWER(U$3))*$AE99:$OE99))</f>
        <v/>
      </c>
      <c r="W99" s="34"/>
      <c r="X99" s="34" t="str" cm="1">
        <f t="array" ref="X99">IF($C99="","",SUMPRODUCT((TEXT($AE$5:$OE$5, "mmm")=LOWER(W$3))*$AE99:$OE99))</f>
        <v/>
      </c>
      <c r="Y99" s="34"/>
      <c r="Z99" s="34" t="str" cm="1">
        <f t="array" ref="Z99">IF($C99="","",SUMPRODUCT((TEXT($AE$5:$OE$5, "mmm")=LOWER(Y$3))*$AE99:$OE99))</f>
        <v/>
      </c>
      <c r="AA99" s="34"/>
      <c r="AB99" s="34" t="str" cm="1">
        <f t="array" ref="AB99">IF($C99="","",SUMPRODUCT((TEXT($AE$5:$OE$5, "mmm")=LOWER(AA$3))*$AE99:$OE99))</f>
        <v/>
      </c>
      <c r="AC99" s="34"/>
      <c r="AD99" s="34" t="str" cm="1">
        <f t="array" ref="AD99">IF($C99="","",SUMPRODUCT((TEXT($AE$5:$OE$5, "mmm")=LOWER(AC$3))*$AE99:$OE99))</f>
        <v/>
      </c>
      <c r="OE99" s="49"/>
    </row>
    <row r="100" spans="1:395">
      <c r="A100" s="35"/>
      <c r="C100" s="2" t="str">
        <f>IF(ISBLANK($B100),"",_xlfn.XLOOKUP($B100,Task_No,Project!$C$3:$C$144,"INVALID TASK"))</f>
        <v/>
      </c>
      <c r="E100" s="7" t="str">
        <f t="shared" si="21"/>
        <v/>
      </c>
      <c r="F100" s="7" t="str">
        <f t="shared" si="20"/>
        <v/>
      </c>
      <c r="G100" s="34"/>
      <c r="H100" s="34" t="str" cm="1">
        <f t="array" ref="H100">IF($C100="","",SUMPRODUCT((TEXT($AE$5:$OE$5, "mmm")=LOWER(G$3))*$AE100:$OE100))</f>
        <v/>
      </c>
      <c r="I100" s="34"/>
      <c r="J100" s="34" t="str" cm="1">
        <f t="array" ref="J100">IF($C100="","",SUMPRODUCT((TEXT($AE$5:$OE$5, "mmm")=LOWER(I$3))*$AE100:$OE100))</f>
        <v/>
      </c>
      <c r="K100" s="34"/>
      <c r="L100" s="34" t="str" cm="1">
        <f t="array" ref="L100">IF($C100="","",SUMPRODUCT((TEXT($AE$5:$OE$5, "mmm")=LOWER(K$3))*$AE100:$OE100))</f>
        <v/>
      </c>
      <c r="M100" s="34"/>
      <c r="N100" s="34" t="str" cm="1">
        <f t="array" ref="N100">IF($C100="","",SUMPRODUCT((TEXT($AE$5:$OE$5, "mmm")=LOWER(M$3))*$AE100:$OE100))</f>
        <v/>
      </c>
      <c r="O100" s="34"/>
      <c r="P100" s="34" t="str" cm="1">
        <f t="array" ref="P100">IF($C100="","",SUMPRODUCT((TEXT($AE$5:$OE$5, "mmm")=LOWER(O$3))*$AE100:$OE100))</f>
        <v/>
      </c>
      <c r="Q100" s="34"/>
      <c r="R100" s="34" t="str" cm="1">
        <f t="array" ref="R100">IF($C100="","",SUMPRODUCT((TEXT($AE$5:$OE$5, "mmm")=LOWER(Q$3))*$AE100:$OE100))</f>
        <v/>
      </c>
      <c r="S100" s="34"/>
      <c r="T100" s="34" t="str" cm="1">
        <f t="array" ref="T100">IF($C100="","",SUMPRODUCT((TEXT($AE$5:$OE$5, "mmm")=LOWER(S$3))*$AE100:$OE100))</f>
        <v/>
      </c>
      <c r="U100" s="34"/>
      <c r="V100" s="34" t="str" cm="1">
        <f t="array" ref="V100">IF($C100="","",SUMPRODUCT((TEXT($AE$5:$OE$5, "mmm")=LOWER(U$3))*$AE100:$OE100))</f>
        <v/>
      </c>
      <c r="W100" s="34"/>
      <c r="X100" s="34" t="str" cm="1">
        <f t="array" ref="X100">IF($C100="","",SUMPRODUCT((TEXT($AE$5:$OE$5, "mmm")=LOWER(W$3))*$AE100:$OE100))</f>
        <v/>
      </c>
      <c r="Y100" s="34"/>
      <c r="Z100" s="34" t="str" cm="1">
        <f t="array" ref="Z100">IF($C100="","",SUMPRODUCT((TEXT($AE$5:$OE$5, "mmm")=LOWER(Y$3))*$AE100:$OE100))</f>
        <v/>
      </c>
      <c r="AA100" s="34"/>
      <c r="AB100" s="34" t="str" cm="1">
        <f t="array" ref="AB100">IF($C100="","",SUMPRODUCT((TEXT($AE$5:$OE$5, "mmm")=LOWER(AA$3))*$AE100:$OE100))</f>
        <v/>
      </c>
      <c r="AC100" s="34"/>
      <c r="AD100" s="34" t="str" cm="1">
        <f t="array" ref="AD100">IF($C100="","",SUMPRODUCT((TEXT($AE$5:$OE$5, "mmm")=LOWER(AC$3))*$AE100:$OE100))</f>
        <v/>
      </c>
      <c r="OE100" s="49"/>
    </row>
    <row r="101" spans="1:395">
      <c r="A101" s="35"/>
      <c r="C101" s="2" t="str">
        <f>IF(ISBLANK($B101),"",_xlfn.XLOOKUP($B101,Task_No,Project!$C$3:$C$144,"INVALID TASK"))</f>
        <v/>
      </c>
      <c r="E101" s="7" t="str">
        <f t="shared" si="21"/>
        <v/>
      </c>
      <c r="F101" s="7" t="str">
        <f t="shared" si="20"/>
        <v/>
      </c>
      <c r="G101" s="34"/>
      <c r="H101" s="34" t="str" cm="1">
        <f t="array" ref="H101">IF($C101="","",SUMPRODUCT((TEXT($AE$5:$OE$5, "mmm")=LOWER(G$3))*$AE101:$OE101))</f>
        <v/>
      </c>
      <c r="I101" s="34"/>
      <c r="J101" s="34" t="str" cm="1">
        <f t="array" ref="J101">IF($C101="","",SUMPRODUCT((TEXT($AE$5:$OE$5, "mmm")=LOWER(I$3))*$AE101:$OE101))</f>
        <v/>
      </c>
      <c r="K101" s="34"/>
      <c r="L101" s="34" t="str" cm="1">
        <f t="array" ref="L101">IF($C101="","",SUMPRODUCT((TEXT($AE$5:$OE$5, "mmm")=LOWER(K$3))*$AE101:$OE101))</f>
        <v/>
      </c>
      <c r="M101" s="34"/>
      <c r="N101" s="34" t="str" cm="1">
        <f t="array" ref="N101">IF($C101="","",SUMPRODUCT((TEXT($AE$5:$OE$5, "mmm")=LOWER(M$3))*$AE101:$OE101))</f>
        <v/>
      </c>
      <c r="O101" s="34"/>
      <c r="P101" s="34" t="str" cm="1">
        <f t="array" ref="P101">IF($C101="","",SUMPRODUCT((TEXT($AE$5:$OE$5, "mmm")=LOWER(O$3))*$AE101:$OE101))</f>
        <v/>
      </c>
      <c r="Q101" s="34"/>
      <c r="R101" s="34" t="str" cm="1">
        <f t="array" ref="R101">IF($C101="","",SUMPRODUCT((TEXT($AE$5:$OE$5, "mmm")=LOWER(Q$3))*$AE101:$OE101))</f>
        <v/>
      </c>
      <c r="S101" s="34"/>
      <c r="T101" s="34" t="str" cm="1">
        <f t="array" ref="T101">IF($C101="","",SUMPRODUCT((TEXT($AE$5:$OE$5, "mmm")=LOWER(S$3))*$AE101:$OE101))</f>
        <v/>
      </c>
      <c r="U101" s="34"/>
      <c r="V101" s="34" t="str" cm="1">
        <f t="array" ref="V101">IF($C101="","",SUMPRODUCT((TEXT($AE$5:$OE$5, "mmm")=LOWER(U$3))*$AE101:$OE101))</f>
        <v/>
      </c>
      <c r="W101" s="34"/>
      <c r="X101" s="34" t="str" cm="1">
        <f t="array" ref="X101">IF($C101="","",SUMPRODUCT((TEXT($AE$5:$OE$5, "mmm")=LOWER(W$3))*$AE101:$OE101))</f>
        <v/>
      </c>
      <c r="Y101" s="34"/>
      <c r="Z101" s="34" t="str" cm="1">
        <f t="array" ref="Z101">IF($C101="","",SUMPRODUCT((TEXT($AE$5:$OE$5, "mmm")=LOWER(Y$3))*$AE101:$OE101))</f>
        <v/>
      </c>
      <c r="AA101" s="34"/>
      <c r="AB101" s="34" t="str" cm="1">
        <f t="array" ref="AB101">IF($C101="","",SUMPRODUCT((TEXT($AE$5:$OE$5, "mmm")=LOWER(AA$3))*$AE101:$OE101))</f>
        <v/>
      </c>
      <c r="AC101" s="34"/>
      <c r="AD101" s="34" t="str" cm="1">
        <f t="array" ref="AD101">IF($C101="","",SUMPRODUCT((TEXT($AE$5:$OE$5, "mmm")=LOWER(AC$3))*$AE101:$OE101))</f>
        <v/>
      </c>
      <c r="OE101" s="49"/>
    </row>
    <row r="102" spans="1:395">
      <c r="A102" s="35"/>
      <c r="C102" s="2" t="str">
        <f>IF(ISBLANK($B102),"",_xlfn.XLOOKUP($B102,Task_No,Project!$C$3:$C$144,"INVALID TASK"))</f>
        <v/>
      </c>
      <c r="E102" s="7" t="str">
        <f t="shared" si="21"/>
        <v/>
      </c>
      <c r="F102" s="7" t="str">
        <f t="shared" si="20"/>
        <v/>
      </c>
      <c r="G102" s="34"/>
      <c r="H102" s="34" t="str" cm="1">
        <f t="array" ref="H102">IF($C102="","",SUMPRODUCT((TEXT($AE$5:$OE$5, "mmm")=LOWER(G$3))*$AE102:$OE102))</f>
        <v/>
      </c>
      <c r="I102" s="34"/>
      <c r="J102" s="34" t="str" cm="1">
        <f t="array" ref="J102">IF($C102="","",SUMPRODUCT((TEXT($AE$5:$OE$5, "mmm")=LOWER(I$3))*$AE102:$OE102))</f>
        <v/>
      </c>
      <c r="K102" s="34"/>
      <c r="L102" s="34" t="str" cm="1">
        <f t="array" ref="L102">IF($C102="","",SUMPRODUCT((TEXT($AE$5:$OE$5, "mmm")=LOWER(K$3))*$AE102:$OE102))</f>
        <v/>
      </c>
      <c r="M102" s="34"/>
      <c r="N102" s="34" t="str" cm="1">
        <f t="array" ref="N102">IF($C102="","",SUMPRODUCT((TEXT($AE$5:$OE$5, "mmm")=LOWER(M$3))*$AE102:$OE102))</f>
        <v/>
      </c>
      <c r="O102" s="34"/>
      <c r="P102" s="34" t="str" cm="1">
        <f t="array" ref="P102">IF($C102="","",SUMPRODUCT((TEXT($AE$5:$OE$5, "mmm")=LOWER(O$3))*$AE102:$OE102))</f>
        <v/>
      </c>
      <c r="Q102" s="34"/>
      <c r="R102" s="34" t="str" cm="1">
        <f t="array" ref="R102">IF($C102="","",SUMPRODUCT((TEXT($AE$5:$OE$5, "mmm")=LOWER(Q$3))*$AE102:$OE102))</f>
        <v/>
      </c>
      <c r="S102" s="34"/>
      <c r="T102" s="34" t="str" cm="1">
        <f t="array" ref="T102">IF($C102="","",SUMPRODUCT((TEXT($AE$5:$OE$5, "mmm")=LOWER(S$3))*$AE102:$OE102))</f>
        <v/>
      </c>
      <c r="U102" s="34"/>
      <c r="V102" s="34" t="str" cm="1">
        <f t="array" ref="V102">IF($C102="","",SUMPRODUCT((TEXT($AE$5:$OE$5, "mmm")=LOWER(U$3))*$AE102:$OE102))</f>
        <v/>
      </c>
      <c r="W102" s="34"/>
      <c r="X102" s="34" t="str" cm="1">
        <f t="array" ref="X102">IF($C102="","",SUMPRODUCT((TEXT($AE$5:$OE$5, "mmm")=LOWER(W$3))*$AE102:$OE102))</f>
        <v/>
      </c>
      <c r="Y102" s="34"/>
      <c r="Z102" s="34" t="str" cm="1">
        <f t="array" ref="Z102">IF($C102="","",SUMPRODUCT((TEXT($AE$5:$OE$5, "mmm")=LOWER(Y$3))*$AE102:$OE102))</f>
        <v/>
      </c>
      <c r="AA102" s="34"/>
      <c r="AB102" s="34" t="str" cm="1">
        <f t="array" ref="AB102">IF($C102="","",SUMPRODUCT((TEXT($AE$5:$OE$5, "mmm")=LOWER(AA$3))*$AE102:$OE102))</f>
        <v/>
      </c>
      <c r="AC102" s="34"/>
      <c r="AD102" s="34" t="str" cm="1">
        <f t="array" ref="AD102">IF($C102="","",SUMPRODUCT((TEXT($AE$5:$OE$5, "mmm")=LOWER(AC$3))*$AE102:$OE102))</f>
        <v/>
      </c>
      <c r="OE102" s="49"/>
    </row>
    <row r="103" spans="1:395">
      <c r="A103" s="35"/>
      <c r="C103" s="2" t="str">
        <f>IF(ISBLANK($B103),"",_xlfn.XLOOKUP($B103,Task_No,Project!$C$3:$C$144,"INVALID TASK"))</f>
        <v/>
      </c>
      <c r="E103" s="7" t="str">
        <f t="shared" si="21"/>
        <v/>
      </c>
      <c r="F103" s="7" t="str">
        <f t="shared" si="20"/>
        <v/>
      </c>
      <c r="G103" s="34"/>
      <c r="H103" s="34" t="str" cm="1">
        <f t="array" ref="H103">IF($C103="","",SUMPRODUCT((TEXT($AE$5:$OE$5, "mmm")=LOWER(G$3))*$AE103:$OE103))</f>
        <v/>
      </c>
      <c r="I103" s="34"/>
      <c r="J103" s="34" t="str" cm="1">
        <f t="array" ref="J103">IF($C103="","",SUMPRODUCT((TEXT($AE$5:$OE$5, "mmm")=LOWER(I$3))*$AE103:$OE103))</f>
        <v/>
      </c>
      <c r="K103" s="34"/>
      <c r="L103" s="34" t="str" cm="1">
        <f t="array" ref="L103">IF($C103="","",SUMPRODUCT((TEXT($AE$5:$OE$5, "mmm")=LOWER(K$3))*$AE103:$OE103))</f>
        <v/>
      </c>
      <c r="M103" s="34"/>
      <c r="N103" s="34" t="str" cm="1">
        <f t="array" ref="N103">IF($C103="","",SUMPRODUCT((TEXT($AE$5:$OE$5, "mmm")=LOWER(M$3))*$AE103:$OE103))</f>
        <v/>
      </c>
      <c r="O103" s="34"/>
      <c r="P103" s="34" t="str" cm="1">
        <f t="array" ref="P103">IF($C103="","",SUMPRODUCT((TEXT($AE$5:$OE$5, "mmm")=LOWER(O$3))*$AE103:$OE103))</f>
        <v/>
      </c>
      <c r="Q103" s="34"/>
      <c r="R103" s="34" t="str" cm="1">
        <f t="array" ref="R103">IF($C103="","",SUMPRODUCT((TEXT($AE$5:$OE$5, "mmm")=LOWER(Q$3))*$AE103:$OE103))</f>
        <v/>
      </c>
      <c r="S103" s="34"/>
      <c r="T103" s="34" t="str" cm="1">
        <f t="array" ref="T103">IF($C103="","",SUMPRODUCT((TEXT($AE$5:$OE$5, "mmm")=LOWER(S$3))*$AE103:$OE103))</f>
        <v/>
      </c>
      <c r="U103" s="34"/>
      <c r="V103" s="34" t="str" cm="1">
        <f t="array" ref="V103">IF($C103="","",SUMPRODUCT((TEXT($AE$5:$OE$5, "mmm")=LOWER(U$3))*$AE103:$OE103))</f>
        <v/>
      </c>
      <c r="W103" s="34"/>
      <c r="X103" s="34" t="str" cm="1">
        <f t="array" ref="X103">IF($C103="","",SUMPRODUCT((TEXT($AE$5:$OE$5, "mmm")=LOWER(W$3))*$AE103:$OE103))</f>
        <v/>
      </c>
      <c r="Y103" s="34"/>
      <c r="Z103" s="34" t="str" cm="1">
        <f t="array" ref="Z103">IF($C103="","",SUMPRODUCT((TEXT($AE$5:$OE$5, "mmm")=LOWER(Y$3))*$AE103:$OE103))</f>
        <v/>
      </c>
      <c r="AA103" s="34"/>
      <c r="AB103" s="34" t="str" cm="1">
        <f t="array" ref="AB103">IF($C103="","",SUMPRODUCT((TEXT($AE$5:$OE$5, "mmm")=LOWER(AA$3))*$AE103:$OE103))</f>
        <v/>
      </c>
      <c r="AC103" s="34"/>
      <c r="AD103" s="34" t="str" cm="1">
        <f t="array" ref="AD103">IF($C103="","",SUMPRODUCT((TEXT($AE$5:$OE$5, "mmm")=LOWER(AC$3))*$AE103:$OE103))</f>
        <v/>
      </c>
      <c r="OE103" s="49"/>
    </row>
    <row r="104" spans="1:395">
      <c r="A104" s="35"/>
      <c r="C104" s="2" t="str">
        <f>IF(ISBLANK($B104),"",_xlfn.XLOOKUP($B104,Task_No,Project!$C$3:$C$144,"INVALID TASK"))</f>
        <v/>
      </c>
      <c r="E104" s="7" t="str">
        <f t="shared" si="21"/>
        <v/>
      </c>
      <c r="F104" s="7" t="str">
        <f t="shared" si="20"/>
        <v/>
      </c>
      <c r="G104" s="34"/>
      <c r="H104" s="34" t="str" cm="1">
        <f t="array" ref="H104">IF($C104="","",SUMPRODUCT((TEXT($AE$5:$OE$5, "mmm")=LOWER(G$3))*$AE104:$OE104))</f>
        <v/>
      </c>
      <c r="I104" s="34"/>
      <c r="J104" s="34" t="str" cm="1">
        <f t="array" ref="J104">IF($C104="","",SUMPRODUCT((TEXT($AE$5:$OE$5, "mmm")=LOWER(I$3))*$AE104:$OE104))</f>
        <v/>
      </c>
      <c r="K104" s="34"/>
      <c r="L104" s="34" t="str" cm="1">
        <f t="array" ref="L104">IF($C104="","",SUMPRODUCT((TEXT($AE$5:$OE$5, "mmm")=LOWER(K$3))*$AE104:$OE104))</f>
        <v/>
      </c>
      <c r="M104" s="34"/>
      <c r="N104" s="34" t="str" cm="1">
        <f t="array" ref="N104">IF($C104="","",SUMPRODUCT((TEXT($AE$5:$OE$5, "mmm")=LOWER(M$3))*$AE104:$OE104))</f>
        <v/>
      </c>
      <c r="O104" s="34"/>
      <c r="P104" s="34" t="str" cm="1">
        <f t="array" ref="P104">IF($C104="","",SUMPRODUCT((TEXT($AE$5:$OE$5, "mmm")=LOWER(O$3))*$AE104:$OE104))</f>
        <v/>
      </c>
      <c r="Q104" s="34"/>
      <c r="R104" s="34" t="str" cm="1">
        <f t="array" ref="R104">IF($C104="","",SUMPRODUCT((TEXT($AE$5:$OE$5, "mmm")=LOWER(Q$3))*$AE104:$OE104))</f>
        <v/>
      </c>
      <c r="S104" s="34"/>
      <c r="T104" s="34" t="str" cm="1">
        <f t="array" ref="T104">IF($C104="","",SUMPRODUCT((TEXT($AE$5:$OE$5, "mmm")=LOWER(S$3))*$AE104:$OE104))</f>
        <v/>
      </c>
      <c r="U104" s="34"/>
      <c r="V104" s="34" t="str" cm="1">
        <f t="array" ref="V104">IF($C104="","",SUMPRODUCT((TEXT($AE$5:$OE$5, "mmm")=LOWER(U$3))*$AE104:$OE104))</f>
        <v/>
      </c>
      <c r="W104" s="34"/>
      <c r="X104" s="34" t="str" cm="1">
        <f t="array" ref="X104">IF($C104="","",SUMPRODUCT((TEXT($AE$5:$OE$5, "mmm")=LOWER(W$3))*$AE104:$OE104))</f>
        <v/>
      </c>
      <c r="Y104" s="34"/>
      <c r="Z104" s="34" t="str" cm="1">
        <f t="array" ref="Z104">IF($C104="","",SUMPRODUCT((TEXT($AE$5:$OE$5, "mmm")=LOWER(Y$3))*$AE104:$OE104))</f>
        <v/>
      </c>
      <c r="AA104" s="34"/>
      <c r="AB104" s="34" t="str" cm="1">
        <f t="array" ref="AB104">IF($C104="","",SUMPRODUCT((TEXT($AE$5:$OE$5, "mmm")=LOWER(AA$3))*$AE104:$OE104))</f>
        <v/>
      </c>
      <c r="AC104" s="34"/>
      <c r="AD104" s="34" t="str" cm="1">
        <f t="array" ref="AD104">IF($C104="","",SUMPRODUCT((TEXT($AE$5:$OE$5, "mmm")=LOWER(AC$3))*$AE104:$OE104))</f>
        <v/>
      </c>
      <c r="OE104" s="49"/>
    </row>
    <row r="105" spans="1:395">
      <c r="A105" s="35"/>
      <c r="C105" s="2" t="str">
        <f>IF(ISBLANK($B105),"",_xlfn.XLOOKUP($B105,Task_No,Project!$C$3:$C$144,"INVALID TASK"))</f>
        <v/>
      </c>
      <c r="E105" s="7" t="str">
        <f t="shared" si="21"/>
        <v/>
      </c>
      <c r="F105" s="7" t="str">
        <f t="shared" si="20"/>
        <v/>
      </c>
      <c r="G105" s="34"/>
      <c r="H105" s="34" t="str" cm="1">
        <f t="array" ref="H105">IF($C105="","",SUMPRODUCT((TEXT($AE$5:$OE$5, "mmm")=LOWER(G$3))*$AE105:$OE105))</f>
        <v/>
      </c>
      <c r="I105" s="34"/>
      <c r="J105" s="34" t="str" cm="1">
        <f t="array" ref="J105">IF($C105="","",SUMPRODUCT((TEXT($AE$5:$OE$5, "mmm")=LOWER(I$3))*$AE105:$OE105))</f>
        <v/>
      </c>
      <c r="K105" s="34"/>
      <c r="L105" s="34" t="str" cm="1">
        <f t="array" ref="L105">IF($C105="","",SUMPRODUCT((TEXT($AE$5:$OE$5, "mmm")=LOWER(K$3))*$AE105:$OE105))</f>
        <v/>
      </c>
      <c r="M105" s="34"/>
      <c r="N105" s="34" t="str" cm="1">
        <f t="array" ref="N105">IF($C105="","",SUMPRODUCT((TEXT($AE$5:$OE$5, "mmm")=LOWER(M$3))*$AE105:$OE105))</f>
        <v/>
      </c>
      <c r="O105" s="34"/>
      <c r="P105" s="34" t="str" cm="1">
        <f t="array" ref="P105">IF($C105="","",SUMPRODUCT((TEXT($AE$5:$OE$5, "mmm")=LOWER(O$3))*$AE105:$OE105))</f>
        <v/>
      </c>
      <c r="Q105" s="34"/>
      <c r="R105" s="34" t="str" cm="1">
        <f t="array" ref="R105">IF($C105="","",SUMPRODUCT((TEXT($AE$5:$OE$5, "mmm")=LOWER(Q$3))*$AE105:$OE105))</f>
        <v/>
      </c>
      <c r="S105" s="34"/>
      <c r="T105" s="34" t="str" cm="1">
        <f t="array" ref="T105">IF($C105="","",SUMPRODUCT((TEXT($AE$5:$OE$5, "mmm")=LOWER(S$3))*$AE105:$OE105))</f>
        <v/>
      </c>
      <c r="U105" s="34"/>
      <c r="V105" s="34" t="str" cm="1">
        <f t="array" ref="V105">IF($C105="","",SUMPRODUCT((TEXT($AE$5:$OE$5, "mmm")=LOWER(U$3))*$AE105:$OE105))</f>
        <v/>
      </c>
      <c r="W105" s="34"/>
      <c r="X105" s="34" t="str" cm="1">
        <f t="array" ref="X105">IF($C105="","",SUMPRODUCT((TEXT($AE$5:$OE$5, "mmm")=LOWER(W$3))*$AE105:$OE105))</f>
        <v/>
      </c>
      <c r="Y105" s="34"/>
      <c r="Z105" s="34" t="str" cm="1">
        <f t="array" ref="Z105">IF($C105="","",SUMPRODUCT((TEXT($AE$5:$OE$5, "mmm")=LOWER(Y$3))*$AE105:$OE105))</f>
        <v/>
      </c>
      <c r="AA105" s="34"/>
      <c r="AB105" s="34" t="str" cm="1">
        <f t="array" ref="AB105">IF($C105="","",SUMPRODUCT((TEXT($AE$5:$OE$5, "mmm")=LOWER(AA$3))*$AE105:$OE105))</f>
        <v/>
      </c>
      <c r="AC105" s="34"/>
      <c r="AD105" s="34" t="str" cm="1">
        <f t="array" ref="AD105">IF($C105="","",SUMPRODUCT((TEXT($AE$5:$OE$5, "mmm")=LOWER(AC$3))*$AE105:$OE105))</f>
        <v/>
      </c>
      <c r="OE105" s="49"/>
    </row>
    <row r="106" spans="1:395">
      <c r="A106" s="35"/>
      <c r="C106" s="2" t="str">
        <f>IF(ISBLANK($B106),"",_xlfn.XLOOKUP($B106,Task_No,Project!$C$3:$C$144,"INVALID TASK"))</f>
        <v/>
      </c>
      <c r="E106" s="7" t="str">
        <f t="shared" si="21"/>
        <v/>
      </c>
      <c r="F106" s="7" t="str">
        <f t="shared" si="20"/>
        <v/>
      </c>
      <c r="G106" s="34"/>
      <c r="H106" s="34" t="str" cm="1">
        <f t="array" ref="H106">IF($C106="","",SUMPRODUCT((TEXT($AE$5:$OE$5, "mmm")=LOWER(G$3))*$AE106:$OE106))</f>
        <v/>
      </c>
      <c r="I106" s="34"/>
      <c r="J106" s="34" t="str" cm="1">
        <f t="array" ref="J106">IF($C106="","",SUMPRODUCT((TEXT($AE$5:$OE$5, "mmm")=LOWER(I$3))*$AE106:$OE106))</f>
        <v/>
      </c>
      <c r="K106" s="34"/>
      <c r="L106" s="34" t="str" cm="1">
        <f t="array" ref="L106">IF($C106="","",SUMPRODUCT((TEXT($AE$5:$OE$5, "mmm")=LOWER(K$3))*$AE106:$OE106))</f>
        <v/>
      </c>
      <c r="M106" s="34"/>
      <c r="N106" s="34" t="str" cm="1">
        <f t="array" ref="N106">IF($C106="","",SUMPRODUCT((TEXT($AE$5:$OE$5, "mmm")=LOWER(M$3))*$AE106:$OE106))</f>
        <v/>
      </c>
      <c r="O106" s="34"/>
      <c r="P106" s="34" t="str" cm="1">
        <f t="array" ref="P106">IF($C106="","",SUMPRODUCT((TEXT($AE$5:$OE$5, "mmm")=LOWER(O$3))*$AE106:$OE106))</f>
        <v/>
      </c>
      <c r="Q106" s="34"/>
      <c r="R106" s="34" t="str" cm="1">
        <f t="array" ref="R106">IF($C106="","",SUMPRODUCT((TEXT($AE$5:$OE$5, "mmm")=LOWER(Q$3))*$AE106:$OE106))</f>
        <v/>
      </c>
      <c r="S106" s="34"/>
      <c r="T106" s="34" t="str" cm="1">
        <f t="array" ref="T106">IF($C106="","",SUMPRODUCT((TEXT($AE$5:$OE$5, "mmm")=LOWER(S$3))*$AE106:$OE106))</f>
        <v/>
      </c>
      <c r="U106" s="34"/>
      <c r="V106" s="34" t="str" cm="1">
        <f t="array" ref="V106">IF($C106="","",SUMPRODUCT((TEXT($AE$5:$OE$5, "mmm")=LOWER(U$3))*$AE106:$OE106))</f>
        <v/>
      </c>
      <c r="W106" s="34"/>
      <c r="X106" s="34" t="str" cm="1">
        <f t="array" ref="X106">IF($C106="","",SUMPRODUCT((TEXT($AE$5:$OE$5, "mmm")=LOWER(W$3))*$AE106:$OE106))</f>
        <v/>
      </c>
      <c r="Y106" s="34"/>
      <c r="Z106" s="34" t="str" cm="1">
        <f t="array" ref="Z106">IF($C106="","",SUMPRODUCT((TEXT($AE$5:$OE$5, "mmm")=LOWER(Y$3))*$AE106:$OE106))</f>
        <v/>
      </c>
      <c r="AA106" s="34"/>
      <c r="AB106" s="34" t="str" cm="1">
        <f t="array" ref="AB106">IF($C106="","",SUMPRODUCT((TEXT($AE$5:$OE$5, "mmm")=LOWER(AA$3))*$AE106:$OE106))</f>
        <v/>
      </c>
      <c r="AC106" s="34"/>
      <c r="AD106" s="34" t="str" cm="1">
        <f t="array" ref="AD106">IF($C106="","",SUMPRODUCT((TEXT($AE$5:$OE$5, "mmm")=LOWER(AC$3))*$AE106:$OE106))</f>
        <v/>
      </c>
      <c r="OE106" s="49"/>
    </row>
    <row r="107" spans="1:395">
      <c r="A107" s="35"/>
      <c r="C107" s="2" t="str">
        <f>IF(ISBLANK($B107),"",_xlfn.XLOOKUP($B107,Task_No,Project!$C$3:$C$144,"INVALID TASK"))</f>
        <v/>
      </c>
      <c r="E107" s="7" t="str">
        <f t="shared" si="21"/>
        <v/>
      </c>
      <c r="F107" s="7" t="str">
        <f t="shared" si="20"/>
        <v/>
      </c>
      <c r="G107" s="34"/>
      <c r="H107" s="34" t="str" cm="1">
        <f t="array" ref="H107">IF($C107="","",SUMPRODUCT((TEXT($AE$5:$OE$5, "mmm")=LOWER(G$3))*$AE107:$OE107))</f>
        <v/>
      </c>
      <c r="I107" s="34"/>
      <c r="J107" s="34" t="str" cm="1">
        <f t="array" ref="J107">IF($C107="","",SUMPRODUCT((TEXT($AE$5:$OE$5, "mmm")=LOWER(I$3))*$AE107:$OE107))</f>
        <v/>
      </c>
      <c r="K107" s="34"/>
      <c r="L107" s="34" t="str" cm="1">
        <f t="array" ref="L107">IF($C107="","",SUMPRODUCT((TEXT($AE$5:$OE$5, "mmm")=LOWER(K$3))*$AE107:$OE107))</f>
        <v/>
      </c>
      <c r="M107" s="34"/>
      <c r="N107" s="34" t="str" cm="1">
        <f t="array" ref="N107">IF($C107="","",SUMPRODUCT((TEXT($AE$5:$OE$5, "mmm")=LOWER(M$3))*$AE107:$OE107))</f>
        <v/>
      </c>
      <c r="O107" s="34"/>
      <c r="P107" s="34" t="str" cm="1">
        <f t="array" ref="P107">IF($C107="","",SUMPRODUCT((TEXT($AE$5:$OE$5, "mmm")=LOWER(O$3))*$AE107:$OE107))</f>
        <v/>
      </c>
      <c r="Q107" s="34"/>
      <c r="R107" s="34" t="str" cm="1">
        <f t="array" ref="R107">IF($C107="","",SUMPRODUCT((TEXT($AE$5:$OE$5, "mmm")=LOWER(Q$3))*$AE107:$OE107))</f>
        <v/>
      </c>
      <c r="S107" s="34"/>
      <c r="T107" s="34" t="str" cm="1">
        <f t="array" ref="T107">IF($C107="","",SUMPRODUCT((TEXT($AE$5:$OE$5, "mmm")=LOWER(S$3))*$AE107:$OE107))</f>
        <v/>
      </c>
      <c r="U107" s="34"/>
      <c r="V107" s="34" t="str" cm="1">
        <f t="array" ref="V107">IF($C107="","",SUMPRODUCT((TEXT($AE$5:$OE$5, "mmm")=LOWER(U$3))*$AE107:$OE107))</f>
        <v/>
      </c>
      <c r="W107" s="34"/>
      <c r="X107" s="34" t="str" cm="1">
        <f t="array" ref="X107">IF($C107="","",SUMPRODUCT((TEXT($AE$5:$OE$5, "mmm")=LOWER(W$3))*$AE107:$OE107))</f>
        <v/>
      </c>
      <c r="Y107" s="34"/>
      <c r="Z107" s="34" t="str" cm="1">
        <f t="array" ref="Z107">IF($C107="","",SUMPRODUCT((TEXT($AE$5:$OE$5, "mmm")=LOWER(Y$3))*$AE107:$OE107))</f>
        <v/>
      </c>
      <c r="AA107" s="34"/>
      <c r="AB107" s="34" t="str" cm="1">
        <f t="array" ref="AB107">IF($C107="","",SUMPRODUCT((TEXT($AE$5:$OE$5, "mmm")=LOWER(AA$3))*$AE107:$OE107))</f>
        <v/>
      </c>
      <c r="AC107" s="34"/>
      <c r="AD107" s="34" t="str" cm="1">
        <f t="array" ref="AD107">IF($C107="","",SUMPRODUCT((TEXT($AE$5:$OE$5, "mmm")=LOWER(AC$3))*$AE107:$OE107))</f>
        <v/>
      </c>
      <c r="OE107" s="49"/>
    </row>
    <row r="108" spans="1:395">
      <c r="A108" s="35"/>
      <c r="C108" s="2" t="str">
        <f>IF(ISBLANK($B108),"",_xlfn.XLOOKUP($B108,Task_No,Project!$C$3:$C$144,"INVALID TASK"))</f>
        <v/>
      </c>
      <c r="E108" s="7" t="str">
        <f t="shared" si="21"/>
        <v/>
      </c>
      <c r="F108" s="7" t="str">
        <f t="shared" si="20"/>
        <v/>
      </c>
      <c r="G108" s="34"/>
      <c r="H108" s="34" t="str" cm="1">
        <f t="array" ref="H108">IF($C108="","",SUMPRODUCT((TEXT($AE$5:$OE$5, "mmm")=LOWER(G$3))*$AE108:$OE108))</f>
        <v/>
      </c>
      <c r="I108" s="34"/>
      <c r="J108" s="34" t="str" cm="1">
        <f t="array" ref="J108">IF($C108="","",SUMPRODUCT((TEXT($AE$5:$OE$5, "mmm")=LOWER(I$3))*$AE108:$OE108))</f>
        <v/>
      </c>
      <c r="K108" s="34"/>
      <c r="L108" s="34" t="str" cm="1">
        <f t="array" ref="L108">IF($C108="","",SUMPRODUCT((TEXT($AE$5:$OE$5, "mmm")=LOWER(K$3))*$AE108:$OE108))</f>
        <v/>
      </c>
      <c r="M108" s="34"/>
      <c r="N108" s="34" t="str" cm="1">
        <f t="array" ref="N108">IF($C108="","",SUMPRODUCT((TEXT($AE$5:$OE$5, "mmm")=LOWER(M$3))*$AE108:$OE108))</f>
        <v/>
      </c>
      <c r="O108" s="34"/>
      <c r="P108" s="34" t="str" cm="1">
        <f t="array" ref="P108">IF($C108="","",SUMPRODUCT((TEXT($AE$5:$OE$5, "mmm")=LOWER(O$3))*$AE108:$OE108))</f>
        <v/>
      </c>
      <c r="Q108" s="34"/>
      <c r="R108" s="34" t="str" cm="1">
        <f t="array" ref="R108">IF($C108="","",SUMPRODUCT((TEXT($AE$5:$OE$5, "mmm")=LOWER(Q$3))*$AE108:$OE108))</f>
        <v/>
      </c>
      <c r="S108" s="34"/>
      <c r="T108" s="34" t="str" cm="1">
        <f t="array" ref="T108">IF($C108="","",SUMPRODUCT((TEXT($AE$5:$OE$5, "mmm")=LOWER(S$3))*$AE108:$OE108))</f>
        <v/>
      </c>
      <c r="U108" s="34"/>
      <c r="V108" s="34" t="str" cm="1">
        <f t="array" ref="V108">IF($C108="","",SUMPRODUCT((TEXT($AE$5:$OE$5, "mmm")=LOWER(U$3))*$AE108:$OE108))</f>
        <v/>
      </c>
      <c r="W108" s="34"/>
      <c r="X108" s="34" t="str" cm="1">
        <f t="array" ref="X108">IF($C108="","",SUMPRODUCT((TEXT($AE$5:$OE$5, "mmm")=LOWER(W$3))*$AE108:$OE108))</f>
        <v/>
      </c>
      <c r="Y108" s="34"/>
      <c r="Z108" s="34" t="str" cm="1">
        <f t="array" ref="Z108">IF($C108="","",SUMPRODUCT((TEXT($AE$5:$OE$5, "mmm")=LOWER(Y$3))*$AE108:$OE108))</f>
        <v/>
      </c>
      <c r="AA108" s="34"/>
      <c r="AB108" s="34" t="str" cm="1">
        <f t="array" ref="AB108">IF($C108="","",SUMPRODUCT((TEXT($AE$5:$OE$5, "mmm")=LOWER(AA$3))*$AE108:$OE108))</f>
        <v/>
      </c>
      <c r="AC108" s="34"/>
      <c r="AD108" s="34" t="str" cm="1">
        <f t="array" ref="AD108">IF($C108="","",SUMPRODUCT((TEXT($AE$5:$OE$5, "mmm")=LOWER(AC$3))*$AE108:$OE108))</f>
        <v/>
      </c>
      <c r="OE108" s="49"/>
    </row>
    <row r="109" spans="1:395">
      <c r="A109" s="35"/>
      <c r="C109" s="2" t="str">
        <f>IF(ISBLANK($B109),"",_xlfn.XLOOKUP($B109,Task_No,Project!$C$3:$C$144,"INVALID TASK"))</f>
        <v/>
      </c>
      <c r="E109" s="7" t="str">
        <f t="shared" si="21"/>
        <v/>
      </c>
      <c r="F109" s="7" t="str">
        <f t="shared" si="20"/>
        <v/>
      </c>
      <c r="G109" s="34"/>
      <c r="H109" s="34" t="str" cm="1">
        <f t="array" ref="H109">IF($C109="","",SUMPRODUCT((TEXT($AE$5:$OE$5, "mmm")=LOWER(G$3))*$AE109:$OE109))</f>
        <v/>
      </c>
      <c r="I109" s="34"/>
      <c r="J109" s="34" t="str" cm="1">
        <f t="array" ref="J109">IF($C109="","",SUMPRODUCT((TEXT($AE$5:$OE$5, "mmm")=LOWER(I$3))*$AE109:$OE109))</f>
        <v/>
      </c>
      <c r="K109" s="34"/>
      <c r="L109" s="34" t="str" cm="1">
        <f t="array" ref="L109">IF($C109="","",SUMPRODUCT((TEXT($AE$5:$OE$5, "mmm")=LOWER(K$3))*$AE109:$OE109))</f>
        <v/>
      </c>
      <c r="M109" s="34"/>
      <c r="N109" s="34" t="str" cm="1">
        <f t="array" ref="N109">IF($C109="","",SUMPRODUCT((TEXT($AE$5:$OE$5, "mmm")=LOWER(M$3))*$AE109:$OE109))</f>
        <v/>
      </c>
      <c r="O109" s="34"/>
      <c r="P109" s="34" t="str" cm="1">
        <f t="array" ref="P109">IF($C109="","",SUMPRODUCT((TEXT($AE$5:$OE$5, "mmm")=LOWER(O$3))*$AE109:$OE109))</f>
        <v/>
      </c>
      <c r="Q109" s="34"/>
      <c r="R109" s="34" t="str" cm="1">
        <f t="array" ref="R109">IF($C109="","",SUMPRODUCT((TEXT($AE$5:$OE$5, "mmm")=LOWER(Q$3))*$AE109:$OE109))</f>
        <v/>
      </c>
      <c r="S109" s="34"/>
      <c r="T109" s="34" t="str" cm="1">
        <f t="array" ref="T109">IF($C109="","",SUMPRODUCT((TEXT($AE$5:$OE$5, "mmm")=LOWER(S$3))*$AE109:$OE109))</f>
        <v/>
      </c>
      <c r="U109" s="34"/>
      <c r="V109" s="34" t="str" cm="1">
        <f t="array" ref="V109">IF($C109="","",SUMPRODUCT((TEXT($AE$5:$OE$5, "mmm")=LOWER(U$3))*$AE109:$OE109))</f>
        <v/>
      </c>
      <c r="W109" s="34"/>
      <c r="X109" s="34" t="str" cm="1">
        <f t="array" ref="X109">IF($C109="","",SUMPRODUCT((TEXT($AE$5:$OE$5, "mmm")=LOWER(W$3))*$AE109:$OE109))</f>
        <v/>
      </c>
      <c r="Y109" s="34"/>
      <c r="Z109" s="34" t="str" cm="1">
        <f t="array" ref="Z109">IF($C109="","",SUMPRODUCT((TEXT($AE$5:$OE$5, "mmm")=LOWER(Y$3))*$AE109:$OE109))</f>
        <v/>
      </c>
      <c r="AA109" s="34"/>
      <c r="AB109" s="34" t="str" cm="1">
        <f t="array" ref="AB109">IF($C109="","",SUMPRODUCT((TEXT($AE$5:$OE$5, "mmm")=LOWER(AA$3))*$AE109:$OE109))</f>
        <v/>
      </c>
      <c r="AC109" s="34"/>
      <c r="AD109" s="34" t="str" cm="1">
        <f t="array" ref="AD109">IF($C109="","",SUMPRODUCT((TEXT($AE$5:$OE$5, "mmm")=LOWER(AC$3))*$AE109:$OE109))</f>
        <v/>
      </c>
      <c r="OE109" s="49"/>
    </row>
    <row r="110" spans="1:395">
      <c r="A110" s="35"/>
      <c r="C110" s="2" t="str">
        <f>IF(ISBLANK($B110),"",_xlfn.XLOOKUP($B110,Task_No,Project!$C$3:$C$144,"INVALID TASK"))</f>
        <v/>
      </c>
      <c r="E110" s="7" t="str">
        <f t="shared" si="21"/>
        <v/>
      </c>
      <c r="F110" s="7" t="str">
        <f t="shared" si="20"/>
        <v/>
      </c>
      <c r="G110" s="34"/>
      <c r="H110" s="34" t="str" cm="1">
        <f t="array" ref="H110">IF($C110="","",SUMPRODUCT((TEXT($AE$5:$OE$5, "mmm")=LOWER(G$3))*$AE110:$OE110))</f>
        <v/>
      </c>
      <c r="I110" s="34"/>
      <c r="J110" s="34" t="str" cm="1">
        <f t="array" ref="J110">IF($C110="","",SUMPRODUCT((TEXT($AE$5:$OE$5, "mmm")=LOWER(I$3))*$AE110:$OE110))</f>
        <v/>
      </c>
      <c r="K110" s="34"/>
      <c r="L110" s="34" t="str" cm="1">
        <f t="array" ref="L110">IF($C110="","",SUMPRODUCT((TEXT($AE$5:$OE$5, "mmm")=LOWER(K$3))*$AE110:$OE110))</f>
        <v/>
      </c>
      <c r="M110" s="34"/>
      <c r="N110" s="34" t="str" cm="1">
        <f t="array" ref="N110">IF($C110="","",SUMPRODUCT((TEXT($AE$5:$OE$5, "mmm")=LOWER(M$3))*$AE110:$OE110))</f>
        <v/>
      </c>
      <c r="O110" s="34"/>
      <c r="P110" s="34" t="str" cm="1">
        <f t="array" ref="P110">IF($C110="","",SUMPRODUCT((TEXT($AE$5:$OE$5, "mmm")=LOWER(O$3))*$AE110:$OE110))</f>
        <v/>
      </c>
      <c r="Q110" s="34"/>
      <c r="R110" s="34" t="str" cm="1">
        <f t="array" ref="R110">IF($C110="","",SUMPRODUCT((TEXT($AE$5:$OE$5, "mmm")=LOWER(Q$3))*$AE110:$OE110))</f>
        <v/>
      </c>
      <c r="S110" s="34"/>
      <c r="T110" s="34" t="str" cm="1">
        <f t="array" ref="T110">IF($C110="","",SUMPRODUCT((TEXT($AE$5:$OE$5, "mmm")=LOWER(S$3))*$AE110:$OE110))</f>
        <v/>
      </c>
      <c r="U110" s="34"/>
      <c r="V110" s="34" t="str" cm="1">
        <f t="array" ref="V110">IF($C110="","",SUMPRODUCT((TEXT($AE$5:$OE$5, "mmm")=LOWER(U$3))*$AE110:$OE110))</f>
        <v/>
      </c>
      <c r="W110" s="34"/>
      <c r="X110" s="34" t="str" cm="1">
        <f t="array" ref="X110">IF($C110="","",SUMPRODUCT((TEXT($AE$5:$OE$5, "mmm")=LOWER(W$3))*$AE110:$OE110))</f>
        <v/>
      </c>
      <c r="Y110" s="34"/>
      <c r="Z110" s="34" t="str" cm="1">
        <f t="array" ref="Z110">IF($C110="","",SUMPRODUCT((TEXT($AE$5:$OE$5, "mmm")=LOWER(Y$3))*$AE110:$OE110))</f>
        <v/>
      </c>
      <c r="AA110" s="34"/>
      <c r="AB110" s="34" t="str" cm="1">
        <f t="array" ref="AB110">IF($C110="","",SUMPRODUCT((TEXT($AE$5:$OE$5, "mmm")=LOWER(AA$3))*$AE110:$OE110))</f>
        <v/>
      </c>
      <c r="AC110" s="34"/>
      <c r="AD110" s="34" t="str" cm="1">
        <f t="array" ref="AD110">IF($C110="","",SUMPRODUCT((TEXT($AE$5:$OE$5, "mmm")=LOWER(AC$3))*$AE110:$OE110))</f>
        <v/>
      </c>
      <c r="OE110" s="49"/>
    </row>
    <row r="111" spans="1:395">
      <c r="A111" s="35"/>
      <c r="C111" s="2" t="str">
        <f>IF(ISBLANK($B111),"",_xlfn.XLOOKUP($B111,Task_No,Project!$C$3:$C$144,"INVALID TASK"))</f>
        <v/>
      </c>
      <c r="E111" s="7" t="str">
        <f t="shared" si="21"/>
        <v/>
      </c>
      <c r="F111" s="7" t="str">
        <f t="shared" si="20"/>
        <v/>
      </c>
      <c r="G111" s="34"/>
      <c r="H111" s="34" t="str" cm="1">
        <f t="array" ref="H111">IF($C111="","",SUMPRODUCT((TEXT($AE$5:$OE$5, "mmm")=LOWER(G$3))*$AE111:$OE111))</f>
        <v/>
      </c>
      <c r="I111" s="34"/>
      <c r="J111" s="34" t="str" cm="1">
        <f t="array" ref="J111">IF($C111="","",SUMPRODUCT((TEXT($AE$5:$OE$5, "mmm")=LOWER(I$3))*$AE111:$OE111))</f>
        <v/>
      </c>
      <c r="K111" s="34"/>
      <c r="L111" s="34" t="str" cm="1">
        <f t="array" ref="L111">IF($C111="","",SUMPRODUCT((TEXT($AE$5:$OE$5, "mmm")=LOWER(K$3))*$AE111:$OE111))</f>
        <v/>
      </c>
      <c r="M111" s="34"/>
      <c r="N111" s="34" t="str" cm="1">
        <f t="array" ref="N111">IF($C111="","",SUMPRODUCT((TEXT($AE$5:$OE$5, "mmm")=LOWER(M$3))*$AE111:$OE111))</f>
        <v/>
      </c>
      <c r="O111" s="34"/>
      <c r="P111" s="34" t="str" cm="1">
        <f t="array" ref="P111">IF($C111="","",SUMPRODUCT((TEXT($AE$5:$OE$5, "mmm")=LOWER(O$3))*$AE111:$OE111))</f>
        <v/>
      </c>
      <c r="Q111" s="34"/>
      <c r="R111" s="34" t="str" cm="1">
        <f t="array" ref="R111">IF($C111="","",SUMPRODUCT((TEXT($AE$5:$OE$5, "mmm")=LOWER(Q$3))*$AE111:$OE111))</f>
        <v/>
      </c>
      <c r="S111" s="34"/>
      <c r="T111" s="34" t="str" cm="1">
        <f t="array" ref="T111">IF($C111="","",SUMPRODUCT((TEXT($AE$5:$OE$5, "mmm")=LOWER(S$3))*$AE111:$OE111))</f>
        <v/>
      </c>
      <c r="U111" s="34"/>
      <c r="V111" s="34" t="str" cm="1">
        <f t="array" ref="V111">IF($C111="","",SUMPRODUCT((TEXT($AE$5:$OE$5, "mmm")=LOWER(U$3))*$AE111:$OE111))</f>
        <v/>
      </c>
      <c r="W111" s="34"/>
      <c r="X111" s="34" t="str" cm="1">
        <f t="array" ref="X111">IF($C111="","",SUMPRODUCT((TEXT($AE$5:$OE$5, "mmm")=LOWER(W$3))*$AE111:$OE111))</f>
        <v/>
      </c>
      <c r="Y111" s="34"/>
      <c r="Z111" s="34" t="str" cm="1">
        <f t="array" ref="Z111">IF($C111="","",SUMPRODUCT((TEXT($AE$5:$OE$5, "mmm")=LOWER(Y$3))*$AE111:$OE111))</f>
        <v/>
      </c>
      <c r="AA111" s="34"/>
      <c r="AB111" s="34" t="str" cm="1">
        <f t="array" ref="AB111">IF($C111="","",SUMPRODUCT((TEXT($AE$5:$OE$5, "mmm")=LOWER(AA$3))*$AE111:$OE111))</f>
        <v/>
      </c>
      <c r="AC111" s="34"/>
      <c r="AD111" s="34" t="str" cm="1">
        <f t="array" ref="AD111">IF($C111="","",SUMPRODUCT((TEXT($AE$5:$OE$5, "mmm")=LOWER(AC$3))*$AE111:$OE111))</f>
        <v/>
      </c>
      <c r="OE111" s="49"/>
    </row>
    <row r="112" spans="1:395">
      <c r="A112" s="35"/>
      <c r="C112" s="2" t="str">
        <f>IF(ISBLANK($B112),"",_xlfn.XLOOKUP($B112,Task_No,Project!$C$3:$C$144,"INVALID TASK"))</f>
        <v/>
      </c>
      <c r="E112" s="7" t="str">
        <f t="shared" si="21"/>
        <v/>
      </c>
      <c r="F112" s="7" t="str">
        <f t="shared" si="20"/>
        <v/>
      </c>
      <c r="G112" s="34"/>
      <c r="H112" s="34" t="str" cm="1">
        <f t="array" ref="H112">IF($C112="","",SUMPRODUCT((TEXT($AE$5:$OE$5, "mmm")=LOWER(G$3))*$AE112:$OE112))</f>
        <v/>
      </c>
      <c r="I112" s="34"/>
      <c r="J112" s="34" t="str" cm="1">
        <f t="array" ref="J112">IF($C112="","",SUMPRODUCT((TEXT($AE$5:$OE$5, "mmm")=LOWER(I$3))*$AE112:$OE112))</f>
        <v/>
      </c>
      <c r="K112" s="34"/>
      <c r="L112" s="34" t="str" cm="1">
        <f t="array" ref="L112">IF($C112="","",SUMPRODUCT((TEXT($AE$5:$OE$5, "mmm")=LOWER(K$3))*$AE112:$OE112))</f>
        <v/>
      </c>
      <c r="M112" s="34"/>
      <c r="N112" s="34" t="str" cm="1">
        <f t="array" ref="N112">IF($C112="","",SUMPRODUCT((TEXT($AE$5:$OE$5, "mmm")=LOWER(M$3))*$AE112:$OE112))</f>
        <v/>
      </c>
      <c r="O112" s="34"/>
      <c r="P112" s="34" t="str" cm="1">
        <f t="array" ref="P112">IF($C112="","",SUMPRODUCT((TEXT($AE$5:$OE$5, "mmm")=LOWER(O$3))*$AE112:$OE112))</f>
        <v/>
      </c>
      <c r="Q112" s="34"/>
      <c r="R112" s="34" t="str" cm="1">
        <f t="array" ref="R112">IF($C112="","",SUMPRODUCT((TEXT($AE$5:$OE$5, "mmm")=LOWER(Q$3))*$AE112:$OE112))</f>
        <v/>
      </c>
      <c r="S112" s="34"/>
      <c r="T112" s="34" t="str" cm="1">
        <f t="array" ref="T112">IF($C112="","",SUMPRODUCT((TEXT($AE$5:$OE$5, "mmm")=LOWER(S$3))*$AE112:$OE112))</f>
        <v/>
      </c>
      <c r="U112" s="34"/>
      <c r="V112" s="34" t="str" cm="1">
        <f t="array" ref="V112">IF($C112="","",SUMPRODUCT((TEXT($AE$5:$OE$5, "mmm")=LOWER(U$3))*$AE112:$OE112))</f>
        <v/>
      </c>
      <c r="W112" s="34"/>
      <c r="X112" s="34" t="str" cm="1">
        <f t="array" ref="X112">IF($C112="","",SUMPRODUCT((TEXT($AE$5:$OE$5, "mmm")=LOWER(W$3))*$AE112:$OE112))</f>
        <v/>
      </c>
      <c r="Y112" s="34"/>
      <c r="Z112" s="34" t="str" cm="1">
        <f t="array" ref="Z112">IF($C112="","",SUMPRODUCT((TEXT($AE$5:$OE$5, "mmm")=LOWER(Y$3))*$AE112:$OE112))</f>
        <v/>
      </c>
      <c r="AA112" s="34"/>
      <c r="AB112" s="34" t="str" cm="1">
        <f t="array" ref="AB112">IF($C112="","",SUMPRODUCT((TEXT($AE$5:$OE$5, "mmm")=LOWER(AA$3))*$AE112:$OE112))</f>
        <v/>
      </c>
      <c r="AC112" s="34"/>
      <c r="AD112" s="34" t="str" cm="1">
        <f t="array" ref="AD112">IF($C112="","",SUMPRODUCT((TEXT($AE$5:$OE$5, "mmm")=LOWER(AC$3))*$AE112:$OE112))</f>
        <v/>
      </c>
      <c r="OE112" s="49"/>
    </row>
    <row r="113" spans="1:395">
      <c r="A113" s="35"/>
      <c r="C113" s="2" t="str">
        <f>IF(ISBLANK($B113),"",_xlfn.XLOOKUP($B113,Task_No,Project!$C$3:$C$144,"INVALID TASK"))</f>
        <v/>
      </c>
      <c r="E113" s="7" t="str">
        <f t="shared" si="21"/>
        <v/>
      </c>
      <c r="F113" s="7" t="str">
        <f t="shared" si="20"/>
        <v/>
      </c>
      <c r="G113" s="34"/>
      <c r="H113" s="34" t="str" cm="1">
        <f t="array" ref="H113">IF($C113="","",SUMPRODUCT((TEXT($AE$5:$OE$5, "mmm")=LOWER(G$3))*$AE113:$OE113))</f>
        <v/>
      </c>
      <c r="I113" s="34"/>
      <c r="J113" s="34" t="str" cm="1">
        <f t="array" ref="J113">IF($C113="","",SUMPRODUCT((TEXT($AE$5:$OE$5, "mmm")=LOWER(I$3))*$AE113:$OE113))</f>
        <v/>
      </c>
      <c r="K113" s="34"/>
      <c r="L113" s="34" t="str" cm="1">
        <f t="array" ref="L113">IF($C113="","",SUMPRODUCT((TEXT($AE$5:$OE$5, "mmm")=LOWER(K$3))*$AE113:$OE113))</f>
        <v/>
      </c>
      <c r="M113" s="34"/>
      <c r="N113" s="34" t="str" cm="1">
        <f t="array" ref="N113">IF($C113="","",SUMPRODUCT((TEXT($AE$5:$OE$5, "mmm")=LOWER(M$3))*$AE113:$OE113))</f>
        <v/>
      </c>
      <c r="O113" s="34"/>
      <c r="P113" s="34" t="str" cm="1">
        <f t="array" ref="P113">IF($C113="","",SUMPRODUCT((TEXT($AE$5:$OE$5, "mmm")=LOWER(O$3))*$AE113:$OE113))</f>
        <v/>
      </c>
      <c r="Q113" s="34"/>
      <c r="R113" s="34" t="str" cm="1">
        <f t="array" ref="R113">IF($C113="","",SUMPRODUCT((TEXT($AE$5:$OE$5, "mmm")=LOWER(Q$3))*$AE113:$OE113))</f>
        <v/>
      </c>
      <c r="S113" s="34"/>
      <c r="T113" s="34" t="str" cm="1">
        <f t="array" ref="T113">IF($C113="","",SUMPRODUCT((TEXT($AE$5:$OE$5, "mmm")=LOWER(S$3))*$AE113:$OE113))</f>
        <v/>
      </c>
      <c r="U113" s="34"/>
      <c r="V113" s="34" t="str" cm="1">
        <f t="array" ref="V113">IF($C113="","",SUMPRODUCT((TEXT($AE$5:$OE$5, "mmm")=LOWER(U$3))*$AE113:$OE113))</f>
        <v/>
      </c>
      <c r="W113" s="34"/>
      <c r="X113" s="34" t="str" cm="1">
        <f t="array" ref="X113">IF($C113="","",SUMPRODUCT((TEXT($AE$5:$OE$5, "mmm")=LOWER(W$3))*$AE113:$OE113))</f>
        <v/>
      </c>
      <c r="Y113" s="34"/>
      <c r="Z113" s="34" t="str" cm="1">
        <f t="array" ref="Z113">IF($C113="","",SUMPRODUCT((TEXT($AE$5:$OE$5, "mmm")=LOWER(Y$3))*$AE113:$OE113))</f>
        <v/>
      </c>
      <c r="AA113" s="34"/>
      <c r="AB113" s="34" t="str" cm="1">
        <f t="array" ref="AB113">IF($C113="","",SUMPRODUCT((TEXT($AE$5:$OE$5, "mmm")=LOWER(AA$3))*$AE113:$OE113))</f>
        <v/>
      </c>
      <c r="AC113" s="34"/>
      <c r="AD113" s="34" t="str" cm="1">
        <f t="array" ref="AD113">IF($C113="","",SUMPRODUCT((TEXT($AE$5:$OE$5, "mmm")=LOWER(AC$3))*$AE113:$OE113))</f>
        <v/>
      </c>
      <c r="OE113" s="49"/>
    </row>
    <row r="114" spans="1:395">
      <c r="A114" s="35"/>
      <c r="C114" s="2" t="str">
        <f>IF(ISBLANK($B114),"",_xlfn.XLOOKUP($B114,Task_No,Project!$C$3:$C$144,"INVALID TASK"))</f>
        <v/>
      </c>
      <c r="E114" s="7" t="str">
        <f t="shared" si="21"/>
        <v/>
      </c>
      <c r="F114" s="7" t="str">
        <f t="shared" si="20"/>
        <v/>
      </c>
      <c r="G114" s="34"/>
      <c r="H114" s="34" t="str" cm="1">
        <f t="array" ref="H114">IF($C114="","",SUMPRODUCT((TEXT($AE$5:$OE$5, "mmm")=LOWER(G$3))*$AE114:$OE114))</f>
        <v/>
      </c>
      <c r="I114" s="34"/>
      <c r="J114" s="34" t="str" cm="1">
        <f t="array" ref="J114">IF($C114="","",SUMPRODUCT((TEXT($AE$5:$OE$5, "mmm")=LOWER(I$3))*$AE114:$OE114))</f>
        <v/>
      </c>
      <c r="K114" s="34"/>
      <c r="L114" s="34" t="str" cm="1">
        <f t="array" ref="L114">IF($C114="","",SUMPRODUCT((TEXT($AE$5:$OE$5, "mmm")=LOWER(K$3))*$AE114:$OE114))</f>
        <v/>
      </c>
      <c r="M114" s="34"/>
      <c r="N114" s="34" t="str" cm="1">
        <f t="array" ref="N114">IF($C114="","",SUMPRODUCT((TEXT($AE$5:$OE$5, "mmm")=LOWER(M$3))*$AE114:$OE114))</f>
        <v/>
      </c>
      <c r="O114" s="34"/>
      <c r="P114" s="34" t="str" cm="1">
        <f t="array" ref="P114">IF($C114="","",SUMPRODUCT((TEXT($AE$5:$OE$5, "mmm")=LOWER(O$3))*$AE114:$OE114))</f>
        <v/>
      </c>
      <c r="Q114" s="34"/>
      <c r="R114" s="34" t="str" cm="1">
        <f t="array" ref="R114">IF($C114="","",SUMPRODUCT((TEXT($AE$5:$OE$5, "mmm")=LOWER(Q$3))*$AE114:$OE114))</f>
        <v/>
      </c>
      <c r="S114" s="34"/>
      <c r="T114" s="34" t="str" cm="1">
        <f t="array" ref="T114">IF($C114="","",SUMPRODUCT((TEXT($AE$5:$OE$5, "mmm")=LOWER(S$3))*$AE114:$OE114))</f>
        <v/>
      </c>
      <c r="U114" s="34"/>
      <c r="V114" s="34" t="str" cm="1">
        <f t="array" ref="V114">IF($C114="","",SUMPRODUCT((TEXT($AE$5:$OE$5, "mmm")=LOWER(U$3))*$AE114:$OE114))</f>
        <v/>
      </c>
      <c r="W114" s="34"/>
      <c r="X114" s="34" t="str" cm="1">
        <f t="array" ref="X114">IF($C114="","",SUMPRODUCT((TEXT($AE$5:$OE$5, "mmm")=LOWER(W$3))*$AE114:$OE114))</f>
        <v/>
      </c>
      <c r="Y114" s="34"/>
      <c r="Z114" s="34" t="str" cm="1">
        <f t="array" ref="Z114">IF($C114="","",SUMPRODUCT((TEXT($AE$5:$OE$5, "mmm")=LOWER(Y$3))*$AE114:$OE114))</f>
        <v/>
      </c>
      <c r="AA114" s="34"/>
      <c r="AB114" s="34" t="str" cm="1">
        <f t="array" ref="AB114">IF($C114="","",SUMPRODUCT((TEXT($AE$5:$OE$5, "mmm")=LOWER(AA$3))*$AE114:$OE114))</f>
        <v/>
      </c>
      <c r="AC114" s="34"/>
      <c r="AD114" s="34" t="str" cm="1">
        <f t="array" ref="AD114">IF($C114="","",SUMPRODUCT((TEXT($AE$5:$OE$5, "mmm")=LOWER(AC$3))*$AE114:$OE114))</f>
        <v/>
      </c>
      <c r="OE114" s="49"/>
    </row>
    <row r="115" spans="1:395">
      <c r="A115" s="35"/>
      <c r="C115" s="2" t="str">
        <f>IF(ISBLANK($B115),"",_xlfn.XLOOKUP($B115,Task_No,Project!$C$3:$C$144,"INVALID TASK"))</f>
        <v/>
      </c>
      <c r="E115" s="7" t="str">
        <f t="shared" si="21"/>
        <v/>
      </c>
      <c r="F115" s="7" t="str">
        <f t="shared" si="20"/>
        <v/>
      </c>
      <c r="G115" s="34"/>
      <c r="H115" s="34" t="str" cm="1">
        <f t="array" ref="H115">IF($C115="","",SUMPRODUCT((TEXT($AE$5:$OE$5, "mmm")=LOWER(G$3))*$AE115:$OE115))</f>
        <v/>
      </c>
      <c r="I115" s="34"/>
      <c r="J115" s="34" t="str" cm="1">
        <f t="array" ref="J115">IF($C115="","",SUMPRODUCT((TEXT($AE$5:$OE$5, "mmm")=LOWER(I$3))*$AE115:$OE115))</f>
        <v/>
      </c>
      <c r="K115" s="34"/>
      <c r="L115" s="34" t="str" cm="1">
        <f t="array" ref="L115">IF($C115="","",SUMPRODUCT((TEXT($AE$5:$OE$5, "mmm")=LOWER(K$3))*$AE115:$OE115))</f>
        <v/>
      </c>
      <c r="M115" s="34"/>
      <c r="N115" s="34" t="str" cm="1">
        <f t="array" ref="N115">IF($C115="","",SUMPRODUCT((TEXT($AE$5:$OE$5, "mmm")=LOWER(M$3))*$AE115:$OE115))</f>
        <v/>
      </c>
      <c r="O115" s="34"/>
      <c r="P115" s="34" t="str" cm="1">
        <f t="array" ref="P115">IF($C115="","",SUMPRODUCT((TEXT($AE$5:$OE$5, "mmm")=LOWER(O$3))*$AE115:$OE115))</f>
        <v/>
      </c>
      <c r="Q115" s="34"/>
      <c r="R115" s="34" t="str" cm="1">
        <f t="array" ref="R115">IF($C115="","",SUMPRODUCT((TEXT($AE$5:$OE$5, "mmm")=LOWER(Q$3))*$AE115:$OE115))</f>
        <v/>
      </c>
      <c r="S115" s="34"/>
      <c r="T115" s="34" t="str" cm="1">
        <f t="array" ref="T115">IF($C115="","",SUMPRODUCT((TEXT($AE$5:$OE$5, "mmm")=LOWER(S$3))*$AE115:$OE115))</f>
        <v/>
      </c>
      <c r="U115" s="34"/>
      <c r="V115" s="34" t="str" cm="1">
        <f t="array" ref="V115">IF($C115="","",SUMPRODUCT((TEXT($AE$5:$OE$5, "mmm")=LOWER(U$3))*$AE115:$OE115))</f>
        <v/>
      </c>
      <c r="W115" s="34"/>
      <c r="X115" s="34" t="str" cm="1">
        <f t="array" ref="X115">IF($C115="","",SUMPRODUCT((TEXT($AE$5:$OE$5, "mmm")=LOWER(W$3))*$AE115:$OE115))</f>
        <v/>
      </c>
      <c r="Y115" s="34"/>
      <c r="Z115" s="34" t="str" cm="1">
        <f t="array" ref="Z115">IF($C115="","",SUMPRODUCT((TEXT($AE$5:$OE$5, "mmm")=LOWER(Y$3))*$AE115:$OE115))</f>
        <v/>
      </c>
      <c r="AA115" s="34"/>
      <c r="AB115" s="34" t="str" cm="1">
        <f t="array" ref="AB115">IF($C115="","",SUMPRODUCT((TEXT($AE$5:$OE$5, "mmm")=LOWER(AA$3))*$AE115:$OE115))</f>
        <v/>
      </c>
      <c r="AC115" s="34"/>
      <c r="AD115" s="34" t="str" cm="1">
        <f t="array" ref="AD115">IF($C115="","",SUMPRODUCT((TEXT($AE$5:$OE$5, "mmm")=LOWER(AC$3))*$AE115:$OE115))</f>
        <v/>
      </c>
      <c r="OE115" s="49"/>
    </row>
    <row r="116" spans="1:395">
      <c r="A116" s="35"/>
      <c r="C116" s="2" t="str">
        <f>IF(ISBLANK($B116),"",_xlfn.XLOOKUP($B116,Task_No,Project!$C$3:$C$144,"INVALID TASK"))</f>
        <v/>
      </c>
      <c r="E116" s="7" t="str">
        <f t="shared" si="21"/>
        <v/>
      </c>
      <c r="F116" s="7" t="str">
        <f t="shared" si="20"/>
        <v/>
      </c>
      <c r="G116" s="34"/>
      <c r="H116" s="34" t="str" cm="1">
        <f t="array" ref="H116">IF($C116="","",SUMPRODUCT((TEXT($AE$5:$OE$5, "mmm")=LOWER(G$3))*$AE116:$OE116))</f>
        <v/>
      </c>
      <c r="I116" s="34"/>
      <c r="J116" s="34" t="str" cm="1">
        <f t="array" ref="J116">IF($C116="","",SUMPRODUCT((TEXT($AE$5:$OE$5, "mmm")=LOWER(I$3))*$AE116:$OE116))</f>
        <v/>
      </c>
      <c r="K116" s="34"/>
      <c r="L116" s="34" t="str" cm="1">
        <f t="array" ref="L116">IF($C116="","",SUMPRODUCT((TEXT($AE$5:$OE$5, "mmm")=LOWER(K$3))*$AE116:$OE116))</f>
        <v/>
      </c>
      <c r="M116" s="34"/>
      <c r="N116" s="34" t="str" cm="1">
        <f t="array" ref="N116">IF($C116="","",SUMPRODUCT((TEXT($AE$5:$OE$5, "mmm")=LOWER(M$3))*$AE116:$OE116))</f>
        <v/>
      </c>
      <c r="O116" s="34"/>
      <c r="P116" s="34" t="str" cm="1">
        <f t="array" ref="P116">IF($C116="","",SUMPRODUCT((TEXT($AE$5:$OE$5, "mmm")=LOWER(O$3))*$AE116:$OE116))</f>
        <v/>
      </c>
      <c r="Q116" s="34"/>
      <c r="R116" s="34" t="str" cm="1">
        <f t="array" ref="R116">IF($C116="","",SUMPRODUCT((TEXT($AE$5:$OE$5, "mmm")=LOWER(Q$3))*$AE116:$OE116))</f>
        <v/>
      </c>
      <c r="S116" s="34"/>
      <c r="T116" s="34" t="str" cm="1">
        <f t="array" ref="T116">IF($C116="","",SUMPRODUCT((TEXT($AE$5:$OE$5, "mmm")=LOWER(S$3))*$AE116:$OE116))</f>
        <v/>
      </c>
      <c r="U116" s="34"/>
      <c r="V116" s="34" t="str" cm="1">
        <f t="array" ref="V116">IF($C116="","",SUMPRODUCT((TEXT($AE$5:$OE$5, "mmm")=LOWER(U$3))*$AE116:$OE116))</f>
        <v/>
      </c>
      <c r="W116" s="34"/>
      <c r="X116" s="34" t="str" cm="1">
        <f t="array" ref="X116">IF($C116="","",SUMPRODUCT((TEXT($AE$5:$OE$5, "mmm")=LOWER(W$3))*$AE116:$OE116))</f>
        <v/>
      </c>
      <c r="Y116" s="34"/>
      <c r="Z116" s="34" t="str" cm="1">
        <f t="array" ref="Z116">IF($C116="","",SUMPRODUCT((TEXT($AE$5:$OE$5, "mmm")=LOWER(Y$3))*$AE116:$OE116))</f>
        <v/>
      </c>
      <c r="AA116" s="34"/>
      <c r="AB116" s="34" t="str" cm="1">
        <f t="array" ref="AB116">IF($C116="","",SUMPRODUCT((TEXT($AE$5:$OE$5, "mmm")=LOWER(AA$3))*$AE116:$OE116))</f>
        <v/>
      </c>
      <c r="AC116" s="34"/>
      <c r="AD116" s="34" t="str" cm="1">
        <f t="array" ref="AD116">IF($C116="","",SUMPRODUCT((TEXT($AE$5:$OE$5, "mmm")=LOWER(AC$3))*$AE116:$OE116))</f>
        <v/>
      </c>
      <c r="OE116" s="49"/>
    </row>
    <row r="117" spans="1:395">
      <c r="A117" s="35"/>
      <c r="C117" s="2" t="str">
        <f>IF(ISBLANK($B117),"",_xlfn.XLOOKUP($B117,Task_No,Project!$C$3:$C$144,"INVALID TASK"))</f>
        <v/>
      </c>
      <c r="E117" s="7" t="str">
        <f t="shared" si="21"/>
        <v/>
      </c>
      <c r="F117" s="7" t="str">
        <f t="shared" si="20"/>
        <v/>
      </c>
      <c r="G117" s="34"/>
      <c r="H117" s="34" t="str" cm="1">
        <f t="array" ref="H117">IF($C117="","",SUMPRODUCT((TEXT($AE$5:$OE$5, "mmm")=LOWER(G$3))*$AE117:$OE117))</f>
        <v/>
      </c>
      <c r="I117" s="34"/>
      <c r="J117" s="34" t="str" cm="1">
        <f t="array" ref="J117">IF($C117="","",SUMPRODUCT((TEXT($AE$5:$OE$5, "mmm")=LOWER(I$3))*$AE117:$OE117))</f>
        <v/>
      </c>
      <c r="K117" s="34"/>
      <c r="L117" s="34" t="str" cm="1">
        <f t="array" ref="L117">IF($C117="","",SUMPRODUCT((TEXT($AE$5:$OE$5, "mmm")=LOWER(K$3))*$AE117:$OE117))</f>
        <v/>
      </c>
      <c r="M117" s="34"/>
      <c r="N117" s="34" t="str" cm="1">
        <f t="array" ref="N117">IF($C117="","",SUMPRODUCT((TEXT($AE$5:$OE$5, "mmm")=LOWER(M$3))*$AE117:$OE117))</f>
        <v/>
      </c>
      <c r="O117" s="34"/>
      <c r="P117" s="34" t="str" cm="1">
        <f t="array" ref="P117">IF($C117="","",SUMPRODUCT((TEXT($AE$5:$OE$5, "mmm")=LOWER(O$3))*$AE117:$OE117))</f>
        <v/>
      </c>
      <c r="Q117" s="34"/>
      <c r="R117" s="34" t="str" cm="1">
        <f t="array" ref="R117">IF($C117="","",SUMPRODUCT((TEXT($AE$5:$OE$5, "mmm")=LOWER(Q$3))*$AE117:$OE117))</f>
        <v/>
      </c>
      <c r="S117" s="34"/>
      <c r="T117" s="34" t="str" cm="1">
        <f t="array" ref="T117">IF($C117="","",SUMPRODUCT((TEXT($AE$5:$OE$5, "mmm")=LOWER(S$3))*$AE117:$OE117))</f>
        <v/>
      </c>
      <c r="U117" s="34"/>
      <c r="V117" s="34" t="str" cm="1">
        <f t="array" ref="V117">IF($C117="","",SUMPRODUCT((TEXT($AE$5:$OE$5, "mmm")=LOWER(U$3))*$AE117:$OE117))</f>
        <v/>
      </c>
      <c r="W117" s="34"/>
      <c r="X117" s="34" t="str" cm="1">
        <f t="array" ref="X117">IF($C117="","",SUMPRODUCT((TEXT($AE$5:$OE$5, "mmm")=LOWER(W$3))*$AE117:$OE117))</f>
        <v/>
      </c>
      <c r="Y117" s="34"/>
      <c r="Z117" s="34" t="str" cm="1">
        <f t="array" ref="Z117">IF($C117="","",SUMPRODUCT((TEXT($AE$5:$OE$5, "mmm")=LOWER(Y$3))*$AE117:$OE117))</f>
        <v/>
      </c>
      <c r="AA117" s="34"/>
      <c r="AB117" s="34" t="str" cm="1">
        <f t="array" ref="AB117">IF($C117="","",SUMPRODUCT((TEXT($AE$5:$OE$5, "mmm")=LOWER(AA$3))*$AE117:$OE117))</f>
        <v/>
      </c>
      <c r="AC117" s="34"/>
      <c r="AD117" s="34" t="str" cm="1">
        <f t="array" ref="AD117">IF($C117="","",SUMPRODUCT((TEXT($AE$5:$OE$5, "mmm")=LOWER(AC$3))*$AE117:$OE117))</f>
        <v/>
      </c>
      <c r="OE117" s="49"/>
    </row>
    <row r="118" spans="1:395">
      <c r="A118" s="35"/>
      <c r="C118" s="2" t="str">
        <f>IF(ISBLANK($B118),"",_xlfn.XLOOKUP($B118,Task_No,Project!$C$3:$C$144,"INVALID TASK"))</f>
        <v/>
      </c>
      <c r="E118" s="7" t="str">
        <f t="shared" si="21"/>
        <v/>
      </c>
      <c r="F118" s="7" t="str">
        <f t="shared" si="20"/>
        <v/>
      </c>
      <c r="G118" s="34"/>
      <c r="H118" s="34" t="str" cm="1">
        <f t="array" ref="H118">IF($C118="","",SUMPRODUCT((TEXT($AE$5:$OE$5, "mmm")=LOWER(G$3))*$AE118:$OE118))</f>
        <v/>
      </c>
      <c r="I118" s="34"/>
      <c r="J118" s="34" t="str" cm="1">
        <f t="array" ref="J118">IF($C118="","",SUMPRODUCT((TEXT($AE$5:$OE$5, "mmm")=LOWER(I$3))*$AE118:$OE118))</f>
        <v/>
      </c>
      <c r="K118" s="34"/>
      <c r="L118" s="34" t="str" cm="1">
        <f t="array" ref="L118">IF($C118="","",SUMPRODUCT((TEXT($AE$5:$OE$5, "mmm")=LOWER(K$3))*$AE118:$OE118))</f>
        <v/>
      </c>
      <c r="M118" s="34"/>
      <c r="N118" s="34" t="str" cm="1">
        <f t="array" ref="N118">IF($C118="","",SUMPRODUCT((TEXT($AE$5:$OE$5, "mmm")=LOWER(M$3))*$AE118:$OE118))</f>
        <v/>
      </c>
      <c r="O118" s="34"/>
      <c r="P118" s="34" t="str" cm="1">
        <f t="array" ref="P118">IF($C118="","",SUMPRODUCT((TEXT($AE$5:$OE$5, "mmm")=LOWER(O$3))*$AE118:$OE118))</f>
        <v/>
      </c>
      <c r="Q118" s="34"/>
      <c r="R118" s="34" t="str" cm="1">
        <f t="array" ref="R118">IF($C118="","",SUMPRODUCT((TEXT($AE$5:$OE$5, "mmm")=LOWER(Q$3))*$AE118:$OE118))</f>
        <v/>
      </c>
      <c r="S118" s="34"/>
      <c r="T118" s="34" t="str" cm="1">
        <f t="array" ref="T118">IF($C118="","",SUMPRODUCT((TEXT($AE$5:$OE$5, "mmm")=LOWER(S$3))*$AE118:$OE118))</f>
        <v/>
      </c>
      <c r="U118" s="34"/>
      <c r="V118" s="34" t="str" cm="1">
        <f t="array" ref="V118">IF($C118="","",SUMPRODUCT((TEXT($AE$5:$OE$5, "mmm")=LOWER(U$3))*$AE118:$OE118))</f>
        <v/>
      </c>
      <c r="W118" s="34"/>
      <c r="X118" s="34" t="str" cm="1">
        <f t="array" ref="X118">IF($C118="","",SUMPRODUCT((TEXT($AE$5:$OE$5, "mmm")=LOWER(W$3))*$AE118:$OE118))</f>
        <v/>
      </c>
      <c r="Y118" s="34"/>
      <c r="Z118" s="34" t="str" cm="1">
        <f t="array" ref="Z118">IF($C118="","",SUMPRODUCT((TEXT($AE$5:$OE$5, "mmm")=LOWER(Y$3))*$AE118:$OE118))</f>
        <v/>
      </c>
      <c r="AA118" s="34"/>
      <c r="AB118" s="34" t="str" cm="1">
        <f t="array" ref="AB118">IF($C118="","",SUMPRODUCT((TEXT($AE$5:$OE$5, "mmm")=LOWER(AA$3))*$AE118:$OE118))</f>
        <v/>
      </c>
      <c r="AC118" s="34"/>
      <c r="AD118" s="34" t="str" cm="1">
        <f t="array" ref="AD118">IF($C118="","",SUMPRODUCT((TEXT($AE$5:$OE$5, "mmm")=LOWER(AC$3))*$AE118:$OE118))</f>
        <v/>
      </c>
      <c r="OE118" s="49"/>
    </row>
    <row r="119" spans="1:395">
      <c r="A119" s="35"/>
      <c r="C119" s="2" t="str">
        <f>IF(ISBLANK($B119),"",_xlfn.XLOOKUP($B119,Task_No,Project!$C$3:$C$144,"INVALID TASK"))</f>
        <v/>
      </c>
      <c r="E119" s="7" t="str">
        <f t="shared" si="21"/>
        <v/>
      </c>
      <c r="F119" s="7" t="str">
        <f t="shared" si="20"/>
        <v/>
      </c>
      <c r="G119" s="34"/>
      <c r="H119" s="34" t="str" cm="1">
        <f t="array" ref="H119">IF($C119="","",SUMPRODUCT((TEXT($AE$5:$OE$5, "mmm")=LOWER(G$3))*$AE119:$OE119))</f>
        <v/>
      </c>
      <c r="I119" s="34"/>
      <c r="J119" s="34" t="str" cm="1">
        <f t="array" ref="J119">IF($C119="","",SUMPRODUCT((TEXT($AE$5:$OE$5, "mmm")=LOWER(I$3))*$AE119:$OE119))</f>
        <v/>
      </c>
      <c r="K119" s="34"/>
      <c r="L119" s="34" t="str" cm="1">
        <f t="array" ref="L119">IF($C119="","",SUMPRODUCT((TEXT($AE$5:$OE$5, "mmm")=LOWER(K$3))*$AE119:$OE119))</f>
        <v/>
      </c>
      <c r="M119" s="34"/>
      <c r="N119" s="34" t="str" cm="1">
        <f t="array" ref="N119">IF($C119="","",SUMPRODUCT((TEXT($AE$5:$OE$5, "mmm")=LOWER(M$3))*$AE119:$OE119))</f>
        <v/>
      </c>
      <c r="O119" s="34"/>
      <c r="P119" s="34" t="str" cm="1">
        <f t="array" ref="P119">IF($C119="","",SUMPRODUCT((TEXT($AE$5:$OE$5, "mmm")=LOWER(O$3))*$AE119:$OE119))</f>
        <v/>
      </c>
      <c r="Q119" s="34"/>
      <c r="R119" s="34" t="str" cm="1">
        <f t="array" ref="R119">IF($C119="","",SUMPRODUCT((TEXT($AE$5:$OE$5, "mmm")=LOWER(Q$3))*$AE119:$OE119))</f>
        <v/>
      </c>
      <c r="S119" s="34"/>
      <c r="T119" s="34" t="str" cm="1">
        <f t="array" ref="T119">IF($C119="","",SUMPRODUCT((TEXT($AE$5:$OE$5, "mmm")=LOWER(S$3))*$AE119:$OE119))</f>
        <v/>
      </c>
      <c r="U119" s="34"/>
      <c r="V119" s="34" t="str" cm="1">
        <f t="array" ref="V119">IF($C119="","",SUMPRODUCT((TEXT($AE$5:$OE$5, "mmm")=LOWER(U$3))*$AE119:$OE119))</f>
        <v/>
      </c>
      <c r="W119" s="34"/>
      <c r="X119" s="34" t="str" cm="1">
        <f t="array" ref="X119">IF($C119="","",SUMPRODUCT((TEXT($AE$5:$OE$5, "mmm")=LOWER(W$3))*$AE119:$OE119))</f>
        <v/>
      </c>
      <c r="Y119" s="34"/>
      <c r="Z119" s="34" t="str" cm="1">
        <f t="array" ref="Z119">IF($C119="","",SUMPRODUCT((TEXT($AE$5:$OE$5, "mmm")=LOWER(Y$3))*$AE119:$OE119))</f>
        <v/>
      </c>
      <c r="AA119" s="34"/>
      <c r="AB119" s="34" t="str" cm="1">
        <f t="array" ref="AB119">IF($C119="","",SUMPRODUCT((TEXT($AE$5:$OE$5, "mmm")=LOWER(AA$3))*$AE119:$OE119))</f>
        <v/>
      </c>
      <c r="AC119" s="34"/>
      <c r="AD119" s="34" t="str" cm="1">
        <f t="array" ref="AD119">IF($C119="","",SUMPRODUCT((TEXT($AE$5:$OE$5, "mmm")=LOWER(AC$3))*$AE119:$OE119))</f>
        <v/>
      </c>
      <c r="OE119" s="49"/>
    </row>
    <row r="120" spans="1:395">
      <c r="A120" s="35"/>
      <c r="C120" s="2" t="str">
        <f>IF(ISBLANK($B120),"",_xlfn.XLOOKUP($B120,Task_No,Project!$C$3:$C$144,"INVALID TASK"))</f>
        <v/>
      </c>
      <c r="E120" s="7" t="str">
        <f t="shared" si="21"/>
        <v/>
      </c>
      <c r="F120" s="7" t="str">
        <f t="shared" si="20"/>
        <v/>
      </c>
      <c r="G120" s="34"/>
      <c r="H120" s="34" t="str" cm="1">
        <f t="array" ref="H120">IF($C120="","",SUMPRODUCT((TEXT($AE$5:$OE$5, "mmm")=LOWER(G$3))*$AE120:$OE120))</f>
        <v/>
      </c>
      <c r="I120" s="34"/>
      <c r="J120" s="34" t="str" cm="1">
        <f t="array" ref="J120">IF($C120="","",SUMPRODUCT((TEXT($AE$5:$OE$5, "mmm")=LOWER(I$3))*$AE120:$OE120))</f>
        <v/>
      </c>
      <c r="K120" s="34"/>
      <c r="L120" s="34" t="str" cm="1">
        <f t="array" ref="L120">IF($C120="","",SUMPRODUCT((TEXT($AE$5:$OE$5, "mmm")=LOWER(K$3))*$AE120:$OE120))</f>
        <v/>
      </c>
      <c r="M120" s="34"/>
      <c r="N120" s="34" t="str" cm="1">
        <f t="array" ref="N120">IF($C120="","",SUMPRODUCT((TEXT($AE$5:$OE$5, "mmm")=LOWER(M$3))*$AE120:$OE120))</f>
        <v/>
      </c>
      <c r="O120" s="34"/>
      <c r="P120" s="34" t="str" cm="1">
        <f t="array" ref="P120">IF($C120="","",SUMPRODUCT((TEXT($AE$5:$OE$5, "mmm")=LOWER(O$3))*$AE120:$OE120))</f>
        <v/>
      </c>
      <c r="Q120" s="34"/>
      <c r="R120" s="34" t="str" cm="1">
        <f t="array" ref="R120">IF($C120="","",SUMPRODUCT((TEXT($AE$5:$OE$5, "mmm")=LOWER(Q$3))*$AE120:$OE120))</f>
        <v/>
      </c>
      <c r="S120" s="34"/>
      <c r="T120" s="34" t="str" cm="1">
        <f t="array" ref="T120">IF($C120="","",SUMPRODUCT((TEXT($AE$5:$OE$5, "mmm")=LOWER(S$3))*$AE120:$OE120))</f>
        <v/>
      </c>
      <c r="U120" s="34"/>
      <c r="V120" s="34" t="str" cm="1">
        <f t="array" ref="V120">IF($C120="","",SUMPRODUCT((TEXT($AE$5:$OE$5, "mmm")=LOWER(U$3))*$AE120:$OE120))</f>
        <v/>
      </c>
      <c r="W120" s="34"/>
      <c r="X120" s="34" t="str" cm="1">
        <f t="array" ref="X120">IF($C120="","",SUMPRODUCT((TEXT($AE$5:$OE$5, "mmm")=LOWER(W$3))*$AE120:$OE120))</f>
        <v/>
      </c>
      <c r="Y120" s="34"/>
      <c r="Z120" s="34" t="str" cm="1">
        <f t="array" ref="Z120">IF($C120="","",SUMPRODUCT((TEXT($AE$5:$OE$5, "mmm")=LOWER(Y$3))*$AE120:$OE120))</f>
        <v/>
      </c>
      <c r="AA120" s="34"/>
      <c r="AB120" s="34" t="str" cm="1">
        <f t="array" ref="AB120">IF($C120="","",SUMPRODUCT((TEXT($AE$5:$OE$5, "mmm")=LOWER(AA$3))*$AE120:$OE120))</f>
        <v/>
      </c>
      <c r="AC120" s="34"/>
      <c r="AD120" s="34" t="str" cm="1">
        <f t="array" ref="AD120">IF($C120="","",SUMPRODUCT((TEXT($AE$5:$OE$5, "mmm")=LOWER(AC$3))*$AE120:$OE120))</f>
        <v/>
      </c>
      <c r="OE120" s="49"/>
    </row>
    <row r="121" spans="1:395">
      <c r="A121" s="35"/>
      <c r="C121" s="2" t="str">
        <f>IF(ISBLANK($B121),"",_xlfn.XLOOKUP($B121,Task_No,Project!$C$3:$C$144,"INVALID TASK"))</f>
        <v/>
      </c>
      <c r="E121" s="7" t="str">
        <f t="shared" si="21"/>
        <v/>
      </c>
      <c r="F121" s="7" t="str">
        <f t="shared" si="20"/>
        <v/>
      </c>
      <c r="G121" s="34"/>
      <c r="H121" s="34" t="str" cm="1">
        <f t="array" ref="H121">IF($C121="","",SUMPRODUCT((TEXT($AE$5:$OE$5, "mmm")=LOWER(G$3))*$AE121:$OE121))</f>
        <v/>
      </c>
      <c r="I121" s="34"/>
      <c r="J121" s="34" t="str" cm="1">
        <f t="array" ref="J121">IF($C121="","",SUMPRODUCT((TEXT($AE$5:$OE$5, "mmm")=LOWER(I$3))*$AE121:$OE121))</f>
        <v/>
      </c>
      <c r="K121" s="34"/>
      <c r="L121" s="34" t="str" cm="1">
        <f t="array" ref="L121">IF($C121="","",SUMPRODUCT((TEXT($AE$5:$OE$5, "mmm")=LOWER(K$3))*$AE121:$OE121))</f>
        <v/>
      </c>
      <c r="M121" s="34"/>
      <c r="N121" s="34" t="str" cm="1">
        <f t="array" ref="N121">IF($C121="","",SUMPRODUCT((TEXT($AE$5:$OE$5, "mmm")=LOWER(M$3))*$AE121:$OE121))</f>
        <v/>
      </c>
      <c r="O121" s="34"/>
      <c r="P121" s="34" t="str" cm="1">
        <f t="array" ref="P121">IF($C121="","",SUMPRODUCT((TEXT($AE$5:$OE$5, "mmm")=LOWER(O$3))*$AE121:$OE121))</f>
        <v/>
      </c>
      <c r="Q121" s="34"/>
      <c r="R121" s="34" t="str" cm="1">
        <f t="array" ref="R121">IF($C121="","",SUMPRODUCT((TEXT($AE$5:$OE$5, "mmm")=LOWER(Q$3))*$AE121:$OE121))</f>
        <v/>
      </c>
      <c r="S121" s="34"/>
      <c r="T121" s="34" t="str" cm="1">
        <f t="array" ref="T121">IF($C121="","",SUMPRODUCT((TEXT($AE$5:$OE$5, "mmm")=LOWER(S$3))*$AE121:$OE121))</f>
        <v/>
      </c>
      <c r="U121" s="34"/>
      <c r="V121" s="34" t="str" cm="1">
        <f t="array" ref="V121">IF($C121="","",SUMPRODUCT((TEXT($AE$5:$OE$5, "mmm")=LOWER(U$3))*$AE121:$OE121))</f>
        <v/>
      </c>
      <c r="W121" s="34"/>
      <c r="X121" s="34" t="str" cm="1">
        <f t="array" ref="X121">IF($C121="","",SUMPRODUCT((TEXT($AE$5:$OE$5, "mmm")=LOWER(W$3))*$AE121:$OE121))</f>
        <v/>
      </c>
      <c r="Y121" s="34"/>
      <c r="Z121" s="34" t="str" cm="1">
        <f t="array" ref="Z121">IF($C121="","",SUMPRODUCT((TEXT($AE$5:$OE$5, "mmm")=LOWER(Y$3))*$AE121:$OE121))</f>
        <v/>
      </c>
      <c r="AA121" s="34"/>
      <c r="AB121" s="34" t="str" cm="1">
        <f t="array" ref="AB121">IF($C121="","",SUMPRODUCT((TEXT($AE$5:$OE$5, "mmm")=LOWER(AA$3))*$AE121:$OE121))</f>
        <v/>
      </c>
      <c r="AC121" s="34"/>
      <c r="AD121" s="34" t="str" cm="1">
        <f t="array" ref="AD121">IF($C121="","",SUMPRODUCT((TEXT($AE$5:$OE$5, "mmm")=LOWER(AC$3))*$AE121:$OE121))</f>
        <v/>
      </c>
      <c r="OE121" s="49"/>
    </row>
    <row r="122" spans="1:395">
      <c r="A122" s="35"/>
      <c r="C122" s="2" t="str">
        <f>IF(ISBLANK($B122),"",_xlfn.XLOOKUP($B122,Task_No,Project!$C$3:$C$144,"INVALID TASK"))</f>
        <v/>
      </c>
      <c r="E122" s="7" t="str">
        <f t="shared" si="21"/>
        <v/>
      </c>
      <c r="F122" s="7" t="str">
        <f t="shared" si="20"/>
        <v/>
      </c>
      <c r="G122" s="34"/>
      <c r="H122" s="34" t="str" cm="1">
        <f t="array" ref="H122">IF($C122="","",SUMPRODUCT((TEXT($AE$5:$OE$5, "mmm")=LOWER(G$3))*$AE122:$OE122))</f>
        <v/>
      </c>
      <c r="I122" s="34"/>
      <c r="J122" s="34" t="str" cm="1">
        <f t="array" ref="J122">IF($C122="","",SUMPRODUCT((TEXT($AE$5:$OE$5, "mmm")=LOWER(I$3))*$AE122:$OE122))</f>
        <v/>
      </c>
      <c r="K122" s="34"/>
      <c r="L122" s="34" t="str" cm="1">
        <f t="array" ref="L122">IF($C122="","",SUMPRODUCT((TEXT($AE$5:$OE$5, "mmm")=LOWER(K$3))*$AE122:$OE122))</f>
        <v/>
      </c>
      <c r="M122" s="34"/>
      <c r="N122" s="34" t="str" cm="1">
        <f t="array" ref="N122">IF($C122="","",SUMPRODUCT((TEXT($AE$5:$OE$5, "mmm")=LOWER(M$3))*$AE122:$OE122))</f>
        <v/>
      </c>
      <c r="O122" s="34"/>
      <c r="P122" s="34" t="str" cm="1">
        <f t="array" ref="P122">IF($C122="","",SUMPRODUCT((TEXT($AE$5:$OE$5, "mmm")=LOWER(O$3))*$AE122:$OE122))</f>
        <v/>
      </c>
      <c r="Q122" s="34"/>
      <c r="R122" s="34" t="str" cm="1">
        <f t="array" ref="R122">IF($C122="","",SUMPRODUCT((TEXT($AE$5:$OE$5, "mmm")=LOWER(Q$3))*$AE122:$OE122))</f>
        <v/>
      </c>
      <c r="S122" s="34"/>
      <c r="T122" s="34" t="str" cm="1">
        <f t="array" ref="T122">IF($C122="","",SUMPRODUCT((TEXT($AE$5:$OE$5, "mmm")=LOWER(S$3))*$AE122:$OE122))</f>
        <v/>
      </c>
      <c r="U122" s="34"/>
      <c r="V122" s="34" t="str" cm="1">
        <f t="array" ref="V122">IF($C122="","",SUMPRODUCT((TEXT($AE$5:$OE$5, "mmm")=LOWER(U$3))*$AE122:$OE122))</f>
        <v/>
      </c>
      <c r="W122" s="34"/>
      <c r="X122" s="34" t="str" cm="1">
        <f t="array" ref="X122">IF($C122="","",SUMPRODUCT((TEXT($AE$5:$OE$5, "mmm")=LOWER(W$3))*$AE122:$OE122))</f>
        <v/>
      </c>
      <c r="Y122" s="34"/>
      <c r="Z122" s="34" t="str" cm="1">
        <f t="array" ref="Z122">IF($C122="","",SUMPRODUCT((TEXT($AE$5:$OE$5, "mmm")=LOWER(Y$3))*$AE122:$OE122))</f>
        <v/>
      </c>
      <c r="AA122" s="34"/>
      <c r="AB122" s="34" t="str" cm="1">
        <f t="array" ref="AB122">IF($C122="","",SUMPRODUCT((TEXT($AE$5:$OE$5, "mmm")=LOWER(AA$3))*$AE122:$OE122))</f>
        <v/>
      </c>
      <c r="AC122" s="34"/>
      <c r="AD122" s="34" t="str" cm="1">
        <f t="array" ref="AD122">IF($C122="","",SUMPRODUCT((TEXT($AE$5:$OE$5, "mmm")=LOWER(AC$3))*$AE122:$OE122))</f>
        <v/>
      </c>
      <c r="OE122" s="49"/>
    </row>
    <row r="123" spans="1:395">
      <c r="A123" s="35"/>
      <c r="C123" s="2" t="str">
        <f>IF(ISBLANK($B123),"",_xlfn.XLOOKUP($B123,Task_No,Project!$C$3:$C$144,"INVALID TASK"))</f>
        <v/>
      </c>
      <c r="E123" s="7" t="str">
        <f t="shared" si="21"/>
        <v/>
      </c>
      <c r="F123" s="7" t="str">
        <f t="shared" si="20"/>
        <v/>
      </c>
      <c r="G123" s="34"/>
      <c r="H123" s="34" t="str" cm="1">
        <f t="array" ref="H123">IF($C123="","",SUMPRODUCT((TEXT($AE$5:$OE$5, "mmm")=LOWER(G$3))*$AE123:$OE123))</f>
        <v/>
      </c>
      <c r="I123" s="34"/>
      <c r="J123" s="34" t="str" cm="1">
        <f t="array" ref="J123">IF($C123="","",SUMPRODUCT((TEXT($AE$5:$OE$5, "mmm")=LOWER(I$3))*$AE123:$OE123))</f>
        <v/>
      </c>
      <c r="K123" s="34"/>
      <c r="L123" s="34" t="str" cm="1">
        <f t="array" ref="L123">IF($C123="","",SUMPRODUCT((TEXT($AE$5:$OE$5, "mmm")=LOWER(K$3))*$AE123:$OE123))</f>
        <v/>
      </c>
      <c r="M123" s="34"/>
      <c r="N123" s="34" t="str" cm="1">
        <f t="array" ref="N123">IF($C123="","",SUMPRODUCT((TEXT($AE$5:$OE$5, "mmm")=LOWER(M$3))*$AE123:$OE123))</f>
        <v/>
      </c>
      <c r="O123" s="34"/>
      <c r="P123" s="34" t="str" cm="1">
        <f t="array" ref="P123">IF($C123="","",SUMPRODUCT((TEXT($AE$5:$OE$5, "mmm")=LOWER(O$3))*$AE123:$OE123))</f>
        <v/>
      </c>
      <c r="Q123" s="34"/>
      <c r="R123" s="34" t="str" cm="1">
        <f t="array" ref="R123">IF($C123="","",SUMPRODUCT((TEXT($AE$5:$OE$5, "mmm")=LOWER(Q$3))*$AE123:$OE123))</f>
        <v/>
      </c>
      <c r="S123" s="34"/>
      <c r="T123" s="34" t="str" cm="1">
        <f t="array" ref="T123">IF($C123="","",SUMPRODUCT((TEXT($AE$5:$OE$5, "mmm")=LOWER(S$3))*$AE123:$OE123))</f>
        <v/>
      </c>
      <c r="U123" s="34"/>
      <c r="V123" s="34" t="str" cm="1">
        <f t="array" ref="V123">IF($C123="","",SUMPRODUCT((TEXT($AE$5:$OE$5, "mmm")=LOWER(U$3))*$AE123:$OE123))</f>
        <v/>
      </c>
      <c r="W123" s="34"/>
      <c r="X123" s="34" t="str" cm="1">
        <f t="array" ref="X123">IF($C123="","",SUMPRODUCT((TEXT($AE$5:$OE$5, "mmm")=LOWER(W$3))*$AE123:$OE123))</f>
        <v/>
      </c>
      <c r="Y123" s="34"/>
      <c r="Z123" s="34" t="str" cm="1">
        <f t="array" ref="Z123">IF($C123="","",SUMPRODUCT((TEXT($AE$5:$OE$5, "mmm")=LOWER(Y$3))*$AE123:$OE123))</f>
        <v/>
      </c>
      <c r="AA123" s="34"/>
      <c r="AB123" s="34" t="str" cm="1">
        <f t="array" ref="AB123">IF($C123="","",SUMPRODUCT((TEXT($AE$5:$OE$5, "mmm")=LOWER(AA$3))*$AE123:$OE123))</f>
        <v/>
      </c>
      <c r="AC123" s="34"/>
      <c r="AD123" s="34" t="str" cm="1">
        <f t="array" ref="AD123">IF($C123="","",SUMPRODUCT((TEXT($AE$5:$OE$5, "mmm")=LOWER(AC$3))*$AE123:$OE123))</f>
        <v/>
      </c>
      <c r="OE123" s="49"/>
    </row>
    <row r="124" spans="1:395">
      <c r="A124" s="35"/>
      <c r="C124" s="2" t="str">
        <f>IF(ISBLANK($B124),"",_xlfn.XLOOKUP($B124,Task_No,Project!$C$3:$C$144,"INVALID TASK"))</f>
        <v/>
      </c>
      <c r="E124" s="7" t="str">
        <f t="shared" si="21"/>
        <v/>
      </c>
      <c r="F124" s="7" t="str">
        <f t="shared" si="20"/>
        <v/>
      </c>
      <c r="G124" s="34"/>
      <c r="H124" s="34" t="str" cm="1">
        <f t="array" ref="H124">IF($C124="","",SUMPRODUCT((TEXT($AE$5:$OE$5, "mmm")=LOWER(G$3))*$AE124:$OE124))</f>
        <v/>
      </c>
      <c r="I124" s="34"/>
      <c r="J124" s="34" t="str" cm="1">
        <f t="array" ref="J124">IF($C124="","",SUMPRODUCT((TEXT($AE$5:$OE$5, "mmm")=LOWER(I$3))*$AE124:$OE124))</f>
        <v/>
      </c>
      <c r="K124" s="34"/>
      <c r="L124" s="34" t="str" cm="1">
        <f t="array" ref="L124">IF($C124="","",SUMPRODUCT((TEXT($AE$5:$OE$5, "mmm")=LOWER(K$3))*$AE124:$OE124))</f>
        <v/>
      </c>
      <c r="M124" s="34"/>
      <c r="N124" s="34" t="str" cm="1">
        <f t="array" ref="N124">IF($C124="","",SUMPRODUCT((TEXT($AE$5:$OE$5, "mmm")=LOWER(M$3))*$AE124:$OE124))</f>
        <v/>
      </c>
      <c r="O124" s="34"/>
      <c r="P124" s="34" t="str" cm="1">
        <f t="array" ref="P124">IF($C124="","",SUMPRODUCT((TEXT($AE$5:$OE$5, "mmm")=LOWER(O$3))*$AE124:$OE124))</f>
        <v/>
      </c>
      <c r="Q124" s="34"/>
      <c r="R124" s="34" t="str" cm="1">
        <f t="array" ref="R124">IF($C124="","",SUMPRODUCT((TEXT($AE$5:$OE$5, "mmm")=LOWER(Q$3))*$AE124:$OE124))</f>
        <v/>
      </c>
      <c r="S124" s="34"/>
      <c r="T124" s="34" t="str" cm="1">
        <f t="array" ref="T124">IF($C124="","",SUMPRODUCT((TEXT($AE$5:$OE$5, "mmm")=LOWER(S$3))*$AE124:$OE124))</f>
        <v/>
      </c>
      <c r="U124" s="34"/>
      <c r="V124" s="34" t="str" cm="1">
        <f t="array" ref="V124">IF($C124="","",SUMPRODUCT((TEXT($AE$5:$OE$5, "mmm")=LOWER(U$3))*$AE124:$OE124))</f>
        <v/>
      </c>
      <c r="W124" s="34"/>
      <c r="X124" s="34" t="str" cm="1">
        <f t="array" ref="X124">IF($C124="","",SUMPRODUCT((TEXT($AE$5:$OE$5, "mmm")=LOWER(W$3))*$AE124:$OE124))</f>
        <v/>
      </c>
      <c r="Y124" s="34"/>
      <c r="Z124" s="34" t="str" cm="1">
        <f t="array" ref="Z124">IF($C124="","",SUMPRODUCT((TEXT($AE$5:$OE$5, "mmm")=LOWER(Y$3))*$AE124:$OE124))</f>
        <v/>
      </c>
      <c r="AA124" s="34"/>
      <c r="AB124" s="34" t="str" cm="1">
        <f t="array" ref="AB124">IF($C124="","",SUMPRODUCT((TEXT($AE$5:$OE$5, "mmm")=LOWER(AA$3))*$AE124:$OE124))</f>
        <v/>
      </c>
      <c r="AC124" s="34"/>
      <c r="AD124" s="34" t="str" cm="1">
        <f t="array" ref="AD124">IF($C124="","",SUMPRODUCT((TEXT($AE$5:$OE$5, "mmm")=LOWER(AC$3))*$AE124:$OE124))</f>
        <v/>
      </c>
      <c r="OE124" s="49"/>
    </row>
    <row r="125" spans="1:395">
      <c r="A125" s="35"/>
      <c r="C125" s="2" t="str">
        <f>IF(ISBLANK($B125),"",_xlfn.XLOOKUP($B125,Task_No,Project!$C$3:$C$144,"INVALID TASK"))</f>
        <v/>
      </c>
      <c r="E125" s="7" t="str">
        <f t="shared" si="21"/>
        <v/>
      </c>
      <c r="F125" s="7" t="str">
        <f t="shared" si="20"/>
        <v/>
      </c>
      <c r="G125" s="34"/>
      <c r="H125" s="34" t="str" cm="1">
        <f t="array" ref="H125">IF($C125="","",SUMPRODUCT((TEXT($AE$5:$OE$5, "mmm")=LOWER(G$3))*$AE125:$OE125))</f>
        <v/>
      </c>
      <c r="I125" s="34"/>
      <c r="J125" s="34" t="str" cm="1">
        <f t="array" ref="J125">IF($C125="","",SUMPRODUCT((TEXT($AE$5:$OE$5, "mmm")=LOWER(I$3))*$AE125:$OE125))</f>
        <v/>
      </c>
      <c r="K125" s="34"/>
      <c r="L125" s="34" t="str" cm="1">
        <f t="array" ref="L125">IF($C125="","",SUMPRODUCT((TEXT($AE$5:$OE$5, "mmm")=LOWER(K$3))*$AE125:$OE125))</f>
        <v/>
      </c>
      <c r="M125" s="34"/>
      <c r="N125" s="34" t="str" cm="1">
        <f t="array" ref="N125">IF($C125="","",SUMPRODUCT((TEXT($AE$5:$OE$5, "mmm")=LOWER(M$3))*$AE125:$OE125))</f>
        <v/>
      </c>
      <c r="O125" s="34"/>
      <c r="P125" s="34" t="str" cm="1">
        <f t="array" ref="P125">IF($C125="","",SUMPRODUCT((TEXT($AE$5:$OE$5, "mmm")=LOWER(O$3))*$AE125:$OE125))</f>
        <v/>
      </c>
      <c r="Q125" s="34"/>
      <c r="R125" s="34" t="str" cm="1">
        <f t="array" ref="R125">IF($C125="","",SUMPRODUCT((TEXT($AE$5:$OE$5, "mmm")=LOWER(Q$3))*$AE125:$OE125))</f>
        <v/>
      </c>
      <c r="S125" s="34"/>
      <c r="T125" s="34" t="str" cm="1">
        <f t="array" ref="T125">IF($C125="","",SUMPRODUCT((TEXT($AE$5:$OE$5, "mmm")=LOWER(S$3))*$AE125:$OE125))</f>
        <v/>
      </c>
      <c r="U125" s="34"/>
      <c r="V125" s="34" t="str" cm="1">
        <f t="array" ref="V125">IF($C125="","",SUMPRODUCT((TEXT($AE$5:$OE$5, "mmm")=LOWER(U$3))*$AE125:$OE125))</f>
        <v/>
      </c>
      <c r="W125" s="34"/>
      <c r="X125" s="34" t="str" cm="1">
        <f t="array" ref="X125">IF($C125="","",SUMPRODUCT((TEXT($AE$5:$OE$5, "mmm")=LOWER(W$3))*$AE125:$OE125))</f>
        <v/>
      </c>
      <c r="Y125" s="34"/>
      <c r="Z125" s="34" t="str" cm="1">
        <f t="array" ref="Z125">IF($C125="","",SUMPRODUCT((TEXT($AE$5:$OE$5, "mmm")=LOWER(Y$3))*$AE125:$OE125))</f>
        <v/>
      </c>
      <c r="AA125" s="34"/>
      <c r="AB125" s="34" t="str" cm="1">
        <f t="array" ref="AB125">IF($C125="","",SUMPRODUCT((TEXT($AE$5:$OE$5, "mmm")=LOWER(AA$3))*$AE125:$OE125))</f>
        <v/>
      </c>
      <c r="AC125" s="34"/>
      <c r="AD125" s="34" t="str" cm="1">
        <f t="array" ref="AD125">IF($C125="","",SUMPRODUCT((TEXT($AE$5:$OE$5, "mmm")=LOWER(AC$3))*$AE125:$OE125))</f>
        <v/>
      </c>
      <c r="OE125" s="49"/>
    </row>
    <row r="126" spans="1:395">
      <c r="A126" s="35"/>
      <c r="C126" s="2" t="str">
        <f>IF(ISBLANK($B126),"",_xlfn.XLOOKUP($B126,Task_No,Project!$C$3:$C$144,"INVALID TASK"))</f>
        <v/>
      </c>
      <c r="E126" s="7" t="str">
        <f t="shared" si="21"/>
        <v/>
      </c>
      <c r="F126" s="7" t="str">
        <f t="shared" si="20"/>
        <v/>
      </c>
      <c r="G126" s="34"/>
      <c r="H126" s="34" t="str" cm="1">
        <f t="array" ref="H126">IF($C126="","",SUMPRODUCT((TEXT($AE$5:$OE$5, "mmm")=LOWER(G$3))*$AE126:$OE126))</f>
        <v/>
      </c>
      <c r="I126" s="34"/>
      <c r="J126" s="34" t="str" cm="1">
        <f t="array" ref="J126">IF($C126="","",SUMPRODUCT((TEXT($AE$5:$OE$5, "mmm")=LOWER(I$3))*$AE126:$OE126))</f>
        <v/>
      </c>
      <c r="K126" s="34"/>
      <c r="L126" s="34" t="str" cm="1">
        <f t="array" ref="L126">IF($C126="","",SUMPRODUCT((TEXT($AE$5:$OE$5, "mmm")=LOWER(K$3))*$AE126:$OE126))</f>
        <v/>
      </c>
      <c r="M126" s="34"/>
      <c r="N126" s="34" t="str" cm="1">
        <f t="array" ref="N126">IF($C126="","",SUMPRODUCT((TEXT($AE$5:$OE$5, "mmm")=LOWER(M$3))*$AE126:$OE126))</f>
        <v/>
      </c>
      <c r="O126" s="34"/>
      <c r="P126" s="34" t="str" cm="1">
        <f t="array" ref="P126">IF($C126="","",SUMPRODUCT((TEXT($AE$5:$OE$5, "mmm")=LOWER(O$3))*$AE126:$OE126))</f>
        <v/>
      </c>
      <c r="Q126" s="34"/>
      <c r="R126" s="34" t="str" cm="1">
        <f t="array" ref="R126">IF($C126="","",SUMPRODUCT((TEXT($AE$5:$OE$5, "mmm")=LOWER(Q$3))*$AE126:$OE126))</f>
        <v/>
      </c>
      <c r="S126" s="34"/>
      <c r="T126" s="34" t="str" cm="1">
        <f t="array" ref="T126">IF($C126="","",SUMPRODUCT((TEXT($AE$5:$OE$5, "mmm")=LOWER(S$3))*$AE126:$OE126))</f>
        <v/>
      </c>
      <c r="U126" s="34"/>
      <c r="V126" s="34" t="str" cm="1">
        <f t="array" ref="V126">IF($C126="","",SUMPRODUCT((TEXT($AE$5:$OE$5, "mmm")=LOWER(U$3))*$AE126:$OE126))</f>
        <v/>
      </c>
      <c r="W126" s="34"/>
      <c r="X126" s="34" t="str" cm="1">
        <f t="array" ref="X126">IF($C126="","",SUMPRODUCT((TEXT($AE$5:$OE$5, "mmm")=LOWER(W$3))*$AE126:$OE126))</f>
        <v/>
      </c>
      <c r="Y126" s="34"/>
      <c r="Z126" s="34" t="str" cm="1">
        <f t="array" ref="Z126">IF($C126="","",SUMPRODUCT((TEXT($AE$5:$OE$5, "mmm")=LOWER(Y$3))*$AE126:$OE126))</f>
        <v/>
      </c>
      <c r="AA126" s="34"/>
      <c r="AB126" s="34" t="str" cm="1">
        <f t="array" ref="AB126">IF($C126="","",SUMPRODUCT((TEXT($AE$5:$OE$5, "mmm")=LOWER(AA$3))*$AE126:$OE126))</f>
        <v/>
      </c>
      <c r="AC126" s="34"/>
      <c r="AD126" s="34" t="str" cm="1">
        <f t="array" ref="AD126">IF($C126="","",SUMPRODUCT((TEXT($AE$5:$OE$5, "mmm")=LOWER(AC$3))*$AE126:$OE126))</f>
        <v/>
      </c>
      <c r="OE126" s="49"/>
    </row>
    <row r="127" spans="1:395">
      <c r="A127" s="35"/>
      <c r="C127" s="2" t="str">
        <f>IF(ISBLANK($B127),"",_xlfn.XLOOKUP($B127,Task_No,Project!$C$3:$C$144,"INVALID TASK"))</f>
        <v/>
      </c>
      <c r="E127" s="7" t="str">
        <f t="shared" si="21"/>
        <v/>
      </c>
      <c r="F127" s="7" t="str">
        <f t="shared" si="20"/>
        <v/>
      </c>
      <c r="G127" s="34"/>
      <c r="H127" s="34" t="str" cm="1">
        <f t="array" ref="H127">IF($C127="","",SUMPRODUCT((TEXT($AE$5:$OE$5, "mmm")=LOWER(G$3))*$AE127:$OE127))</f>
        <v/>
      </c>
      <c r="I127" s="34"/>
      <c r="J127" s="34" t="str" cm="1">
        <f t="array" ref="J127">IF($C127="","",SUMPRODUCT((TEXT($AE$5:$OE$5, "mmm")=LOWER(I$3))*$AE127:$OE127))</f>
        <v/>
      </c>
      <c r="K127" s="34"/>
      <c r="L127" s="34" t="str" cm="1">
        <f t="array" ref="L127">IF($C127="","",SUMPRODUCT((TEXT($AE$5:$OE$5, "mmm")=LOWER(K$3))*$AE127:$OE127))</f>
        <v/>
      </c>
      <c r="M127" s="34"/>
      <c r="N127" s="34" t="str" cm="1">
        <f t="array" ref="N127">IF($C127="","",SUMPRODUCT((TEXT($AE$5:$OE$5, "mmm")=LOWER(M$3))*$AE127:$OE127))</f>
        <v/>
      </c>
      <c r="O127" s="34"/>
      <c r="P127" s="34" t="str" cm="1">
        <f t="array" ref="P127">IF($C127="","",SUMPRODUCT((TEXT($AE$5:$OE$5, "mmm")=LOWER(O$3))*$AE127:$OE127))</f>
        <v/>
      </c>
      <c r="Q127" s="34"/>
      <c r="R127" s="34" t="str" cm="1">
        <f t="array" ref="R127">IF($C127="","",SUMPRODUCT((TEXT($AE$5:$OE$5, "mmm")=LOWER(Q$3))*$AE127:$OE127))</f>
        <v/>
      </c>
      <c r="S127" s="34"/>
      <c r="T127" s="34" t="str" cm="1">
        <f t="array" ref="T127">IF($C127="","",SUMPRODUCT((TEXT($AE$5:$OE$5, "mmm")=LOWER(S$3))*$AE127:$OE127))</f>
        <v/>
      </c>
      <c r="U127" s="34"/>
      <c r="V127" s="34" t="str" cm="1">
        <f t="array" ref="V127">IF($C127="","",SUMPRODUCT((TEXT($AE$5:$OE$5, "mmm")=LOWER(U$3))*$AE127:$OE127))</f>
        <v/>
      </c>
      <c r="W127" s="34"/>
      <c r="X127" s="34" t="str" cm="1">
        <f t="array" ref="X127">IF($C127="","",SUMPRODUCT((TEXT($AE$5:$OE$5, "mmm")=LOWER(W$3))*$AE127:$OE127))</f>
        <v/>
      </c>
      <c r="Y127" s="34"/>
      <c r="Z127" s="34" t="str" cm="1">
        <f t="array" ref="Z127">IF($C127="","",SUMPRODUCT((TEXT($AE$5:$OE$5, "mmm")=LOWER(Y$3))*$AE127:$OE127))</f>
        <v/>
      </c>
      <c r="AA127" s="34"/>
      <c r="AB127" s="34" t="str" cm="1">
        <f t="array" ref="AB127">IF($C127="","",SUMPRODUCT((TEXT($AE$5:$OE$5, "mmm")=LOWER(AA$3))*$AE127:$OE127))</f>
        <v/>
      </c>
      <c r="AC127" s="34"/>
      <c r="AD127" s="34" t="str" cm="1">
        <f t="array" ref="AD127">IF($C127="","",SUMPRODUCT((TEXT($AE$5:$OE$5, "mmm")=LOWER(AC$3))*$AE127:$OE127))</f>
        <v/>
      </c>
      <c r="OE127" s="49"/>
    </row>
    <row r="128" spans="1:395">
      <c r="A128" s="35"/>
      <c r="C128" s="2" t="str">
        <f>IF(ISBLANK($B128),"",_xlfn.XLOOKUP($B128,Task_No,Project!$C$3:$C$144,"INVALID TASK"))</f>
        <v/>
      </c>
      <c r="E128" s="7" t="str">
        <f t="shared" si="21"/>
        <v/>
      </c>
      <c r="F128" s="7" t="str">
        <f t="shared" si="20"/>
        <v/>
      </c>
      <c r="G128" s="34"/>
      <c r="H128" s="34" t="str" cm="1">
        <f t="array" ref="H128">IF($C128="","",SUMPRODUCT((TEXT($AE$5:$OE$5, "mmm")=LOWER(G$3))*$AE128:$OE128))</f>
        <v/>
      </c>
      <c r="I128" s="34"/>
      <c r="J128" s="34" t="str" cm="1">
        <f t="array" ref="J128">IF($C128="","",SUMPRODUCT((TEXT($AE$5:$OE$5, "mmm")=LOWER(I$3))*$AE128:$OE128))</f>
        <v/>
      </c>
      <c r="K128" s="34"/>
      <c r="L128" s="34" t="str" cm="1">
        <f t="array" ref="L128">IF($C128="","",SUMPRODUCT((TEXT($AE$5:$OE$5, "mmm")=LOWER(K$3))*$AE128:$OE128))</f>
        <v/>
      </c>
      <c r="M128" s="34"/>
      <c r="N128" s="34" t="str" cm="1">
        <f t="array" ref="N128">IF($C128="","",SUMPRODUCT((TEXT($AE$5:$OE$5, "mmm")=LOWER(M$3))*$AE128:$OE128))</f>
        <v/>
      </c>
      <c r="O128" s="34"/>
      <c r="P128" s="34" t="str" cm="1">
        <f t="array" ref="P128">IF($C128="","",SUMPRODUCT((TEXT($AE$5:$OE$5, "mmm")=LOWER(O$3))*$AE128:$OE128))</f>
        <v/>
      </c>
      <c r="Q128" s="34"/>
      <c r="R128" s="34" t="str" cm="1">
        <f t="array" ref="R128">IF($C128="","",SUMPRODUCT((TEXT($AE$5:$OE$5, "mmm")=LOWER(Q$3))*$AE128:$OE128))</f>
        <v/>
      </c>
      <c r="S128" s="34"/>
      <c r="T128" s="34" t="str" cm="1">
        <f t="array" ref="T128">IF($C128="","",SUMPRODUCT((TEXT($AE$5:$OE$5, "mmm")=LOWER(S$3))*$AE128:$OE128))</f>
        <v/>
      </c>
      <c r="U128" s="34"/>
      <c r="V128" s="34" t="str" cm="1">
        <f t="array" ref="V128">IF($C128="","",SUMPRODUCT((TEXT($AE$5:$OE$5, "mmm")=LOWER(U$3))*$AE128:$OE128))</f>
        <v/>
      </c>
      <c r="W128" s="34"/>
      <c r="X128" s="34" t="str" cm="1">
        <f t="array" ref="X128">IF($C128="","",SUMPRODUCT((TEXT($AE$5:$OE$5, "mmm")=LOWER(W$3))*$AE128:$OE128))</f>
        <v/>
      </c>
      <c r="Y128" s="34"/>
      <c r="Z128" s="34" t="str" cm="1">
        <f t="array" ref="Z128">IF($C128="","",SUMPRODUCT((TEXT($AE$5:$OE$5, "mmm")=LOWER(Y$3))*$AE128:$OE128))</f>
        <v/>
      </c>
      <c r="AA128" s="34"/>
      <c r="AB128" s="34" t="str" cm="1">
        <f t="array" ref="AB128">IF($C128="","",SUMPRODUCT((TEXT($AE$5:$OE$5, "mmm")=LOWER(AA$3))*$AE128:$OE128))</f>
        <v/>
      </c>
      <c r="AC128" s="34"/>
      <c r="AD128" s="34" t="str" cm="1">
        <f t="array" ref="AD128">IF($C128="","",SUMPRODUCT((TEXT($AE$5:$OE$5, "mmm")=LOWER(AC$3))*$AE128:$OE128))</f>
        <v/>
      </c>
      <c r="OE128" s="49"/>
    </row>
    <row r="129" spans="1:395">
      <c r="A129" s="35"/>
      <c r="C129" s="2" t="str">
        <f>IF(ISBLANK($B129),"",_xlfn.XLOOKUP($B129,Task_No,Project!$C$3:$C$144,"INVALID TASK"))</f>
        <v/>
      </c>
      <c r="E129" s="7" t="str">
        <f t="shared" si="21"/>
        <v/>
      </c>
      <c r="F129" s="7" t="str">
        <f t="shared" si="20"/>
        <v/>
      </c>
      <c r="G129" s="34"/>
      <c r="H129" s="34" t="str" cm="1">
        <f t="array" ref="H129">IF($C129="","",SUMPRODUCT((TEXT($AE$5:$OE$5, "mmm")=LOWER(G$3))*$AE129:$OE129))</f>
        <v/>
      </c>
      <c r="I129" s="34"/>
      <c r="J129" s="34" t="str" cm="1">
        <f t="array" ref="J129">IF($C129="","",SUMPRODUCT((TEXT($AE$5:$OE$5, "mmm")=LOWER(I$3))*$AE129:$OE129))</f>
        <v/>
      </c>
      <c r="K129" s="34"/>
      <c r="L129" s="34" t="str" cm="1">
        <f t="array" ref="L129">IF($C129="","",SUMPRODUCT((TEXT($AE$5:$OE$5, "mmm")=LOWER(K$3))*$AE129:$OE129))</f>
        <v/>
      </c>
      <c r="M129" s="34"/>
      <c r="N129" s="34" t="str" cm="1">
        <f t="array" ref="N129">IF($C129="","",SUMPRODUCT((TEXT($AE$5:$OE$5, "mmm")=LOWER(M$3))*$AE129:$OE129))</f>
        <v/>
      </c>
      <c r="O129" s="34"/>
      <c r="P129" s="34" t="str" cm="1">
        <f t="array" ref="P129">IF($C129="","",SUMPRODUCT((TEXT($AE$5:$OE$5, "mmm")=LOWER(O$3))*$AE129:$OE129))</f>
        <v/>
      </c>
      <c r="Q129" s="34"/>
      <c r="R129" s="34" t="str" cm="1">
        <f t="array" ref="R129">IF($C129="","",SUMPRODUCT((TEXT($AE$5:$OE$5, "mmm")=LOWER(Q$3))*$AE129:$OE129))</f>
        <v/>
      </c>
      <c r="S129" s="34"/>
      <c r="T129" s="34" t="str" cm="1">
        <f t="array" ref="T129">IF($C129="","",SUMPRODUCT((TEXT($AE$5:$OE$5, "mmm")=LOWER(S$3))*$AE129:$OE129))</f>
        <v/>
      </c>
      <c r="U129" s="34"/>
      <c r="V129" s="34" t="str" cm="1">
        <f t="array" ref="V129">IF($C129="","",SUMPRODUCT((TEXT($AE$5:$OE$5, "mmm")=LOWER(U$3))*$AE129:$OE129))</f>
        <v/>
      </c>
      <c r="W129" s="34"/>
      <c r="X129" s="34" t="str" cm="1">
        <f t="array" ref="X129">IF($C129="","",SUMPRODUCT((TEXT($AE$5:$OE$5, "mmm")=LOWER(W$3))*$AE129:$OE129))</f>
        <v/>
      </c>
      <c r="Y129" s="34"/>
      <c r="Z129" s="34" t="str" cm="1">
        <f t="array" ref="Z129">IF($C129="","",SUMPRODUCT((TEXT($AE$5:$OE$5, "mmm")=LOWER(Y$3))*$AE129:$OE129))</f>
        <v/>
      </c>
      <c r="AA129" s="34"/>
      <c r="AB129" s="34" t="str" cm="1">
        <f t="array" ref="AB129">IF($C129="","",SUMPRODUCT((TEXT($AE$5:$OE$5, "mmm")=LOWER(AA$3))*$AE129:$OE129))</f>
        <v/>
      </c>
      <c r="AC129" s="34"/>
      <c r="AD129" s="34" t="str" cm="1">
        <f t="array" ref="AD129">IF($C129="","",SUMPRODUCT((TEXT($AE$5:$OE$5, "mmm")=LOWER(AC$3))*$AE129:$OE129))</f>
        <v/>
      </c>
      <c r="OE129" s="49"/>
    </row>
    <row r="130" spans="1:395">
      <c r="A130" s="35"/>
      <c r="C130" s="2" t="str">
        <f>IF(ISBLANK($B130),"",_xlfn.XLOOKUP($B130,Task_No,Project!$C$3:$C$144,"INVALID TASK"))</f>
        <v/>
      </c>
      <c r="E130" s="7" t="str">
        <f t="shared" si="21"/>
        <v/>
      </c>
      <c r="F130" s="7" t="str">
        <f t="shared" si="20"/>
        <v/>
      </c>
      <c r="G130" s="34"/>
      <c r="H130" s="34" t="str" cm="1">
        <f t="array" ref="H130">IF($C130="","",SUMPRODUCT((TEXT($AE$5:$OE$5, "mmm")=LOWER(G$3))*$AE130:$OE130))</f>
        <v/>
      </c>
      <c r="I130" s="34"/>
      <c r="J130" s="34" t="str" cm="1">
        <f t="array" ref="J130">IF($C130="","",SUMPRODUCT((TEXT($AE$5:$OE$5, "mmm")=LOWER(I$3))*$AE130:$OE130))</f>
        <v/>
      </c>
      <c r="K130" s="34"/>
      <c r="L130" s="34" t="str" cm="1">
        <f t="array" ref="L130">IF($C130="","",SUMPRODUCT((TEXT($AE$5:$OE$5, "mmm")=LOWER(K$3))*$AE130:$OE130))</f>
        <v/>
      </c>
      <c r="M130" s="34"/>
      <c r="N130" s="34" t="str" cm="1">
        <f t="array" ref="N130">IF($C130="","",SUMPRODUCT((TEXT($AE$5:$OE$5, "mmm")=LOWER(M$3))*$AE130:$OE130))</f>
        <v/>
      </c>
      <c r="O130" s="34"/>
      <c r="P130" s="34" t="str" cm="1">
        <f t="array" ref="P130">IF($C130="","",SUMPRODUCT((TEXT($AE$5:$OE$5, "mmm")=LOWER(O$3))*$AE130:$OE130))</f>
        <v/>
      </c>
      <c r="Q130" s="34"/>
      <c r="R130" s="34" t="str" cm="1">
        <f t="array" ref="R130">IF($C130="","",SUMPRODUCT((TEXT($AE$5:$OE$5, "mmm")=LOWER(Q$3))*$AE130:$OE130))</f>
        <v/>
      </c>
      <c r="S130" s="34"/>
      <c r="T130" s="34" t="str" cm="1">
        <f t="array" ref="T130">IF($C130="","",SUMPRODUCT((TEXT($AE$5:$OE$5, "mmm")=LOWER(S$3))*$AE130:$OE130))</f>
        <v/>
      </c>
      <c r="U130" s="34"/>
      <c r="V130" s="34" t="str" cm="1">
        <f t="array" ref="V130">IF($C130="","",SUMPRODUCT((TEXT($AE$5:$OE$5, "mmm")=LOWER(U$3))*$AE130:$OE130))</f>
        <v/>
      </c>
      <c r="W130" s="34"/>
      <c r="X130" s="34" t="str" cm="1">
        <f t="array" ref="X130">IF($C130="","",SUMPRODUCT((TEXT($AE$5:$OE$5, "mmm")=LOWER(W$3))*$AE130:$OE130))</f>
        <v/>
      </c>
      <c r="Y130" s="34"/>
      <c r="Z130" s="34" t="str" cm="1">
        <f t="array" ref="Z130">IF($C130="","",SUMPRODUCT((TEXT($AE$5:$OE$5, "mmm")=LOWER(Y$3))*$AE130:$OE130))</f>
        <v/>
      </c>
      <c r="AA130" s="34"/>
      <c r="AB130" s="34" t="str" cm="1">
        <f t="array" ref="AB130">IF($C130="","",SUMPRODUCT((TEXT($AE$5:$OE$5, "mmm")=LOWER(AA$3))*$AE130:$OE130))</f>
        <v/>
      </c>
      <c r="AC130" s="34"/>
      <c r="AD130" s="34" t="str" cm="1">
        <f t="array" ref="AD130">IF($C130="","",SUMPRODUCT((TEXT($AE$5:$OE$5, "mmm")=LOWER(AC$3))*$AE130:$OE130))</f>
        <v/>
      </c>
      <c r="OE130" s="49"/>
    </row>
    <row r="131" spans="1:395">
      <c r="A131" s="35"/>
      <c r="C131" s="2" t="str">
        <f>IF(ISBLANK($B131),"",_xlfn.XLOOKUP($B131,Task_No,Project!$C$3:$C$144,"INVALID TASK"))</f>
        <v/>
      </c>
      <c r="E131" s="7" t="str">
        <f t="shared" si="21"/>
        <v/>
      </c>
      <c r="F131" s="7" t="str">
        <f t="shared" si="20"/>
        <v/>
      </c>
      <c r="G131" s="34"/>
      <c r="H131" s="34" t="str" cm="1">
        <f t="array" ref="H131">IF($C131="","",SUMPRODUCT((TEXT($AE$5:$OE$5, "mmm")=LOWER(G$3))*$AE131:$OE131))</f>
        <v/>
      </c>
      <c r="I131" s="34"/>
      <c r="J131" s="34" t="str" cm="1">
        <f t="array" ref="J131">IF($C131="","",SUMPRODUCT((TEXT($AE$5:$OE$5, "mmm")=LOWER(I$3))*$AE131:$OE131))</f>
        <v/>
      </c>
      <c r="K131" s="34"/>
      <c r="L131" s="34" t="str" cm="1">
        <f t="array" ref="L131">IF($C131="","",SUMPRODUCT((TEXT($AE$5:$OE$5, "mmm")=LOWER(K$3))*$AE131:$OE131))</f>
        <v/>
      </c>
      <c r="M131" s="34"/>
      <c r="N131" s="34" t="str" cm="1">
        <f t="array" ref="N131">IF($C131="","",SUMPRODUCT((TEXT($AE$5:$OE$5, "mmm")=LOWER(M$3))*$AE131:$OE131))</f>
        <v/>
      </c>
      <c r="O131" s="34"/>
      <c r="P131" s="34" t="str" cm="1">
        <f t="array" ref="P131">IF($C131="","",SUMPRODUCT((TEXT($AE$5:$OE$5, "mmm")=LOWER(O$3))*$AE131:$OE131))</f>
        <v/>
      </c>
      <c r="Q131" s="34"/>
      <c r="R131" s="34" t="str" cm="1">
        <f t="array" ref="R131">IF($C131="","",SUMPRODUCT((TEXT($AE$5:$OE$5, "mmm")=LOWER(Q$3))*$AE131:$OE131))</f>
        <v/>
      </c>
      <c r="S131" s="34"/>
      <c r="T131" s="34" t="str" cm="1">
        <f t="array" ref="T131">IF($C131="","",SUMPRODUCT((TEXT($AE$5:$OE$5, "mmm")=LOWER(S$3))*$AE131:$OE131))</f>
        <v/>
      </c>
      <c r="U131" s="34"/>
      <c r="V131" s="34" t="str" cm="1">
        <f t="array" ref="V131">IF($C131="","",SUMPRODUCT((TEXT($AE$5:$OE$5, "mmm")=LOWER(U$3))*$AE131:$OE131))</f>
        <v/>
      </c>
      <c r="W131" s="34"/>
      <c r="X131" s="34" t="str" cm="1">
        <f t="array" ref="X131">IF($C131="","",SUMPRODUCT((TEXT($AE$5:$OE$5, "mmm")=LOWER(W$3))*$AE131:$OE131))</f>
        <v/>
      </c>
      <c r="Y131" s="34"/>
      <c r="Z131" s="34" t="str" cm="1">
        <f t="array" ref="Z131">IF($C131="","",SUMPRODUCT((TEXT($AE$5:$OE$5, "mmm")=LOWER(Y$3))*$AE131:$OE131))</f>
        <v/>
      </c>
      <c r="AA131" s="34"/>
      <c r="AB131" s="34" t="str" cm="1">
        <f t="array" ref="AB131">IF($C131="","",SUMPRODUCT((TEXT($AE$5:$OE$5, "mmm")=LOWER(AA$3))*$AE131:$OE131))</f>
        <v/>
      </c>
      <c r="AC131" s="34"/>
      <c r="AD131" s="34" t="str" cm="1">
        <f t="array" ref="AD131">IF($C131="","",SUMPRODUCT((TEXT($AE$5:$OE$5, "mmm")=LOWER(AC$3))*$AE131:$OE131))</f>
        <v/>
      </c>
      <c r="OE131" s="49"/>
    </row>
    <row r="132" spans="1:395">
      <c r="A132" s="35"/>
      <c r="C132" s="2" t="str">
        <f>IF(ISBLANK($B132),"",_xlfn.XLOOKUP($B132,Task_No,Project!$C$3:$C$144,"INVALID TASK"))</f>
        <v/>
      </c>
      <c r="E132" s="7" t="str">
        <f t="shared" si="21"/>
        <v/>
      </c>
      <c r="F132" s="7" t="str">
        <f t="shared" si="20"/>
        <v/>
      </c>
      <c r="G132" s="34"/>
      <c r="H132" s="34" t="str" cm="1">
        <f t="array" ref="H132">IF($C132="","",SUMPRODUCT((TEXT($AE$5:$OE$5, "mmm")=LOWER(G$3))*$AE132:$OE132))</f>
        <v/>
      </c>
      <c r="I132" s="34"/>
      <c r="J132" s="34" t="str" cm="1">
        <f t="array" ref="J132">IF($C132="","",SUMPRODUCT((TEXT($AE$5:$OE$5, "mmm")=LOWER(I$3))*$AE132:$OE132))</f>
        <v/>
      </c>
      <c r="K132" s="34"/>
      <c r="L132" s="34" t="str" cm="1">
        <f t="array" ref="L132">IF($C132="","",SUMPRODUCT((TEXT($AE$5:$OE$5, "mmm")=LOWER(K$3))*$AE132:$OE132))</f>
        <v/>
      </c>
      <c r="M132" s="34"/>
      <c r="N132" s="34" t="str" cm="1">
        <f t="array" ref="N132">IF($C132="","",SUMPRODUCT((TEXT($AE$5:$OE$5, "mmm")=LOWER(M$3))*$AE132:$OE132))</f>
        <v/>
      </c>
      <c r="O132" s="34"/>
      <c r="P132" s="34" t="str" cm="1">
        <f t="array" ref="P132">IF($C132="","",SUMPRODUCT((TEXT($AE$5:$OE$5, "mmm")=LOWER(O$3))*$AE132:$OE132))</f>
        <v/>
      </c>
      <c r="Q132" s="34"/>
      <c r="R132" s="34" t="str" cm="1">
        <f t="array" ref="R132">IF($C132="","",SUMPRODUCT((TEXT($AE$5:$OE$5, "mmm")=LOWER(Q$3))*$AE132:$OE132))</f>
        <v/>
      </c>
      <c r="S132" s="34"/>
      <c r="T132" s="34" t="str" cm="1">
        <f t="array" ref="T132">IF($C132="","",SUMPRODUCT((TEXT($AE$5:$OE$5, "mmm")=LOWER(S$3))*$AE132:$OE132))</f>
        <v/>
      </c>
      <c r="U132" s="34"/>
      <c r="V132" s="34" t="str" cm="1">
        <f t="array" ref="V132">IF($C132="","",SUMPRODUCT((TEXT($AE$5:$OE$5, "mmm")=LOWER(U$3))*$AE132:$OE132))</f>
        <v/>
      </c>
      <c r="W132" s="34"/>
      <c r="X132" s="34" t="str" cm="1">
        <f t="array" ref="X132">IF($C132="","",SUMPRODUCT((TEXT($AE$5:$OE$5, "mmm")=LOWER(W$3))*$AE132:$OE132))</f>
        <v/>
      </c>
      <c r="Y132" s="34"/>
      <c r="Z132" s="34" t="str" cm="1">
        <f t="array" ref="Z132">IF($C132="","",SUMPRODUCT((TEXT($AE$5:$OE$5, "mmm")=LOWER(Y$3))*$AE132:$OE132))</f>
        <v/>
      </c>
      <c r="AA132" s="34"/>
      <c r="AB132" s="34" t="str" cm="1">
        <f t="array" ref="AB132">IF($C132="","",SUMPRODUCT((TEXT($AE$5:$OE$5, "mmm")=LOWER(AA$3))*$AE132:$OE132))</f>
        <v/>
      </c>
      <c r="AC132" s="34"/>
      <c r="AD132" s="34" t="str" cm="1">
        <f t="array" ref="AD132">IF($C132="","",SUMPRODUCT((TEXT($AE$5:$OE$5, "mmm")=LOWER(AC$3))*$AE132:$OE132))</f>
        <v/>
      </c>
      <c r="OE132" s="49"/>
    </row>
    <row r="133" spans="1:395">
      <c r="A133" s="35"/>
      <c r="C133" s="2" t="str">
        <f>IF(ISBLANK($B133),"",_xlfn.XLOOKUP($B133,Task_No,Project!$C$3:$C$144,"INVALID TASK"))</f>
        <v/>
      </c>
      <c r="E133" s="7" t="str">
        <f t="shared" si="21"/>
        <v/>
      </c>
      <c r="F133" s="7" t="str">
        <f t="shared" si="20"/>
        <v/>
      </c>
      <c r="G133" s="34"/>
      <c r="H133" s="34" t="str" cm="1">
        <f t="array" ref="H133">IF($C133="","",SUMPRODUCT((TEXT($AE$5:$OE$5, "mmm")=LOWER(G$3))*$AE133:$OE133))</f>
        <v/>
      </c>
      <c r="I133" s="34"/>
      <c r="J133" s="34" t="str" cm="1">
        <f t="array" ref="J133">IF($C133="","",SUMPRODUCT((TEXT($AE$5:$OE$5, "mmm")=LOWER(I$3))*$AE133:$OE133))</f>
        <v/>
      </c>
      <c r="K133" s="34"/>
      <c r="L133" s="34" t="str" cm="1">
        <f t="array" ref="L133">IF($C133="","",SUMPRODUCT((TEXT($AE$5:$OE$5, "mmm")=LOWER(K$3))*$AE133:$OE133))</f>
        <v/>
      </c>
      <c r="M133" s="34"/>
      <c r="N133" s="34" t="str" cm="1">
        <f t="array" ref="N133">IF($C133="","",SUMPRODUCT((TEXT($AE$5:$OE$5, "mmm")=LOWER(M$3))*$AE133:$OE133))</f>
        <v/>
      </c>
      <c r="O133" s="34"/>
      <c r="P133" s="34" t="str" cm="1">
        <f t="array" ref="P133">IF($C133="","",SUMPRODUCT((TEXT($AE$5:$OE$5, "mmm")=LOWER(O$3))*$AE133:$OE133))</f>
        <v/>
      </c>
      <c r="Q133" s="34"/>
      <c r="R133" s="34" t="str" cm="1">
        <f t="array" ref="R133">IF($C133="","",SUMPRODUCT((TEXT($AE$5:$OE$5, "mmm")=LOWER(Q$3))*$AE133:$OE133))</f>
        <v/>
      </c>
      <c r="S133" s="34"/>
      <c r="T133" s="34" t="str" cm="1">
        <f t="array" ref="T133">IF($C133="","",SUMPRODUCT((TEXT($AE$5:$OE$5, "mmm")=LOWER(S$3))*$AE133:$OE133))</f>
        <v/>
      </c>
      <c r="U133" s="34"/>
      <c r="V133" s="34" t="str" cm="1">
        <f t="array" ref="V133">IF($C133="","",SUMPRODUCT((TEXT($AE$5:$OE$5, "mmm")=LOWER(U$3))*$AE133:$OE133))</f>
        <v/>
      </c>
      <c r="W133" s="34"/>
      <c r="X133" s="34" t="str" cm="1">
        <f t="array" ref="X133">IF($C133="","",SUMPRODUCT((TEXT($AE$5:$OE$5, "mmm")=LOWER(W$3))*$AE133:$OE133))</f>
        <v/>
      </c>
      <c r="Y133" s="34"/>
      <c r="Z133" s="34" t="str" cm="1">
        <f t="array" ref="Z133">IF($C133="","",SUMPRODUCT((TEXT($AE$5:$OE$5, "mmm")=LOWER(Y$3))*$AE133:$OE133))</f>
        <v/>
      </c>
      <c r="AA133" s="34"/>
      <c r="AB133" s="34" t="str" cm="1">
        <f t="array" ref="AB133">IF($C133="","",SUMPRODUCT((TEXT($AE$5:$OE$5, "mmm")=LOWER(AA$3))*$AE133:$OE133))</f>
        <v/>
      </c>
      <c r="AC133" s="34"/>
      <c r="AD133" s="34" t="str" cm="1">
        <f t="array" ref="AD133">IF($C133="","",SUMPRODUCT((TEXT($AE$5:$OE$5, "mmm")=LOWER(AC$3))*$AE133:$OE133))</f>
        <v/>
      </c>
      <c r="OE133" s="49"/>
    </row>
    <row r="134" spans="1:395">
      <c r="A134" s="35"/>
      <c r="C134" s="2" t="str">
        <f>IF(ISBLANK($B134),"",_xlfn.XLOOKUP($B134,Task_No,Project!$C$3:$C$144,"INVALID TASK"))</f>
        <v/>
      </c>
      <c r="E134" s="7" t="str">
        <f t="shared" si="21"/>
        <v/>
      </c>
      <c r="F134" s="7" t="str">
        <f t="shared" si="20"/>
        <v/>
      </c>
      <c r="G134" s="34"/>
      <c r="H134" s="34" t="str" cm="1">
        <f t="array" ref="H134">IF($C134="","",SUMPRODUCT((TEXT($AE$5:$OE$5, "mmm")=LOWER(G$3))*$AE134:$OE134))</f>
        <v/>
      </c>
      <c r="I134" s="34"/>
      <c r="J134" s="34" t="str" cm="1">
        <f t="array" ref="J134">IF($C134="","",SUMPRODUCT((TEXT($AE$5:$OE$5, "mmm")=LOWER(I$3))*$AE134:$OE134))</f>
        <v/>
      </c>
      <c r="K134" s="34"/>
      <c r="L134" s="34" t="str" cm="1">
        <f t="array" ref="L134">IF($C134="","",SUMPRODUCT((TEXT($AE$5:$OE$5, "mmm")=LOWER(K$3))*$AE134:$OE134))</f>
        <v/>
      </c>
      <c r="M134" s="34"/>
      <c r="N134" s="34" t="str" cm="1">
        <f t="array" ref="N134">IF($C134="","",SUMPRODUCT((TEXT($AE$5:$OE$5, "mmm")=LOWER(M$3))*$AE134:$OE134))</f>
        <v/>
      </c>
      <c r="O134" s="34"/>
      <c r="P134" s="34" t="str" cm="1">
        <f t="array" ref="P134">IF($C134="","",SUMPRODUCT((TEXT($AE$5:$OE$5, "mmm")=LOWER(O$3))*$AE134:$OE134))</f>
        <v/>
      </c>
      <c r="Q134" s="34"/>
      <c r="R134" s="34" t="str" cm="1">
        <f t="array" ref="R134">IF($C134="","",SUMPRODUCT((TEXT($AE$5:$OE$5, "mmm")=LOWER(Q$3))*$AE134:$OE134))</f>
        <v/>
      </c>
      <c r="S134" s="34"/>
      <c r="T134" s="34" t="str" cm="1">
        <f t="array" ref="T134">IF($C134="","",SUMPRODUCT((TEXT($AE$5:$OE$5, "mmm")=LOWER(S$3))*$AE134:$OE134))</f>
        <v/>
      </c>
      <c r="U134" s="34"/>
      <c r="V134" s="34" t="str" cm="1">
        <f t="array" ref="V134">IF($C134="","",SUMPRODUCT((TEXT($AE$5:$OE$5, "mmm")=LOWER(U$3))*$AE134:$OE134))</f>
        <v/>
      </c>
      <c r="W134" s="34"/>
      <c r="X134" s="34" t="str" cm="1">
        <f t="array" ref="X134">IF($C134="","",SUMPRODUCT((TEXT($AE$5:$OE$5, "mmm")=LOWER(W$3))*$AE134:$OE134))</f>
        <v/>
      </c>
      <c r="Y134" s="34"/>
      <c r="Z134" s="34" t="str" cm="1">
        <f t="array" ref="Z134">IF($C134="","",SUMPRODUCT((TEXT($AE$5:$OE$5, "mmm")=LOWER(Y$3))*$AE134:$OE134))</f>
        <v/>
      </c>
      <c r="AA134" s="34"/>
      <c r="AB134" s="34" t="str" cm="1">
        <f t="array" ref="AB134">IF($C134="","",SUMPRODUCT((TEXT($AE$5:$OE$5, "mmm")=LOWER(AA$3))*$AE134:$OE134))</f>
        <v/>
      </c>
      <c r="AC134" s="34"/>
      <c r="AD134" s="34" t="str" cm="1">
        <f t="array" ref="AD134">IF($C134="","",SUMPRODUCT((TEXT($AE$5:$OE$5, "mmm")=LOWER(AC$3))*$AE134:$OE134))</f>
        <v/>
      </c>
      <c r="OE134" s="49"/>
    </row>
    <row r="135" spans="1:395">
      <c r="A135" s="35"/>
      <c r="C135" s="2" t="str">
        <f>IF(ISBLANK($B135),"",_xlfn.XLOOKUP($B135,Task_No,Project!$C$3:$C$144,"INVALID TASK"))</f>
        <v/>
      </c>
      <c r="E135" s="7" t="str">
        <f t="shared" si="21"/>
        <v/>
      </c>
      <c r="F135" s="7" t="str">
        <f t="shared" si="20"/>
        <v/>
      </c>
      <c r="G135" s="34"/>
      <c r="H135" s="34" t="str" cm="1">
        <f t="array" ref="H135">IF($C135="","",SUMPRODUCT((TEXT($AE$5:$OE$5, "mmm")=LOWER(G$3))*$AE135:$OE135))</f>
        <v/>
      </c>
      <c r="I135" s="34"/>
      <c r="J135" s="34" t="str" cm="1">
        <f t="array" ref="J135">IF($C135="","",SUMPRODUCT((TEXT($AE$5:$OE$5, "mmm")=LOWER(I$3))*$AE135:$OE135))</f>
        <v/>
      </c>
      <c r="K135" s="34"/>
      <c r="L135" s="34" t="str" cm="1">
        <f t="array" ref="L135">IF($C135="","",SUMPRODUCT((TEXT($AE$5:$OE$5, "mmm")=LOWER(K$3))*$AE135:$OE135))</f>
        <v/>
      </c>
      <c r="M135" s="34"/>
      <c r="N135" s="34" t="str" cm="1">
        <f t="array" ref="N135">IF($C135="","",SUMPRODUCT((TEXT($AE$5:$OE$5, "mmm")=LOWER(M$3))*$AE135:$OE135))</f>
        <v/>
      </c>
      <c r="O135" s="34"/>
      <c r="P135" s="34" t="str" cm="1">
        <f t="array" ref="P135">IF($C135="","",SUMPRODUCT((TEXT($AE$5:$OE$5, "mmm")=LOWER(O$3))*$AE135:$OE135))</f>
        <v/>
      </c>
      <c r="Q135" s="34"/>
      <c r="R135" s="34" t="str" cm="1">
        <f t="array" ref="R135">IF($C135="","",SUMPRODUCT((TEXT($AE$5:$OE$5, "mmm")=LOWER(Q$3))*$AE135:$OE135))</f>
        <v/>
      </c>
      <c r="S135" s="34"/>
      <c r="T135" s="34" t="str" cm="1">
        <f t="array" ref="T135">IF($C135="","",SUMPRODUCT((TEXT($AE$5:$OE$5, "mmm")=LOWER(S$3))*$AE135:$OE135))</f>
        <v/>
      </c>
      <c r="U135" s="34"/>
      <c r="V135" s="34" t="str" cm="1">
        <f t="array" ref="V135">IF($C135="","",SUMPRODUCT((TEXT($AE$5:$OE$5, "mmm")=LOWER(U$3))*$AE135:$OE135))</f>
        <v/>
      </c>
      <c r="W135" s="34"/>
      <c r="X135" s="34" t="str" cm="1">
        <f t="array" ref="X135">IF($C135="","",SUMPRODUCT((TEXT($AE$5:$OE$5, "mmm")=LOWER(W$3))*$AE135:$OE135))</f>
        <v/>
      </c>
      <c r="Y135" s="34"/>
      <c r="Z135" s="34" t="str" cm="1">
        <f t="array" ref="Z135">IF($C135="","",SUMPRODUCT((TEXT($AE$5:$OE$5, "mmm")=LOWER(Y$3))*$AE135:$OE135))</f>
        <v/>
      </c>
      <c r="AA135" s="34"/>
      <c r="AB135" s="34" t="str" cm="1">
        <f t="array" ref="AB135">IF($C135="","",SUMPRODUCT((TEXT($AE$5:$OE$5, "mmm")=LOWER(AA$3))*$AE135:$OE135))</f>
        <v/>
      </c>
      <c r="AC135" s="34"/>
      <c r="AD135" s="34" t="str" cm="1">
        <f t="array" ref="AD135">IF($C135="","",SUMPRODUCT((TEXT($AE$5:$OE$5, "mmm")=LOWER(AC$3))*$AE135:$OE135))</f>
        <v/>
      </c>
      <c r="OE135" s="49"/>
    </row>
    <row r="136" spans="1:395">
      <c r="A136" s="35"/>
      <c r="C136" s="2" t="str">
        <f>IF(ISBLANK($B136),"",_xlfn.XLOOKUP($B136,Task_No,Project!$C$3:$C$144,"INVALID TASK"))</f>
        <v/>
      </c>
      <c r="E136" s="7" t="str">
        <f t="shared" si="21"/>
        <v/>
      </c>
      <c r="F136" s="7" t="str">
        <f t="shared" si="20"/>
        <v/>
      </c>
      <c r="G136" s="34"/>
      <c r="H136" s="34" t="str" cm="1">
        <f t="array" ref="H136">IF($C136="","",SUMPRODUCT((TEXT($AE$5:$OE$5, "mmm")=LOWER(G$3))*$AE136:$OE136))</f>
        <v/>
      </c>
      <c r="I136" s="34"/>
      <c r="J136" s="34" t="str" cm="1">
        <f t="array" ref="J136">IF($C136="","",SUMPRODUCT((TEXT($AE$5:$OE$5, "mmm")=LOWER(I$3))*$AE136:$OE136))</f>
        <v/>
      </c>
      <c r="K136" s="34"/>
      <c r="L136" s="34" t="str" cm="1">
        <f t="array" ref="L136">IF($C136="","",SUMPRODUCT((TEXT($AE$5:$OE$5, "mmm")=LOWER(K$3))*$AE136:$OE136))</f>
        <v/>
      </c>
      <c r="M136" s="34"/>
      <c r="N136" s="34" t="str" cm="1">
        <f t="array" ref="N136">IF($C136="","",SUMPRODUCT((TEXT($AE$5:$OE$5, "mmm")=LOWER(M$3))*$AE136:$OE136))</f>
        <v/>
      </c>
      <c r="O136" s="34"/>
      <c r="P136" s="34" t="str" cm="1">
        <f t="array" ref="P136">IF($C136="","",SUMPRODUCT((TEXT($AE$5:$OE$5, "mmm")=LOWER(O$3))*$AE136:$OE136))</f>
        <v/>
      </c>
      <c r="Q136" s="34"/>
      <c r="R136" s="34" t="str" cm="1">
        <f t="array" ref="R136">IF($C136="","",SUMPRODUCT((TEXT($AE$5:$OE$5, "mmm")=LOWER(Q$3))*$AE136:$OE136))</f>
        <v/>
      </c>
      <c r="S136" s="34"/>
      <c r="T136" s="34" t="str" cm="1">
        <f t="array" ref="T136">IF($C136="","",SUMPRODUCT((TEXT($AE$5:$OE$5, "mmm")=LOWER(S$3))*$AE136:$OE136))</f>
        <v/>
      </c>
      <c r="U136" s="34"/>
      <c r="V136" s="34" t="str" cm="1">
        <f t="array" ref="V136">IF($C136="","",SUMPRODUCT((TEXT($AE$5:$OE$5, "mmm")=LOWER(U$3))*$AE136:$OE136))</f>
        <v/>
      </c>
      <c r="W136" s="34"/>
      <c r="X136" s="34" t="str" cm="1">
        <f t="array" ref="X136">IF($C136="","",SUMPRODUCT((TEXT($AE$5:$OE$5, "mmm")=LOWER(W$3))*$AE136:$OE136))</f>
        <v/>
      </c>
      <c r="Y136" s="34"/>
      <c r="Z136" s="34" t="str" cm="1">
        <f t="array" ref="Z136">IF($C136="","",SUMPRODUCT((TEXT($AE$5:$OE$5, "mmm")=LOWER(Y$3))*$AE136:$OE136))</f>
        <v/>
      </c>
      <c r="AA136" s="34"/>
      <c r="AB136" s="34" t="str" cm="1">
        <f t="array" ref="AB136">IF($C136="","",SUMPRODUCT((TEXT($AE$5:$OE$5, "mmm")=LOWER(AA$3))*$AE136:$OE136))</f>
        <v/>
      </c>
      <c r="AC136" s="34"/>
      <c r="AD136" s="34" t="str" cm="1">
        <f t="array" ref="AD136">IF($C136="","",SUMPRODUCT((TEXT($AE$5:$OE$5, "mmm")=LOWER(AC$3))*$AE136:$OE136))</f>
        <v/>
      </c>
      <c r="OE136" s="49"/>
    </row>
    <row r="137" spans="1:395">
      <c r="A137" s="35"/>
      <c r="C137" s="2" t="str">
        <f>IF(ISBLANK($B137),"",_xlfn.XLOOKUP($B137,Task_No,Project!$C$3:$C$144,"INVALID TASK"))</f>
        <v/>
      </c>
      <c r="E137" s="7" t="str">
        <f t="shared" si="21"/>
        <v/>
      </c>
      <c r="F137" s="7" t="str">
        <f t="shared" si="20"/>
        <v/>
      </c>
      <c r="G137" s="34"/>
      <c r="H137" s="34" t="str" cm="1">
        <f t="array" ref="H137">IF($C137="","",SUMPRODUCT((TEXT($AE$5:$OE$5, "mmm")=LOWER(G$3))*$AE137:$OE137))</f>
        <v/>
      </c>
      <c r="I137" s="34"/>
      <c r="J137" s="34" t="str" cm="1">
        <f t="array" ref="J137">IF($C137="","",SUMPRODUCT((TEXT($AE$5:$OE$5, "mmm")=LOWER(I$3))*$AE137:$OE137))</f>
        <v/>
      </c>
      <c r="K137" s="34"/>
      <c r="L137" s="34" t="str" cm="1">
        <f t="array" ref="L137">IF($C137="","",SUMPRODUCT((TEXT($AE$5:$OE$5, "mmm")=LOWER(K$3))*$AE137:$OE137))</f>
        <v/>
      </c>
      <c r="M137" s="34"/>
      <c r="N137" s="34" t="str" cm="1">
        <f t="array" ref="N137">IF($C137="","",SUMPRODUCT((TEXT($AE$5:$OE$5, "mmm")=LOWER(M$3))*$AE137:$OE137))</f>
        <v/>
      </c>
      <c r="O137" s="34"/>
      <c r="P137" s="34" t="str" cm="1">
        <f t="array" ref="P137">IF($C137="","",SUMPRODUCT((TEXT($AE$5:$OE$5, "mmm")=LOWER(O$3))*$AE137:$OE137))</f>
        <v/>
      </c>
      <c r="Q137" s="34"/>
      <c r="R137" s="34" t="str" cm="1">
        <f t="array" ref="R137">IF($C137="","",SUMPRODUCT((TEXT($AE$5:$OE$5, "mmm")=LOWER(Q$3))*$AE137:$OE137))</f>
        <v/>
      </c>
      <c r="S137" s="34"/>
      <c r="T137" s="34" t="str" cm="1">
        <f t="array" ref="T137">IF($C137="","",SUMPRODUCT((TEXT($AE$5:$OE$5, "mmm")=LOWER(S$3))*$AE137:$OE137))</f>
        <v/>
      </c>
      <c r="U137" s="34"/>
      <c r="V137" s="34" t="str" cm="1">
        <f t="array" ref="V137">IF($C137="","",SUMPRODUCT((TEXT($AE$5:$OE$5, "mmm")=LOWER(U$3))*$AE137:$OE137))</f>
        <v/>
      </c>
      <c r="W137" s="34"/>
      <c r="X137" s="34" t="str" cm="1">
        <f t="array" ref="X137">IF($C137="","",SUMPRODUCT((TEXT($AE$5:$OE$5, "mmm")=LOWER(W$3))*$AE137:$OE137))</f>
        <v/>
      </c>
      <c r="Y137" s="34"/>
      <c r="Z137" s="34" t="str" cm="1">
        <f t="array" ref="Z137">IF($C137="","",SUMPRODUCT((TEXT($AE$5:$OE$5, "mmm")=LOWER(Y$3))*$AE137:$OE137))</f>
        <v/>
      </c>
      <c r="AA137" s="34"/>
      <c r="AB137" s="34" t="str" cm="1">
        <f t="array" ref="AB137">IF($C137="","",SUMPRODUCT((TEXT($AE$5:$OE$5, "mmm")=LOWER(AA$3))*$AE137:$OE137))</f>
        <v/>
      </c>
      <c r="AC137" s="34"/>
      <c r="AD137" s="34" t="str" cm="1">
        <f t="array" ref="AD137">IF($C137="","",SUMPRODUCT((TEXT($AE$5:$OE$5, "mmm")=LOWER(AC$3))*$AE137:$OE137))</f>
        <v/>
      </c>
      <c r="OE137" s="49"/>
    </row>
    <row r="138" spans="1:395">
      <c r="A138" s="35"/>
      <c r="C138" s="2" t="str">
        <f>IF(ISBLANK($B138),"",_xlfn.XLOOKUP($B138,Task_No,Project!$C$3:$C$144,"INVALID TASK"))</f>
        <v/>
      </c>
      <c r="E138" s="7" t="str">
        <f t="shared" si="21"/>
        <v/>
      </c>
      <c r="F138" s="7" t="str">
        <f t="shared" si="20"/>
        <v/>
      </c>
      <c r="G138" s="34"/>
      <c r="H138" s="34" t="str" cm="1">
        <f t="array" ref="H138">IF($C138="","",SUMPRODUCT((TEXT($AE$5:$OE$5, "mmm")=LOWER(G$3))*$AE138:$OE138))</f>
        <v/>
      </c>
      <c r="I138" s="34"/>
      <c r="J138" s="34" t="str" cm="1">
        <f t="array" ref="J138">IF($C138="","",SUMPRODUCT((TEXT($AE$5:$OE$5, "mmm")=LOWER(I$3))*$AE138:$OE138))</f>
        <v/>
      </c>
      <c r="K138" s="34"/>
      <c r="L138" s="34" t="str" cm="1">
        <f t="array" ref="L138">IF($C138="","",SUMPRODUCT((TEXT($AE$5:$OE$5, "mmm")=LOWER(K$3))*$AE138:$OE138))</f>
        <v/>
      </c>
      <c r="M138" s="34"/>
      <c r="N138" s="34" t="str" cm="1">
        <f t="array" ref="N138">IF($C138="","",SUMPRODUCT((TEXT($AE$5:$OE$5, "mmm")=LOWER(M$3))*$AE138:$OE138))</f>
        <v/>
      </c>
      <c r="O138" s="34"/>
      <c r="P138" s="34" t="str" cm="1">
        <f t="array" ref="P138">IF($C138="","",SUMPRODUCT((TEXT($AE$5:$OE$5, "mmm")=LOWER(O$3))*$AE138:$OE138))</f>
        <v/>
      </c>
      <c r="Q138" s="34"/>
      <c r="R138" s="34" t="str" cm="1">
        <f t="array" ref="R138">IF($C138="","",SUMPRODUCT((TEXT($AE$5:$OE$5, "mmm")=LOWER(Q$3))*$AE138:$OE138))</f>
        <v/>
      </c>
      <c r="S138" s="34"/>
      <c r="T138" s="34" t="str" cm="1">
        <f t="array" ref="T138">IF($C138="","",SUMPRODUCT((TEXT($AE$5:$OE$5, "mmm")=LOWER(S$3))*$AE138:$OE138))</f>
        <v/>
      </c>
      <c r="U138" s="34"/>
      <c r="V138" s="34" t="str" cm="1">
        <f t="array" ref="V138">IF($C138="","",SUMPRODUCT((TEXT($AE$5:$OE$5, "mmm")=LOWER(U$3))*$AE138:$OE138))</f>
        <v/>
      </c>
      <c r="W138" s="34"/>
      <c r="X138" s="34" t="str" cm="1">
        <f t="array" ref="X138">IF($C138="","",SUMPRODUCT((TEXT($AE$5:$OE$5, "mmm")=LOWER(W$3))*$AE138:$OE138))</f>
        <v/>
      </c>
      <c r="Y138" s="34"/>
      <c r="Z138" s="34" t="str" cm="1">
        <f t="array" ref="Z138">IF($C138="","",SUMPRODUCT((TEXT($AE$5:$OE$5, "mmm")=LOWER(Y$3))*$AE138:$OE138))</f>
        <v/>
      </c>
      <c r="AA138" s="34"/>
      <c r="AB138" s="34" t="str" cm="1">
        <f t="array" ref="AB138">IF($C138="","",SUMPRODUCT((TEXT($AE$5:$OE$5, "mmm")=LOWER(AA$3))*$AE138:$OE138))</f>
        <v/>
      </c>
      <c r="AC138" s="34"/>
      <c r="AD138" s="34" t="str" cm="1">
        <f t="array" ref="AD138">IF($C138="","",SUMPRODUCT((TEXT($AE$5:$OE$5, "mmm")=LOWER(AC$3))*$AE138:$OE138))</f>
        <v/>
      </c>
      <c r="OE138" s="49"/>
    </row>
    <row r="139" spans="1:395">
      <c r="A139" s="35"/>
      <c r="C139" s="2" t="str">
        <f>IF(ISBLANK($B139),"",_xlfn.XLOOKUP($B139,Task_No,Project!$C$3:$C$144,"INVALID TASK"))</f>
        <v/>
      </c>
      <c r="E139" s="7" t="str">
        <f t="shared" si="21"/>
        <v/>
      </c>
      <c r="F139" s="7" t="str">
        <f t="shared" si="20"/>
        <v/>
      </c>
      <c r="G139" s="34"/>
      <c r="H139" s="34" t="str" cm="1">
        <f t="array" ref="H139">IF($C139="","",SUMPRODUCT((TEXT($AE$5:$OE$5, "mmm")=LOWER(G$3))*$AE139:$OE139))</f>
        <v/>
      </c>
      <c r="I139" s="34"/>
      <c r="J139" s="34" t="str" cm="1">
        <f t="array" ref="J139">IF($C139="","",SUMPRODUCT((TEXT($AE$5:$OE$5, "mmm")=LOWER(I$3))*$AE139:$OE139))</f>
        <v/>
      </c>
      <c r="K139" s="34"/>
      <c r="L139" s="34" t="str" cm="1">
        <f t="array" ref="L139">IF($C139="","",SUMPRODUCT((TEXT($AE$5:$OE$5, "mmm")=LOWER(K$3))*$AE139:$OE139))</f>
        <v/>
      </c>
      <c r="M139" s="34"/>
      <c r="N139" s="34" t="str" cm="1">
        <f t="array" ref="N139">IF($C139="","",SUMPRODUCT((TEXT($AE$5:$OE$5, "mmm")=LOWER(M$3))*$AE139:$OE139))</f>
        <v/>
      </c>
      <c r="O139" s="34"/>
      <c r="P139" s="34" t="str" cm="1">
        <f t="array" ref="P139">IF($C139="","",SUMPRODUCT((TEXT($AE$5:$OE$5, "mmm")=LOWER(O$3))*$AE139:$OE139))</f>
        <v/>
      </c>
      <c r="Q139" s="34"/>
      <c r="R139" s="34" t="str" cm="1">
        <f t="array" ref="R139">IF($C139="","",SUMPRODUCT((TEXT($AE$5:$OE$5, "mmm")=LOWER(Q$3))*$AE139:$OE139))</f>
        <v/>
      </c>
      <c r="S139" s="34"/>
      <c r="T139" s="34" t="str" cm="1">
        <f t="array" ref="T139">IF($C139="","",SUMPRODUCT((TEXT($AE$5:$OE$5, "mmm")=LOWER(S$3))*$AE139:$OE139))</f>
        <v/>
      </c>
      <c r="U139" s="34"/>
      <c r="V139" s="34" t="str" cm="1">
        <f t="array" ref="V139">IF($C139="","",SUMPRODUCT((TEXT($AE$5:$OE$5, "mmm")=LOWER(U$3))*$AE139:$OE139))</f>
        <v/>
      </c>
      <c r="W139" s="34"/>
      <c r="X139" s="34" t="str" cm="1">
        <f t="array" ref="X139">IF($C139="","",SUMPRODUCT((TEXT($AE$5:$OE$5, "mmm")=LOWER(W$3))*$AE139:$OE139))</f>
        <v/>
      </c>
      <c r="Y139" s="34"/>
      <c r="Z139" s="34" t="str" cm="1">
        <f t="array" ref="Z139">IF($C139="","",SUMPRODUCT((TEXT($AE$5:$OE$5, "mmm")=LOWER(Y$3))*$AE139:$OE139))</f>
        <v/>
      </c>
      <c r="AA139" s="34"/>
      <c r="AB139" s="34" t="str" cm="1">
        <f t="array" ref="AB139">IF($C139="","",SUMPRODUCT((TEXT($AE$5:$OE$5, "mmm")=LOWER(AA$3))*$AE139:$OE139))</f>
        <v/>
      </c>
      <c r="AC139" s="34"/>
      <c r="AD139" s="34" t="str" cm="1">
        <f t="array" ref="AD139">IF($C139="","",SUMPRODUCT((TEXT($AE$5:$OE$5, "mmm")=LOWER(AC$3))*$AE139:$OE139))</f>
        <v/>
      </c>
      <c r="OE139" s="49"/>
    </row>
    <row r="140" spans="1:395">
      <c r="A140" s="35"/>
      <c r="C140" s="2" t="str">
        <f>IF(ISBLANK($B140),"",_xlfn.XLOOKUP($B140,Task_No,Project!$C$3:$C$144,"INVALID TASK"))</f>
        <v/>
      </c>
      <c r="E140" s="7" t="str">
        <f t="shared" si="21"/>
        <v/>
      </c>
      <c r="F140" s="7" t="str">
        <f t="shared" si="20"/>
        <v/>
      </c>
      <c r="G140" s="34"/>
      <c r="H140" s="34" t="str" cm="1">
        <f t="array" ref="H140">IF($C140="","",SUMPRODUCT((TEXT($AE$5:$OE$5, "mmm")=LOWER(G$3))*$AE140:$OE140))</f>
        <v/>
      </c>
      <c r="I140" s="34"/>
      <c r="J140" s="34" t="str" cm="1">
        <f t="array" ref="J140">IF($C140="","",SUMPRODUCT((TEXT($AE$5:$OE$5, "mmm")=LOWER(I$3))*$AE140:$OE140))</f>
        <v/>
      </c>
      <c r="K140" s="34"/>
      <c r="L140" s="34" t="str" cm="1">
        <f t="array" ref="L140">IF($C140="","",SUMPRODUCT((TEXT($AE$5:$OE$5, "mmm")=LOWER(K$3))*$AE140:$OE140))</f>
        <v/>
      </c>
      <c r="M140" s="34"/>
      <c r="N140" s="34" t="str" cm="1">
        <f t="array" ref="N140">IF($C140="","",SUMPRODUCT((TEXT($AE$5:$OE$5, "mmm")=LOWER(M$3))*$AE140:$OE140))</f>
        <v/>
      </c>
      <c r="O140" s="34"/>
      <c r="P140" s="34" t="str" cm="1">
        <f t="array" ref="P140">IF($C140="","",SUMPRODUCT((TEXT($AE$5:$OE$5, "mmm")=LOWER(O$3))*$AE140:$OE140))</f>
        <v/>
      </c>
      <c r="Q140" s="34"/>
      <c r="R140" s="34" t="str" cm="1">
        <f t="array" ref="R140">IF($C140="","",SUMPRODUCT((TEXT($AE$5:$OE$5, "mmm")=LOWER(Q$3))*$AE140:$OE140))</f>
        <v/>
      </c>
      <c r="S140" s="34"/>
      <c r="T140" s="34" t="str" cm="1">
        <f t="array" ref="T140">IF($C140="","",SUMPRODUCT((TEXT($AE$5:$OE$5, "mmm")=LOWER(S$3))*$AE140:$OE140))</f>
        <v/>
      </c>
      <c r="U140" s="34"/>
      <c r="V140" s="34" t="str" cm="1">
        <f t="array" ref="V140">IF($C140="","",SUMPRODUCT((TEXT($AE$5:$OE$5, "mmm")=LOWER(U$3))*$AE140:$OE140))</f>
        <v/>
      </c>
      <c r="W140" s="34"/>
      <c r="X140" s="34" t="str" cm="1">
        <f t="array" ref="X140">IF($C140="","",SUMPRODUCT((TEXT($AE$5:$OE$5, "mmm")=LOWER(W$3))*$AE140:$OE140))</f>
        <v/>
      </c>
      <c r="Y140" s="34"/>
      <c r="Z140" s="34" t="str" cm="1">
        <f t="array" ref="Z140">IF($C140="","",SUMPRODUCT((TEXT($AE$5:$OE$5, "mmm")=LOWER(Y$3))*$AE140:$OE140))</f>
        <v/>
      </c>
      <c r="AA140" s="34"/>
      <c r="AB140" s="34" t="str" cm="1">
        <f t="array" ref="AB140">IF($C140="","",SUMPRODUCT((TEXT($AE$5:$OE$5, "mmm")=LOWER(AA$3))*$AE140:$OE140))</f>
        <v/>
      </c>
      <c r="AC140" s="34"/>
      <c r="AD140" s="34" t="str" cm="1">
        <f t="array" ref="AD140">IF($C140="","",SUMPRODUCT((TEXT($AE$5:$OE$5, "mmm")=LOWER(AC$3))*$AE140:$OE140))</f>
        <v/>
      </c>
      <c r="OE140" s="49"/>
    </row>
    <row r="141" spans="1:395">
      <c r="A141" s="35"/>
      <c r="C141" s="2" t="str">
        <f>IF(ISBLANK($B141),"",_xlfn.XLOOKUP($B141,Task_No,Project!$C$3:$C$144,"INVALID TASK"))</f>
        <v/>
      </c>
      <c r="E141" s="7" t="str">
        <f t="shared" si="21"/>
        <v/>
      </c>
      <c r="F141" s="7" t="str">
        <f t="shared" si="20"/>
        <v/>
      </c>
      <c r="G141" s="34"/>
      <c r="H141" s="34" t="str" cm="1">
        <f t="array" ref="H141">IF($C141="","",SUMPRODUCT((TEXT($AE$5:$OE$5, "mmm")=LOWER(G$3))*$AE141:$OE141))</f>
        <v/>
      </c>
      <c r="I141" s="34"/>
      <c r="J141" s="34" t="str" cm="1">
        <f t="array" ref="J141">IF($C141="","",SUMPRODUCT((TEXT($AE$5:$OE$5, "mmm")=LOWER(I$3))*$AE141:$OE141))</f>
        <v/>
      </c>
      <c r="K141" s="34"/>
      <c r="L141" s="34" t="str" cm="1">
        <f t="array" ref="L141">IF($C141="","",SUMPRODUCT((TEXT($AE$5:$OE$5, "mmm")=LOWER(K$3))*$AE141:$OE141))</f>
        <v/>
      </c>
      <c r="M141" s="34"/>
      <c r="N141" s="34" t="str" cm="1">
        <f t="array" ref="N141">IF($C141="","",SUMPRODUCT((TEXT($AE$5:$OE$5, "mmm")=LOWER(M$3))*$AE141:$OE141))</f>
        <v/>
      </c>
      <c r="O141" s="34"/>
      <c r="P141" s="34" t="str" cm="1">
        <f t="array" ref="P141">IF($C141="","",SUMPRODUCT((TEXT($AE$5:$OE$5, "mmm")=LOWER(O$3))*$AE141:$OE141))</f>
        <v/>
      </c>
      <c r="Q141" s="34"/>
      <c r="R141" s="34" t="str" cm="1">
        <f t="array" ref="R141">IF($C141="","",SUMPRODUCT((TEXT($AE$5:$OE$5, "mmm")=LOWER(Q$3))*$AE141:$OE141))</f>
        <v/>
      </c>
      <c r="S141" s="34"/>
      <c r="T141" s="34" t="str" cm="1">
        <f t="array" ref="T141">IF($C141="","",SUMPRODUCT((TEXT($AE$5:$OE$5, "mmm")=LOWER(S$3))*$AE141:$OE141))</f>
        <v/>
      </c>
      <c r="U141" s="34"/>
      <c r="V141" s="34" t="str" cm="1">
        <f t="array" ref="V141">IF($C141="","",SUMPRODUCT((TEXT($AE$5:$OE$5, "mmm")=LOWER(U$3))*$AE141:$OE141))</f>
        <v/>
      </c>
      <c r="W141" s="34"/>
      <c r="X141" s="34" t="str" cm="1">
        <f t="array" ref="X141">IF($C141="","",SUMPRODUCT((TEXT($AE$5:$OE$5, "mmm")=LOWER(W$3))*$AE141:$OE141))</f>
        <v/>
      </c>
      <c r="Y141" s="34"/>
      <c r="Z141" s="34" t="str" cm="1">
        <f t="array" ref="Z141">IF($C141="","",SUMPRODUCT((TEXT($AE$5:$OE$5, "mmm")=LOWER(Y$3))*$AE141:$OE141))</f>
        <v/>
      </c>
      <c r="AA141" s="34"/>
      <c r="AB141" s="34" t="str" cm="1">
        <f t="array" ref="AB141">IF($C141="","",SUMPRODUCT((TEXT($AE$5:$OE$5, "mmm")=LOWER(AA$3))*$AE141:$OE141))</f>
        <v/>
      </c>
      <c r="AC141" s="34"/>
      <c r="AD141" s="34" t="str" cm="1">
        <f t="array" ref="AD141">IF($C141="","",SUMPRODUCT((TEXT($AE$5:$OE$5, "mmm")=LOWER(AC$3))*$AE141:$OE141))</f>
        <v/>
      </c>
      <c r="OE141" s="49"/>
    </row>
    <row r="142" spans="1:395">
      <c r="A142" s="35"/>
      <c r="C142" s="2" t="str">
        <f>IF(ISBLANK($B142),"",_xlfn.XLOOKUP($B142,Task_No,Project!$C$3:$C$144,"INVALID TASK"))</f>
        <v/>
      </c>
      <c r="E142" s="7" t="str">
        <f t="shared" si="21"/>
        <v/>
      </c>
      <c r="F142" s="7" t="str">
        <f t="shared" si="20"/>
        <v/>
      </c>
      <c r="G142" s="34"/>
      <c r="H142" s="34" t="str" cm="1">
        <f t="array" ref="H142">IF($C142="","",SUMPRODUCT((TEXT($AE$5:$OE$5, "mmm")=LOWER(G$3))*$AE142:$OE142))</f>
        <v/>
      </c>
      <c r="I142" s="34"/>
      <c r="J142" s="34" t="str" cm="1">
        <f t="array" ref="J142">IF($C142="","",SUMPRODUCT((TEXT($AE$5:$OE$5, "mmm")=LOWER(I$3))*$AE142:$OE142))</f>
        <v/>
      </c>
      <c r="K142" s="34"/>
      <c r="L142" s="34" t="str" cm="1">
        <f t="array" ref="L142">IF($C142="","",SUMPRODUCT((TEXT($AE$5:$OE$5, "mmm")=LOWER(K$3))*$AE142:$OE142))</f>
        <v/>
      </c>
      <c r="M142" s="34"/>
      <c r="N142" s="34" t="str" cm="1">
        <f t="array" ref="N142">IF($C142="","",SUMPRODUCT((TEXT($AE$5:$OE$5, "mmm")=LOWER(M$3))*$AE142:$OE142))</f>
        <v/>
      </c>
      <c r="O142" s="34"/>
      <c r="P142" s="34" t="str" cm="1">
        <f t="array" ref="P142">IF($C142="","",SUMPRODUCT((TEXT($AE$5:$OE$5, "mmm")=LOWER(O$3))*$AE142:$OE142))</f>
        <v/>
      </c>
      <c r="Q142" s="34"/>
      <c r="R142" s="34" t="str" cm="1">
        <f t="array" ref="R142">IF($C142="","",SUMPRODUCT((TEXT($AE$5:$OE$5, "mmm")=LOWER(Q$3))*$AE142:$OE142))</f>
        <v/>
      </c>
      <c r="S142" s="34"/>
      <c r="T142" s="34" t="str" cm="1">
        <f t="array" ref="T142">IF($C142="","",SUMPRODUCT((TEXT($AE$5:$OE$5, "mmm")=LOWER(S$3))*$AE142:$OE142))</f>
        <v/>
      </c>
      <c r="U142" s="34"/>
      <c r="V142" s="34" t="str" cm="1">
        <f t="array" ref="V142">IF($C142="","",SUMPRODUCT((TEXT($AE$5:$OE$5, "mmm")=LOWER(U$3))*$AE142:$OE142))</f>
        <v/>
      </c>
      <c r="W142" s="34"/>
      <c r="X142" s="34" t="str" cm="1">
        <f t="array" ref="X142">IF($C142="","",SUMPRODUCT((TEXT($AE$5:$OE$5, "mmm")=LOWER(W$3))*$AE142:$OE142))</f>
        <v/>
      </c>
      <c r="Y142" s="34"/>
      <c r="Z142" s="34" t="str" cm="1">
        <f t="array" ref="Z142">IF($C142="","",SUMPRODUCT((TEXT($AE$5:$OE$5, "mmm")=LOWER(Y$3))*$AE142:$OE142))</f>
        <v/>
      </c>
      <c r="AA142" s="34"/>
      <c r="AB142" s="34" t="str" cm="1">
        <f t="array" ref="AB142">IF($C142="","",SUMPRODUCT((TEXT($AE$5:$OE$5, "mmm")=LOWER(AA$3))*$AE142:$OE142))</f>
        <v/>
      </c>
      <c r="AC142" s="34"/>
      <c r="AD142" s="34" t="str" cm="1">
        <f t="array" ref="AD142">IF($C142="","",SUMPRODUCT((TEXT($AE$5:$OE$5, "mmm")=LOWER(AC$3))*$AE142:$OE142))</f>
        <v/>
      </c>
      <c r="OE142" s="49"/>
    </row>
    <row r="143" spans="1:395">
      <c r="A143" s="35"/>
      <c r="C143" s="2" t="str">
        <f>IF(ISBLANK($B143),"",_xlfn.XLOOKUP($B143,Task_No,Project!$C$3:$C$144,"INVALID TASK"))</f>
        <v/>
      </c>
      <c r="E143" s="7" t="str">
        <f t="shared" si="21"/>
        <v/>
      </c>
      <c r="F143" s="7" t="str">
        <f t="shared" ref="F143:F149" si="22">IF(C143 = "", "", SUM($H143,$J143,$L143,$N143,$P143,$R143,$T143,$V143,$X143,$Z143,$AB143,$AD143))</f>
        <v/>
      </c>
      <c r="G143" s="34"/>
      <c r="H143" s="34" t="str" cm="1">
        <f t="array" ref="H143">IF($C143="","",SUMPRODUCT((TEXT($AE$5:$OE$5, "mmm")=LOWER(G$3))*$AE143:$OE143))</f>
        <v/>
      </c>
      <c r="I143" s="34"/>
      <c r="J143" s="34" t="str" cm="1">
        <f t="array" ref="J143">IF($C143="","",SUMPRODUCT((TEXT($AE$5:$OE$5, "mmm")=LOWER(I$3))*$AE143:$OE143))</f>
        <v/>
      </c>
      <c r="K143" s="34"/>
      <c r="L143" s="34" t="str" cm="1">
        <f t="array" ref="L143">IF($C143="","",SUMPRODUCT((TEXT($AE$5:$OE$5, "mmm")=LOWER(K$3))*$AE143:$OE143))</f>
        <v/>
      </c>
      <c r="M143" s="34"/>
      <c r="N143" s="34" t="str" cm="1">
        <f t="array" ref="N143">IF($C143="","",SUMPRODUCT((TEXT($AE$5:$OE$5, "mmm")=LOWER(M$3))*$AE143:$OE143))</f>
        <v/>
      </c>
      <c r="O143" s="34"/>
      <c r="P143" s="34" t="str" cm="1">
        <f t="array" ref="P143">IF($C143="","",SUMPRODUCT((TEXT($AE$5:$OE$5, "mmm")=LOWER(O$3))*$AE143:$OE143))</f>
        <v/>
      </c>
      <c r="Q143" s="34"/>
      <c r="R143" s="34" t="str" cm="1">
        <f t="array" ref="R143">IF($C143="","",SUMPRODUCT((TEXT($AE$5:$OE$5, "mmm")=LOWER(Q$3))*$AE143:$OE143))</f>
        <v/>
      </c>
      <c r="S143" s="34"/>
      <c r="T143" s="34" t="str" cm="1">
        <f t="array" ref="T143">IF($C143="","",SUMPRODUCT((TEXT($AE$5:$OE$5, "mmm")=LOWER(S$3))*$AE143:$OE143))</f>
        <v/>
      </c>
      <c r="U143" s="34"/>
      <c r="V143" s="34" t="str" cm="1">
        <f t="array" ref="V143">IF($C143="","",SUMPRODUCT((TEXT($AE$5:$OE$5, "mmm")=LOWER(U$3))*$AE143:$OE143))</f>
        <v/>
      </c>
      <c r="W143" s="34"/>
      <c r="X143" s="34" t="str" cm="1">
        <f t="array" ref="X143">IF($C143="","",SUMPRODUCT((TEXT($AE$5:$OE$5, "mmm")=LOWER(W$3))*$AE143:$OE143))</f>
        <v/>
      </c>
      <c r="Y143" s="34"/>
      <c r="Z143" s="34" t="str" cm="1">
        <f t="array" ref="Z143">IF($C143="","",SUMPRODUCT((TEXT($AE$5:$OE$5, "mmm")=LOWER(Y$3))*$AE143:$OE143))</f>
        <v/>
      </c>
      <c r="AA143" s="34"/>
      <c r="AB143" s="34" t="str" cm="1">
        <f t="array" ref="AB143">IF($C143="","",SUMPRODUCT((TEXT($AE$5:$OE$5, "mmm")=LOWER(AA$3))*$AE143:$OE143))</f>
        <v/>
      </c>
      <c r="AC143" s="34"/>
      <c r="AD143" s="34" t="str" cm="1">
        <f t="array" ref="AD143">IF($C143="","",SUMPRODUCT((TEXT($AE$5:$OE$5, "mmm")=LOWER(AC$3))*$AE143:$OE143))</f>
        <v/>
      </c>
      <c r="OE143" s="49"/>
    </row>
    <row r="144" spans="1:395">
      <c r="A144" s="35"/>
      <c r="C144" s="2" t="str">
        <f>IF(ISBLANK($B144),"",_xlfn.XLOOKUP($B144,Task_No,Project!$C$3:$C$144,"INVALID TASK"))</f>
        <v/>
      </c>
      <c r="E144" s="7" t="str">
        <f t="shared" si="21"/>
        <v/>
      </c>
      <c r="F144" s="7" t="str">
        <f t="shared" si="22"/>
        <v/>
      </c>
      <c r="G144" s="34"/>
      <c r="H144" s="34" t="str" cm="1">
        <f t="array" ref="H144">IF($C144="","",SUMPRODUCT((TEXT($AE$5:$OE$5, "mmm")=LOWER(G$3))*$AE144:$OE144))</f>
        <v/>
      </c>
      <c r="I144" s="34"/>
      <c r="J144" s="34" t="str" cm="1">
        <f t="array" ref="J144">IF($C144="","",SUMPRODUCT((TEXT($AE$5:$OE$5, "mmm")=LOWER(I$3))*$AE144:$OE144))</f>
        <v/>
      </c>
      <c r="K144" s="34"/>
      <c r="L144" s="34" t="str" cm="1">
        <f t="array" ref="L144">IF($C144="","",SUMPRODUCT((TEXT($AE$5:$OE$5, "mmm")=LOWER(K$3))*$AE144:$OE144))</f>
        <v/>
      </c>
      <c r="M144" s="34"/>
      <c r="N144" s="34" t="str" cm="1">
        <f t="array" ref="N144">IF($C144="","",SUMPRODUCT((TEXT($AE$5:$OE$5, "mmm")=LOWER(M$3))*$AE144:$OE144))</f>
        <v/>
      </c>
      <c r="O144" s="34"/>
      <c r="P144" s="34" t="str" cm="1">
        <f t="array" ref="P144">IF($C144="","",SUMPRODUCT((TEXT($AE$5:$OE$5, "mmm")=LOWER(O$3))*$AE144:$OE144))</f>
        <v/>
      </c>
      <c r="Q144" s="34"/>
      <c r="R144" s="34" t="str" cm="1">
        <f t="array" ref="R144">IF($C144="","",SUMPRODUCT((TEXT($AE$5:$OE$5, "mmm")=LOWER(Q$3))*$AE144:$OE144))</f>
        <v/>
      </c>
      <c r="S144" s="34"/>
      <c r="T144" s="34" t="str" cm="1">
        <f t="array" ref="T144">IF($C144="","",SUMPRODUCT((TEXT($AE$5:$OE$5, "mmm")=LOWER(S$3))*$AE144:$OE144))</f>
        <v/>
      </c>
      <c r="U144" s="34"/>
      <c r="V144" s="34" t="str" cm="1">
        <f t="array" ref="V144">IF($C144="","",SUMPRODUCT((TEXT($AE$5:$OE$5, "mmm")=LOWER(U$3))*$AE144:$OE144))</f>
        <v/>
      </c>
      <c r="W144" s="34"/>
      <c r="X144" s="34" t="str" cm="1">
        <f t="array" ref="X144">IF($C144="","",SUMPRODUCT((TEXT($AE$5:$OE$5, "mmm")=LOWER(W$3))*$AE144:$OE144))</f>
        <v/>
      </c>
      <c r="Y144" s="34"/>
      <c r="Z144" s="34" t="str" cm="1">
        <f t="array" ref="Z144">IF($C144="","",SUMPRODUCT((TEXT($AE$5:$OE$5, "mmm")=LOWER(Y$3))*$AE144:$OE144))</f>
        <v/>
      </c>
      <c r="AA144" s="34"/>
      <c r="AB144" s="34" t="str" cm="1">
        <f t="array" ref="AB144">IF($C144="","",SUMPRODUCT((TEXT($AE$5:$OE$5, "mmm")=LOWER(AA$3))*$AE144:$OE144))</f>
        <v/>
      </c>
      <c r="AC144" s="34"/>
      <c r="AD144" s="34" t="str" cm="1">
        <f t="array" ref="AD144">IF($C144="","",SUMPRODUCT((TEXT($AE$5:$OE$5, "mmm")=LOWER(AC$3))*$AE144:$OE144))</f>
        <v/>
      </c>
      <c r="OE144" s="49"/>
    </row>
    <row r="145" spans="1:395">
      <c r="A145" s="35"/>
      <c r="C145" s="2" t="str">
        <f>IF(ISBLANK($B145),"",_xlfn.XLOOKUP($B145,Task_No,Project!$C$3:$C$144,"INVALID TASK"))</f>
        <v/>
      </c>
      <c r="E145" s="7" t="str">
        <f t="shared" si="21"/>
        <v/>
      </c>
      <c r="F145" s="7" t="str">
        <f t="shared" si="22"/>
        <v/>
      </c>
      <c r="G145" s="34"/>
      <c r="H145" s="34" t="str" cm="1">
        <f t="array" ref="H145">IF($C145="","",SUMPRODUCT((TEXT($AE$5:$OE$5, "mmm")=LOWER(G$3))*$AE145:$OE145))</f>
        <v/>
      </c>
      <c r="I145" s="34"/>
      <c r="J145" s="34" t="str" cm="1">
        <f t="array" ref="J145">IF($C145="","",SUMPRODUCT((TEXT($AE$5:$OE$5, "mmm")=LOWER(I$3))*$AE145:$OE145))</f>
        <v/>
      </c>
      <c r="K145" s="34"/>
      <c r="L145" s="34" t="str" cm="1">
        <f t="array" ref="L145">IF($C145="","",SUMPRODUCT((TEXT($AE$5:$OE$5, "mmm")=LOWER(K$3))*$AE145:$OE145))</f>
        <v/>
      </c>
      <c r="M145" s="34"/>
      <c r="N145" s="34" t="str" cm="1">
        <f t="array" ref="N145">IF($C145="","",SUMPRODUCT((TEXT($AE$5:$OE$5, "mmm")=LOWER(M$3))*$AE145:$OE145))</f>
        <v/>
      </c>
      <c r="O145" s="34"/>
      <c r="P145" s="34" t="str" cm="1">
        <f t="array" ref="P145">IF($C145="","",SUMPRODUCT((TEXT($AE$5:$OE$5, "mmm")=LOWER(O$3))*$AE145:$OE145))</f>
        <v/>
      </c>
      <c r="Q145" s="34"/>
      <c r="R145" s="34" t="str" cm="1">
        <f t="array" ref="R145">IF($C145="","",SUMPRODUCT((TEXT($AE$5:$OE$5, "mmm")=LOWER(Q$3))*$AE145:$OE145))</f>
        <v/>
      </c>
      <c r="S145" s="34"/>
      <c r="T145" s="34" t="str" cm="1">
        <f t="array" ref="T145">IF($C145="","",SUMPRODUCT((TEXT($AE$5:$OE$5, "mmm")=LOWER(S$3))*$AE145:$OE145))</f>
        <v/>
      </c>
      <c r="U145" s="34"/>
      <c r="V145" s="34" t="str" cm="1">
        <f t="array" ref="V145">IF($C145="","",SUMPRODUCT((TEXT($AE$5:$OE$5, "mmm")=LOWER(U$3))*$AE145:$OE145))</f>
        <v/>
      </c>
      <c r="W145" s="34"/>
      <c r="X145" s="34" t="str" cm="1">
        <f t="array" ref="X145">IF($C145="","",SUMPRODUCT((TEXT($AE$5:$OE$5, "mmm")=LOWER(W$3))*$AE145:$OE145))</f>
        <v/>
      </c>
      <c r="Y145" s="34"/>
      <c r="Z145" s="34" t="str" cm="1">
        <f t="array" ref="Z145">IF($C145="","",SUMPRODUCT((TEXT($AE$5:$OE$5, "mmm")=LOWER(Y$3))*$AE145:$OE145))</f>
        <v/>
      </c>
      <c r="AA145" s="34"/>
      <c r="AB145" s="34" t="str" cm="1">
        <f t="array" ref="AB145">IF($C145="","",SUMPRODUCT((TEXT($AE$5:$OE$5, "mmm")=LOWER(AA$3))*$AE145:$OE145))</f>
        <v/>
      </c>
      <c r="AC145" s="34"/>
      <c r="AD145" s="34" t="str" cm="1">
        <f t="array" ref="AD145">IF($C145="","",SUMPRODUCT((TEXT($AE$5:$OE$5, "mmm")=LOWER(AC$3))*$AE145:$OE145))</f>
        <v/>
      </c>
      <c r="OE145" s="49"/>
    </row>
    <row r="146" spans="1:395">
      <c r="A146" s="35"/>
      <c r="C146" s="2" t="str">
        <f>IF(ISBLANK($B146),"",_xlfn.XLOOKUP($B146,Task_No,Project!$C$3:$C$144,"INVALID TASK"))</f>
        <v/>
      </c>
      <c r="E146" s="7" t="str">
        <f t="shared" si="21"/>
        <v/>
      </c>
      <c r="F146" s="7" t="str">
        <f t="shared" si="22"/>
        <v/>
      </c>
      <c r="G146" s="34"/>
      <c r="H146" s="34" t="str" cm="1">
        <f t="array" ref="H146">IF($C146="","",SUMPRODUCT((TEXT($AE$5:$OE$5, "mmm")=LOWER(G$3))*$AE146:$OE146))</f>
        <v/>
      </c>
      <c r="I146" s="34"/>
      <c r="J146" s="34" t="str" cm="1">
        <f t="array" ref="J146">IF($C146="","",SUMPRODUCT((TEXT($AE$5:$OE$5, "mmm")=LOWER(I$3))*$AE146:$OE146))</f>
        <v/>
      </c>
      <c r="K146" s="34"/>
      <c r="L146" s="34" t="str" cm="1">
        <f t="array" ref="L146">IF($C146="","",SUMPRODUCT((TEXT($AE$5:$OE$5, "mmm")=LOWER(K$3))*$AE146:$OE146))</f>
        <v/>
      </c>
      <c r="M146" s="34"/>
      <c r="N146" s="34" t="str" cm="1">
        <f t="array" ref="N146">IF($C146="","",SUMPRODUCT((TEXT($AE$5:$OE$5, "mmm")=LOWER(M$3))*$AE146:$OE146))</f>
        <v/>
      </c>
      <c r="O146" s="34"/>
      <c r="P146" s="34" t="str" cm="1">
        <f t="array" ref="P146">IF($C146="","",SUMPRODUCT((TEXT($AE$5:$OE$5, "mmm")=LOWER(O$3))*$AE146:$OE146))</f>
        <v/>
      </c>
      <c r="Q146" s="34"/>
      <c r="R146" s="34" t="str" cm="1">
        <f t="array" ref="R146">IF($C146="","",SUMPRODUCT((TEXT($AE$5:$OE$5, "mmm")=LOWER(Q$3))*$AE146:$OE146))</f>
        <v/>
      </c>
      <c r="S146" s="34"/>
      <c r="T146" s="34" t="str" cm="1">
        <f t="array" ref="T146">IF($C146="","",SUMPRODUCT((TEXT($AE$5:$OE$5, "mmm")=LOWER(S$3))*$AE146:$OE146))</f>
        <v/>
      </c>
      <c r="U146" s="34"/>
      <c r="V146" s="34" t="str" cm="1">
        <f t="array" ref="V146">IF($C146="","",SUMPRODUCT((TEXT($AE$5:$OE$5, "mmm")=LOWER(U$3))*$AE146:$OE146))</f>
        <v/>
      </c>
      <c r="W146" s="34"/>
      <c r="X146" s="34" t="str" cm="1">
        <f t="array" ref="X146">IF($C146="","",SUMPRODUCT((TEXT($AE$5:$OE$5, "mmm")=LOWER(W$3))*$AE146:$OE146))</f>
        <v/>
      </c>
      <c r="Y146" s="34"/>
      <c r="Z146" s="34" t="str" cm="1">
        <f t="array" ref="Z146">IF($C146="","",SUMPRODUCT((TEXT($AE$5:$OE$5, "mmm")=LOWER(Y$3))*$AE146:$OE146))</f>
        <v/>
      </c>
      <c r="AA146" s="34"/>
      <c r="AB146" s="34" t="str" cm="1">
        <f t="array" ref="AB146">IF($C146="","",SUMPRODUCT((TEXT($AE$5:$OE$5, "mmm")=LOWER(AA$3))*$AE146:$OE146))</f>
        <v/>
      </c>
      <c r="AC146" s="34"/>
      <c r="AD146" s="34" t="str" cm="1">
        <f t="array" ref="AD146">IF($C146="","",SUMPRODUCT((TEXT($AE$5:$OE$5, "mmm")=LOWER(AC$3))*$AE146:$OE146))</f>
        <v/>
      </c>
      <c r="OE146" s="49"/>
    </row>
    <row r="147" spans="1:395">
      <c r="A147" s="35"/>
      <c r="C147" s="2" t="str">
        <f>IF(ISBLANK($B147),"",_xlfn.XLOOKUP($B147,Task_No,Project!$C$3:$C$144,"INVALID TASK"))</f>
        <v/>
      </c>
      <c r="E147" s="7" t="str">
        <f t="shared" ref="E147:E149" si="23">IF(C147="","",SUM($G147,$I147,$K147,$M147,$O147,$Q147,$S147,$U147,$W147,$Y147,$AA147,$AC147))</f>
        <v/>
      </c>
      <c r="F147" s="7" t="str">
        <f t="shared" si="22"/>
        <v/>
      </c>
      <c r="G147" s="34"/>
      <c r="H147" s="34" t="str" cm="1">
        <f t="array" ref="H147">IF($C147="","",SUMPRODUCT((TEXT($AE$5:$OE$5, "mmm")=LOWER(G$3))*$AE147:$OE147))</f>
        <v/>
      </c>
      <c r="I147" s="34"/>
      <c r="J147" s="34" t="str" cm="1">
        <f t="array" ref="J147">IF($C147="","",SUMPRODUCT((TEXT($AE$5:$OE$5, "mmm")=LOWER(I$3))*$AE147:$OE147))</f>
        <v/>
      </c>
      <c r="K147" s="34"/>
      <c r="L147" s="34" t="str" cm="1">
        <f t="array" ref="L147">IF($C147="","",SUMPRODUCT((TEXT($AE$5:$OE$5, "mmm")=LOWER(K$3))*$AE147:$OE147))</f>
        <v/>
      </c>
      <c r="M147" s="34"/>
      <c r="N147" s="34" t="str" cm="1">
        <f t="array" ref="N147">IF($C147="","",SUMPRODUCT((TEXT($AE$5:$OE$5, "mmm")=LOWER(M$3))*$AE147:$OE147))</f>
        <v/>
      </c>
      <c r="O147" s="34"/>
      <c r="P147" s="34" t="str" cm="1">
        <f t="array" ref="P147">IF($C147="","",SUMPRODUCT((TEXT($AE$5:$OE$5, "mmm")=LOWER(O$3))*$AE147:$OE147))</f>
        <v/>
      </c>
      <c r="Q147" s="34"/>
      <c r="R147" s="34" t="str" cm="1">
        <f t="array" ref="R147">IF($C147="","",SUMPRODUCT((TEXT($AE$5:$OE$5, "mmm")=LOWER(Q$3))*$AE147:$OE147))</f>
        <v/>
      </c>
      <c r="S147" s="34"/>
      <c r="T147" s="34" t="str" cm="1">
        <f t="array" ref="T147">IF($C147="","",SUMPRODUCT((TEXT($AE$5:$OE$5, "mmm")=LOWER(S$3))*$AE147:$OE147))</f>
        <v/>
      </c>
      <c r="U147" s="34"/>
      <c r="V147" s="34" t="str" cm="1">
        <f t="array" ref="V147">IF($C147="","",SUMPRODUCT((TEXT($AE$5:$OE$5, "mmm")=LOWER(U$3))*$AE147:$OE147))</f>
        <v/>
      </c>
      <c r="W147" s="34"/>
      <c r="X147" s="34" t="str" cm="1">
        <f t="array" ref="X147">IF($C147="","",SUMPRODUCT((TEXT($AE$5:$OE$5, "mmm")=LOWER(W$3))*$AE147:$OE147))</f>
        <v/>
      </c>
      <c r="Y147" s="34"/>
      <c r="Z147" s="34" t="str" cm="1">
        <f t="array" ref="Z147">IF($C147="","",SUMPRODUCT((TEXT($AE$5:$OE$5, "mmm")=LOWER(Y$3))*$AE147:$OE147))</f>
        <v/>
      </c>
      <c r="AA147" s="34"/>
      <c r="AB147" s="34" t="str" cm="1">
        <f t="array" ref="AB147">IF($C147="","",SUMPRODUCT((TEXT($AE$5:$OE$5, "mmm")=LOWER(AA$3))*$AE147:$OE147))</f>
        <v/>
      </c>
      <c r="AC147" s="34"/>
      <c r="AD147" s="34" t="str" cm="1">
        <f t="array" ref="AD147">IF($C147="","",SUMPRODUCT((TEXT($AE$5:$OE$5, "mmm")=LOWER(AC$3))*$AE147:$OE147))</f>
        <v/>
      </c>
      <c r="OE147" s="49"/>
    </row>
    <row r="148" spans="1:395">
      <c r="A148" s="35"/>
      <c r="C148" s="2" t="str">
        <f>IF(ISBLANK($B148),"",_xlfn.XLOOKUP($B148,Task_No,Project!$C$3:$C$144,"INVALID TASK"))</f>
        <v/>
      </c>
      <c r="E148" s="7" t="str">
        <f t="shared" si="23"/>
        <v/>
      </c>
      <c r="F148" s="7" t="str">
        <f t="shared" si="22"/>
        <v/>
      </c>
      <c r="G148" s="34"/>
      <c r="H148" s="34" t="str" cm="1">
        <f t="array" ref="H148">IF($C148="","",SUMPRODUCT((TEXT($AE$5:$OE$5, "mmm")=LOWER(G$3))*$AE148:$OE148))</f>
        <v/>
      </c>
      <c r="I148" s="34"/>
      <c r="J148" s="34" t="str" cm="1">
        <f t="array" ref="J148">IF($C148="","",SUMPRODUCT((TEXT($AE$5:$OE$5, "mmm")=LOWER(I$3))*$AE148:$OE148))</f>
        <v/>
      </c>
      <c r="K148" s="34"/>
      <c r="L148" s="34" t="str" cm="1">
        <f t="array" ref="L148">IF($C148="","",SUMPRODUCT((TEXT($AE$5:$OE$5, "mmm")=LOWER(K$3))*$AE148:$OE148))</f>
        <v/>
      </c>
      <c r="M148" s="34"/>
      <c r="N148" s="34" t="str" cm="1">
        <f t="array" ref="N148">IF($C148="","",SUMPRODUCT((TEXT($AE$5:$OE$5, "mmm")=LOWER(M$3))*$AE148:$OE148))</f>
        <v/>
      </c>
      <c r="O148" s="34"/>
      <c r="P148" s="34" t="str" cm="1">
        <f t="array" ref="P148">IF($C148="","",SUMPRODUCT((TEXT($AE$5:$OE$5, "mmm")=LOWER(O$3))*$AE148:$OE148))</f>
        <v/>
      </c>
      <c r="Q148" s="34"/>
      <c r="R148" s="34" t="str" cm="1">
        <f t="array" ref="R148">IF($C148="","",SUMPRODUCT((TEXT($AE$5:$OE$5, "mmm")=LOWER(Q$3))*$AE148:$OE148))</f>
        <v/>
      </c>
      <c r="S148" s="34"/>
      <c r="T148" s="34" t="str" cm="1">
        <f t="array" ref="T148">IF($C148="","",SUMPRODUCT((TEXT($AE$5:$OE$5, "mmm")=LOWER(S$3))*$AE148:$OE148))</f>
        <v/>
      </c>
      <c r="U148" s="34"/>
      <c r="V148" s="34" t="str" cm="1">
        <f t="array" ref="V148">IF($C148="","",SUMPRODUCT((TEXT($AE$5:$OE$5, "mmm")=LOWER(U$3))*$AE148:$OE148))</f>
        <v/>
      </c>
      <c r="W148" s="34"/>
      <c r="X148" s="34" t="str" cm="1">
        <f t="array" ref="X148">IF($C148="","",SUMPRODUCT((TEXT($AE$5:$OE$5, "mmm")=LOWER(W$3))*$AE148:$OE148))</f>
        <v/>
      </c>
      <c r="Y148" s="34"/>
      <c r="Z148" s="34" t="str" cm="1">
        <f t="array" ref="Z148">IF($C148="","",SUMPRODUCT((TEXT($AE$5:$OE$5, "mmm")=LOWER(Y$3))*$AE148:$OE148))</f>
        <v/>
      </c>
      <c r="AA148" s="34"/>
      <c r="AB148" s="34" t="str" cm="1">
        <f t="array" ref="AB148">IF($C148="","",SUMPRODUCT((TEXT($AE$5:$OE$5, "mmm")=LOWER(AA$3))*$AE148:$OE148))</f>
        <v/>
      </c>
      <c r="AC148" s="34"/>
      <c r="AD148" s="34" t="str" cm="1">
        <f t="array" ref="AD148">IF($C148="","",SUMPRODUCT((TEXT($AE$5:$OE$5, "mmm")=LOWER(AC$3))*$AE148:$OE148))</f>
        <v/>
      </c>
      <c r="OE148" s="49"/>
    </row>
    <row r="149" spans="1:395" ht="15" thickBot="1">
      <c r="A149" s="36"/>
      <c r="B149" s="50"/>
      <c r="C149" s="2" t="str">
        <f>IF(ISBLANK($B149),"",_xlfn.XLOOKUP($B149,Task_No,Project!$C$3:$C$144,"INVALID TASK"))</f>
        <v/>
      </c>
      <c r="D149" s="37"/>
      <c r="E149" s="38" t="str">
        <f t="shared" si="23"/>
        <v/>
      </c>
      <c r="F149" s="38" t="str">
        <f t="shared" si="22"/>
        <v/>
      </c>
      <c r="G149" s="45"/>
      <c r="H149" s="45" t="str" cm="1">
        <f t="array" ref="H149">IF($C149="","",SUMPRODUCT((TEXT($AE$5:$OE$5, "mmm")=LOWER(G$3))*$AE149:$OE149))</f>
        <v/>
      </c>
      <c r="I149" s="45"/>
      <c r="J149" s="45" t="str" cm="1">
        <f t="array" ref="J149">IF($C149="","",SUMPRODUCT((TEXT($AE$5:$OE$5, "mmm")=LOWER(I$3))*$AE149:$OE149))</f>
        <v/>
      </c>
      <c r="K149" s="45"/>
      <c r="L149" s="45" t="str" cm="1">
        <f t="array" ref="L149">IF($C149="","",SUMPRODUCT((TEXT($AE$5:$OE$5, "mmm")=LOWER(K$3))*$AE149:$OE149))</f>
        <v/>
      </c>
      <c r="M149" s="45"/>
      <c r="N149" s="45" t="str" cm="1">
        <f t="array" ref="N149">IF($C149="","",SUMPRODUCT((TEXT($AE$5:$OE$5, "mmm")=LOWER(M$3))*$AE149:$OE149))</f>
        <v/>
      </c>
      <c r="O149" s="45"/>
      <c r="P149" s="45" t="str" cm="1">
        <f t="array" ref="P149">IF($C149="","",SUMPRODUCT((TEXT($AE$5:$OE$5, "mmm")=LOWER(O$3))*$AE149:$OE149))</f>
        <v/>
      </c>
      <c r="Q149" s="45"/>
      <c r="R149" s="45" t="str" cm="1">
        <f t="array" ref="R149">IF($C149="","",SUMPRODUCT((TEXT($AE$5:$OE$5, "mmm")=LOWER(Q$3))*$AE149:$OE149))</f>
        <v/>
      </c>
      <c r="S149" s="45"/>
      <c r="T149" s="45" t="str" cm="1">
        <f t="array" ref="T149">IF($C149="","",SUMPRODUCT((TEXT($AE$5:$OE$5, "mmm")=LOWER(S$3))*$AE149:$OE149))</f>
        <v/>
      </c>
      <c r="U149" s="45"/>
      <c r="V149" s="45" t="str" cm="1">
        <f t="array" ref="V149">IF($C149="","",SUMPRODUCT((TEXT($AE$5:$OE$5, "mmm")=LOWER(U$3))*$AE149:$OE149))</f>
        <v/>
      </c>
      <c r="W149" s="45"/>
      <c r="X149" s="45" t="str" cm="1">
        <f t="array" ref="X149">IF($C149="","",SUMPRODUCT((TEXT($AE$5:$OE$5, "mmm")=LOWER(W$3))*$AE149:$OE149))</f>
        <v/>
      </c>
      <c r="Y149" s="45"/>
      <c r="Z149" s="45" t="str" cm="1">
        <f t="array" ref="Z149">IF($C149="","",SUMPRODUCT((TEXT($AE$5:$OE$5, "mmm")=LOWER(Y$3))*$AE149:$OE149))</f>
        <v/>
      </c>
      <c r="AA149" s="45"/>
      <c r="AB149" s="45" t="str" cm="1">
        <f t="array" ref="AB149">IF($C149="","",SUMPRODUCT((TEXT($AE$5:$OE$5, "mmm")=LOWER(AA$3))*$AE149:$OE149))</f>
        <v/>
      </c>
      <c r="AC149" s="45"/>
      <c r="AD149" s="45" t="str" cm="1">
        <f t="array" ref="AD149">IF($C149="","",SUMPRODUCT((TEXT($AE$5:$OE$5, "mmm")=LOWER(AC$3))*$AE149:$OE149))</f>
        <v/>
      </c>
      <c r="AE149" s="51"/>
      <c r="AF149" s="51"/>
      <c r="AG149" s="51"/>
      <c r="AH149" s="51"/>
      <c r="AI149" s="51"/>
      <c r="AJ149" s="51"/>
      <c r="AK149" s="51"/>
      <c r="AL149" s="51"/>
      <c r="AM149" s="51"/>
      <c r="AN149" s="51"/>
      <c r="AO149" s="51"/>
      <c r="AP149" s="51"/>
      <c r="AQ149" s="51"/>
      <c r="AR149" s="51"/>
      <c r="AS149" s="51"/>
      <c r="AT149" s="51"/>
      <c r="AU149" s="51"/>
      <c r="AV149" s="51"/>
      <c r="AW149" s="51"/>
      <c r="AX149" s="51"/>
      <c r="AY149" s="51"/>
      <c r="AZ149" s="51"/>
      <c r="BA149" s="51"/>
      <c r="BB149" s="51"/>
      <c r="BC149" s="51"/>
      <c r="BD149" s="51"/>
      <c r="BE149" s="51"/>
      <c r="BF149" s="51"/>
      <c r="BG149" s="51"/>
      <c r="BH149" s="51"/>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s="51"/>
      <c r="CE149" s="51"/>
      <c r="CF149" s="51"/>
      <c r="CG149" s="51"/>
      <c r="CH149" s="51"/>
      <c r="CI149" s="51"/>
      <c r="CJ149" s="51"/>
      <c r="CK149" s="51"/>
      <c r="CL149" s="51"/>
      <c r="CM149" s="51"/>
      <c r="CN149" s="51"/>
      <c r="CO149" s="51"/>
      <c r="CP149" s="51"/>
      <c r="CQ149" s="51"/>
      <c r="CR149" s="51"/>
      <c r="CS149" s="51"/>
      <c r="CT149" s="51"/>
      <c r="CU149" s="51"/>
      <c r="CV149" s="51"/>
      <c r="CW149" s="51"/>
      <c r="CX149" s="51"/>
      <c r="CY149" s="51"/>
      <c r="CZ149" s="51"/>
      <c r="DA149" s="51"/>
      <c r="DB149" s="51"/>
      <c r="DC149" s="51"/>
      <c r="DD149" s="51"/>
      <c r="DE149" s="51"/>
      <c r="DF149" s="51"/>
      <c r="DG149" s="51"/>
      <c r="DH149" s="51"/>
      <c r="DI149" s="51"/>
      <c r="DJ149" s="51"/>
      <c r="DK149" s="51"/>
      <c r="DL149" s="51"/>
      <c r="DM149" s="51"/>
      <c r="DN149" s="51"/>
      <c r="DO149" s="51"/>
      <c r="DP149" s="51"/>
      <c r="DQ149" s="51"/>
      <c r="DR149" s="51"/>
      <c r="DS149" s="51"/>
      <c r="DT149" s="51"/>
      <c r="DU149" s="51"/>
      <c r="DV149" s="51"/>
      <c r="DW149" s="51"/>
      <c r="DX149" s="51"/>
      <c r="DY149" s="51"/>
      <c r="DZ149" s="51"/>
      <c r="EA149" s="51"/>
      <c r="EB149" s="51"/>
      <c r="EC149" s="51"/>
      <c r="ED149" s="51"/>
      <c r="EE149" s="51"/>
      <c r="EF149" s="51"/>
      <c r="EG149" s="51"/>
      <c r="EH149" s="51"/>
      <c r="EI149" s="51"/>
      <c r="EJ149" s="51"/>
      <c r="EK149" s="51"/>
      <c r="EL149" s="51"/>
      <c r="EM149" s="51"/>
      <c r="EN149" s="51"/>
      <c r="EO149" s="51"/>
      <c r="EP149" s="51"/>
      <c r="EQ149" s="51"/>
      <c r="ER149" s="51"/>
      <c r="ES149" s="51"/>
      <c r="ET149" s="51"/>
      <c r="EU149" s="51"/>
      <c r="EV149" s="51"/>
      <c r="EW149" s="51"/>
      <c r="EX149" s="51"/>
      <c r="EY149" s="51"/>
      <c r="EZ149" s="51"/>
      <c r="FA149" s="51"/>
      <c r="FB149" s="51"/>
      <c r="FC149" s="51"/>
      <c r="FD149" s="51"/>
      <c r="FE149" s="51"/>
      <c r="FF149" s="51"/>
      <c r="FG149" s="51"/>
      <c r="FH149" s="51"/>
      <c r="FI149" s="51"/>
      <c r="FJ149" s="51"/>
      <c r="FK149" s="51"/>
      <c r="FL149" s="51"/>
      <c r="FM149" s="51"/>
      <c r="FN149" s="51"/>
      <c r="FO149" s="51"/>
      <c r="FP149" s="51"/>
      <c r="FQ149" s="51"/>
      <c r="FR149" s="51"/>
      <c r="FS149" s="51"/>
      <c r="FT149" s="51"/>
      <c r="FU149" s="51"/>
      <c r="FV149" s="51"/>
      <c r="FW149" s="51"/>
      <c r="FX149" s="51"/>
      <c r="FY149" s="51"/>
      <c r="FZ149" s="51"/>
      <c r="GA149" s="51"/>
      <c r="GB149" s="51"/>
      <c r="GC149" s="51"/>
      <c r="GD149" s="51"/>
      <c r="GE149" s="51"/>
      <c r="GF149" s="51"/>
      <c r="GG149" s="51"/>
      <c r="GH149" s="51"/>
      <c r="GI149" s="51"/>
      <c r="GJ149" s="51"/>
      <c r="GK149" s="51"/>
      <c r="GL149" s="51"/>
      <c r="GM149" s="51"/>
      <c r="GN149" s="51"/>
      <c r="GO149" s="51"/>
      <c r="GP149" s="51"/>
      <c r="GQ149" s="51"/>
      <c r="GR149" s="51"/>
      <c r="GS149" s="51"/>
      <c r="GT149" s="51"/>
      <c r="GU149" s="51"/>
      <c r="GV149" s="51"/>
      <c r="GW149" s="51"/>
      <c r="GX149" s="51"/>
      <c r="GY149" s="51"/>
      <c r="GZ149" s="51"/>
      <c r="HA149" s="51"/>
      <c r="HB149" s="51"/>
      <c r="HC149" s="51"/>
      <c r="HD149" s="51"/>
      <c r="HE149" s="51"/>
      <c r="HF149" s="51"/>
      <c r="HG149" s="51"/>
      <c r="HH149" s="51"/>
      <c r="HI149" s="51"/>
      <c r="HJ149" s="51"/>
      <c r="HK149" s="51"/>
      <c r="HL149" s="51"/>
      <c r="HM149" s="51"/>
      <c r="HN149" s="51"/>
      <c r="HO149" s="51"/>
      <c r="HP149" s="51"/>
      <c r="HQ149" s="51"/>
      <c r="HR149" s="51"/>
      <c r="HS149" s="51"/>
      <c r="HT149" s="51"/>
      <c r="HU149" s="51"/>
      <c r="HV149" s="51"/>
      <c r="HW149" s="51"/>
      <c r="HX149" s="51"/>
      <c r="HY149" s="51"/>
      <c r="HZ149" s="51"/>
      <c r="IA149" s="51"/>
      <c r="IB149" s="51"/>
      <c r="IC149" s="51"/>
      <c r="ID149" s="51"/>
      <c r="IE149" s="51"/>
      <c r="IF149" s="51"/>
      <c r="IG149" s="51"/>
      <c r="IH149" s="51"/>
      <c r="II149" s="51"/>
      <c r="IJ149" s="51"/>
      <c r="IK149" s="51"/>
      <c r="IL149" s="51"/>
      <c r="IM149" s="51"/>
      <c r="IN149" s="51"/>
      <c r="IO149" s="51"/>
      <c r="IP149" s="51"/>
      <c r="IQ149" s="51"/>
      <c r="IR149" s="51"/>
      <c r="IS149" s="51"/>
      <c r="IT149" s="51"/>
      <c r="IU149" s="51"/>
      <c r="IV149" s="51"/>
      <c r="IW149" s="51"/>
      <c r="IX149" s="51"/>
      <c r="IY149" s="51"/>
      <c r="IZ149" s="51"/>
      <c r="JA149" s="51"/>
      <c r="JB149" s="51"/>
      <c r="JC149" s="51"/>
      <c r="JD149" s="51"/>
      <c r="JE149" s="51"/>
      <c r="JF149" s="51"/>
      <c r="JG149" s="51"/>
      <c r="JH149" s="51"/>
      <c r="JI149" s="51"/>
      <c r="JJ149" s="51"/>
      <c r="JK149" s="51"/>
      <c r="JL149" s="51"/>
      <c r="JM149" s="51"/>
      <c r="JN149" s="51"/>
      <c r="JO149" s="51"/>
      <c r="JP149" s="51"/>
      <c r="JQ149" s="51"/>
      <c r="JR149" s="51"/>
      <c r="JS149" s="51"/>
      <c r="JT149" s="51"/>
      <c r="JU149" s="51"/>
      <c r="JV149" s="51"/>
      <c r="JW149" s="51"/>
      <c r="JX149" s="51"/>
      <c r="JY149" s="51"/>
      <c r="JZ149" s="51"/>
      <c r="KA149" s="51"/>
      <c r="KB149" s="51"/>
      <c r="KC149" s="51"/>
      <c r="KD149" s="51"/>
      <c r="KE149" s="51"/>
      <c r="KF149" s="51"/>
      <c r="KG149" s="51"/>
      <c r="KH149" s="51"/>
      <c r="KI149" s="51"/>
      <c r="KJ149" s="51"/>
      <c r="KK149" s="51"/>
      <c r="KL149" s="51"/>
      <c r="KM149" s="51"/>
      <c r="KN149" s="51"/>
      <c r="KO149" s="51"/>
      <c r="KP149" s="51"/>
      <c r="KQ149" s="51"/>
      <c r="KR149" s="51"/>
      <c r="KS149" s="51"/>
      <c r="KT149" s="51"/>
      <c r="KU149" s="51"/>
      <c r="KV149" s="51"/>
      <c r="KW149" s="51"/>
      <c r="KX149" s="51"/>
      <c r="KY149" s="51"/>
      <c r="KZ149" s="51"/>
      <c r="LA149" s="51"/>
      <c r="LB149" s="51"/>
      <c r="LC149" s="51"/>
      <c r="LD149" s="51"/>
      <c r="LE149" s="51"/>
      <c r="LF149" s="51"/>
      <c r="LG149" s="51"/>
      <c r="LH149" s="51"/>
      <c r="LI149" s="51"/>
      <c r="LJ149" s="51"/>
      <c r="LK149" s="51"/>
      <c r="LL149" s="51"/>
      <c r="LM149" s="51"/>
      <c r="LN149" s="51"/>
      <c r="LO149" s="51"/>
      <c r="LP149" s="51"/>
      <c r="LQ149" s="51"/>
      <c r="LR149" s="51"/>
      <c r="LS149" s="51"/>
      <c r="LT149" s="51"/>
      <c r="LU149" s="51"/>
      <c r="LV149" s="51"/>
      <c r="LW149" s="51"/>
      <c r="LX149" s="51"/>
      <c r="LY149" s="51"/>
      <c r="LZ149" s="51"/>
      <c r="MA149" s="51"/>
      <c r="MB149" s="51"/>
      <c r="MC149" s="51"/>
      <c r="MD149" s="51"/>
      <c r="ME149" s="51"/>
      <c r="MF149" s="51"/>
      <c r="MG149" s="51"/>
      <c r="MH149" s="51"/>
      <c r="MI149" s="51"/>
      <c r="MJ149" s="51"/>
      <c r="MK149" s="51"/>
      <c r="ML149" s="51"/>
      <c r="MM149" s="51"/>
      <c r="MN149" s="51"/>
      <c r="MO149" s="51"/>
      <c r="MP149" s="51"/>
      <c r="MQ149" s="51"/>
      <c r="MR149" s="51"/>
      <c r="MS149" s="51"/>
      <c r="MT149" s="51"/>
      <c r="MU149" s="51"/>
      <c r="MV149" s="51"/>
      <c r="MW149" s="51"/>
      <c r="MX149" s="51"/>
      <c r="MY149" s="51"/>
      <c r="MZ149" s="51"/>
      <c r="NA149" s="51"/>
      <c r="NB149" s="51"/>
      <c r="NC149" s="51"/>
      <c r="ND149" s="51"/>
      <c r="NE149" s="51"/>
      <c r="NF149" s="51"/>
      <c r="NG149" s="51"/>
      <c r="NH149" s="51"/>
      <c r="NI149" s="51"/>
      <c r="NJ149" s="51"/>
      <c r="NK149" s="51"/>
      <c r="NL149" s="51"/>
      <c r="NM149" s="51"/>
      <c r="NN149" s="51"/>
      <c r="NO149" s="51"/>
      <c r="NP149" s="51"/>
      <c r="NQ149" s="51"/>
      <c r="NR149" s="51"/>
      <c r="NS149" s="51"/>
      <c r="NT149" s="51"/>
      <c r="NU149" s="51"/>
      <c r="NV149" s="51"/>
      <c r="NW149" s="51"/>
      <c r="NX149" s="51"/>
      <c r="NY149" s="51"/>
      <c r="NZ149" s="51"/>
      <c r="OA149" s="51"/>
      <c r="OB149" s="51"/>
      <c r="OC149" s="51"/>
      <c r="OD149" s="51"/>
      <c r="OE149" s="52"/>
    </row>
  </sheetData>
  <sheetProtection algorithmName="SHA-512" hashValue="ZzozCizIw2Drrs+zUQSRVmAWToOpPrOn4tl5NThGxB8SNpHHX4J73UyFlrsaHGTshQj6srzTrN1e5bBM4khRrw==" saltValue="9GHoo0owJN+RV2phomZQZA==" spinCount="100000" sheet="1" objects="1" scenarios="1" sort="0" autoFilter="0"/>
  <protectedRanges>
    <protectedRange algorithmName="SHA-512" hashValue="a2OaNRSxYedOykEHqPDhz/v8KGOa64u1X4hliwwkCXRNTNtDHvruZIB1n8A4Px6p+OpWPIJ4ILv+vvMUEBK/CA==" saltValue="f6At3o+ZRP2DVHb4xiE7cA==" spinCount="100000" sqref="G16:G1048576 I16:I1048576 K16:K1048576 M16:M1048576 O16:O1048576 Q16:Q1048576 S16:S1048576 U16:U1048576 W16:W1048576 Y16:Y1048576 AA16:AA1048576 AC16:AC1048576 AC1:AC15 AA1:AA15 Y1:Y15 W1:W15 U1:U15 S1:S15 Q1:Q15 O1:O15 M1:M15 K1:K15 I1:I15 G1:G15" name="AjithraEstimate_12_12" securityDescriptor="O:WDG:WDD:(A;;CC;;;S-1-5-21-607600752-1324559839-5522801-81001)"/>
  </protectedRanges>
  <mergeCells count="109">
    <mergeCell ref="AA4:AA5"/>
    <mergeCell ref="AB4:AB5"/>
    <mergeCell ref="AC4:AC5"/>
    <mergeCell ref="AD4:AD5"/>
    <mergeCell ref="U4:U5"/>
    <mergeCell ref="V4:V5"/>
    <mergeCell ref="W4:W5"/>
    <mergeCell ref="X4:X5"/>
    <mergeCell ref="Y4:Y5"/>
    <mergeCell ref="Z4:Z5"/>
    <mergeCell ref="O4:O5"/>
    <mergeCell ref="P4:P5"/>
    <mergeCell ref="Q4:Q5"/>
    <mergeCell ref="R4:R5"/>
    <mergeCell ref="S4:S5"/>
    <mergeCell ref="T4:T5"/>
    <mergeCell ref="NV3:OB3"/>
    <mergeCell ref="OC3:OE3"/>
    <mergeCell ref="G4:G5"/>
    <mergeCell ref="H4:H5"/>
    <mergeCell ref="I4:I5"/>
    <mergeCell ref="J4:J5"/>
    <mergeCell ref="K4:K5"/>
    <mergeCell ref="L4:L5"/>
    <mergeCell ref="M4:M5"/>
    <mergeCell ref="N4:N5"/>
    <mergeCell ref="MF3:ML3"/>
    <mergeCell ref="MM3:MS3"/>
    <mergeCell ref="MT3:MZ3"/>
    <mergeCell ref="NA3:NG3"/>
    <mergeCell ref="NH3:NN3"/>
    <mergeCell ref="NO3:NU3"/>
    <mergeCell ref="KP3:KV3"/>
    <mergeCell ref="KW3:LC3"/>
    <mergeCell ref="LD3:LJ3"/>
    <mergeCell ref="LK3:LQ3"/>
    <mergeCell ref="LR3:LX3"/>
    <mergeCell ref="LY3:ME3"/>
    <mergeCell ref="IZ3:JF3"/>
    <mergeCell ref="JG3:JM3"/>
    <mergeCell ref="JN3:JT3"/>
    <mergeCell ref="JU3:KA3"/>
    <mergeCell ref="KB3:KH3"/>
    <mergeCell ref="KI3:KO3"/>
    <mergeCell ref="HJ3:HP3"/>
    <mergeCell ref="HQ3:HW3"/>
    <mergeCell ref="HX3:ID3"/>
    <mergeCell ref="IE3:IK3"/>
    <mergeCell ref="IL3:IR3"/>
    <mergeCell ref="IS3:IY3"/>
    <mergeCell ref="FT3:FZ3"/>
    <mergeCell ref="GA3:GG3"/>
    <mergeCell ref="GH3:GN3"/>
    <mergeCell ref="GO3:GU3"/>
    <mergeCell ref="GV3:HB3"/>
    <mergeCell ref="HC3:HI3"/>
    <mergeCell ref="Y3:Z3"/>
    <mergeCell ref="AA3:AB3"/>
    <mergeCell ref="AC3:AD3"/>
    <mergeCell ref="AE3:AI3"/>
    <mergeCell ref="AJ3:AP3"/>
    <mergeCell ref="AQ3:AW3"/>
    <mergeCell ref="ED3:EJ3"/>
    <mergeCell ref="EK3:EQ3"/>
    <mergeCell ref="ER3:EX3"/>
    <mergeCell ref="CN3:CT3"/>
    <mergeCell ref="CU3:DA3"/>
    <mergeCell ref="DB3:DH3"/>
    <mergeCell ref="DI3:DO3"/>
    <mergeCell ref="DP3:DV3"/>
    <mergeCell ref="DW3:EC3"/>
    <mergeCell ref="AE2:BI2"/>
    <mergeCell ref="BJ2:CK2"/>
    <mergeCell ref="CL2:DP2"/>
    <mergeCell ref="DQ2:ET2"/>
    <mergeCell ref="EU2:FY2"/>
    <mergeCell ref="AX3:BD3"/>
    <mergeCell ref="BE3:BK3"/>
    <mergeCell ref="BL3:BR3"/>
    <mergeCell ref="BS3:BY3"/>
    <mergeCell ref="BZ3:CF3"/>
    <mergeCell ref="CG3:CM3"/>
    <mergeCell ref="EY3:FE3"/>
    <mergeCell ref="FF3:FL3"/>
    <mergeCell ref="FM3:FS3"/>
    <mergeCell ref="E1:F1"/>
    <mergeCell ref="A2:A7"/>
    <mergeCell ref="B2:B7"/>
    <mergeCell ref="C2:C7"/>
    <mergeCell ref="D2:D7"/>
    <mergeCell ref="E2:E5"/>
    <mergeCell ref="F2:F5"/>
    <mergeCell ref="NA2:OE2"/>
    <mergeCell ref="G3:H3"/>
    <mergeCell ref="I3:J3"/>
    <mergeCell ref="K3:L3"/>
    <mergeCell ref="M3:N3"/>
    <mergeCell ref="O3:P3"/>
    <mergeCell ref="Q3:R3"/>
    <mergeCell ref="S3:T3"/>
    <mergeCell ref="U3:V3"/>
    <mergeCell ref="W3:X3"/>
    <mergeCell ref="FZ2:HC2"/>
    <mergeCell ref="HD2:IH2"/>
    <mergeCell ref="II2:JM2"/>
    <mergeCell ref="JN2:KQ2"/>
    <mergeCell ref="KR2:LV2"/>
    <mergeCell ref="LW2:MZ2"/>
    <mergeCell ref="G2:AD2"/>
  </mergeCells>
  <conditionalFormatting sqref="A18:C149 A16:B17 A14:A15 C14:C17">
    <cfRule type="expression" dxfId="77" priority="23">
      <formula>$C14 = "INVALID TASK"</formula>
    </cfRule>
  </conditionalFormatting>
  <conditionalFormatting sqref="A18:F149 A16:B17 C14:E14 D15:E15 D16:F17 C15:C17 A14:A15">
    <cfRule type="expression" dxfId="76" priority="25">
      <formula>($C14&lt;&gt;"")</formula>
    </cfRule>
  </conditionalFormatting>
  <conditionalFormatting sqref="B18:C149 B16:B17 C14:C17">
    <cfRule type="duplicateValues" dxfId="75" priority="26"/>
  </conditionalFormatting>
  <conditionalFormatting sqref="G15:AD149">
    <cfRule type="expression" dxfId="74" priority="28">
      <formula>($C15&lt;&gt;"")</formula>
    </cfRule>
  </conditionalFormatting>
  <conditionalFormatting sqref="AE4:OE4 AE6:OE149">
    <cfRule type="expression" dxfId="73" priority="18" stopIfTrue="1">
      <formula>AND(NOT($C4&lt;&gt;""), ROW(AE4) &gt; 13)</formula>
    </cfRule>
    <cfRule type="expression" dxfId="72" priority="19" stopIfTrue="1">
      <formula>IFERROR(SEARCH("L",AE$6),FALSE)</formula>
    </cfRule>
    <cfRule type="expression" dxfId="71" priority="20" stopIfTrue="1">
      <formula>IFERROR(SEARCH("OD",AE$6),FALSE)</formula>
    </cfRule>
    <cfRule type="expression" dxfId="70" priority="21" stopIfTrue="1">
      <formula>IFERROR(SEARCH("W",AE$6),FALSE)</formula>
    </cfRule>
    <cfRule type="expression" dxfId="69" priority="22" stopIfTrue="1">
      <formula>WEEKDAY(AE$5, 2) &gt; 5</formula>
    </cfRule>
    <cfRule type="expression" dxfId="68" priority="24" stopIfTrue="1">
      <formula>COUNTIF(PublicHolidays, AE$5)</formula>
    </cfRule>
    <cfRule type="expression" dxfId="67" priority="27">
      <formula>ROW(AE4)=5</formula>
    </cfRule>
    <cfRule type="expression" dxfId="66" priority="29">
      <formula>ROW(AE4)=6</formula>
    </cfRule>
    <cfRule type="expression" dxfId="65" priority="30" stopIfTrue="1">
      <formula>ROW(AE4) &lt; 4</formula>
    </cfRule>
    <cfRule type="expression" dxfId="64" priority="31">
      <formula>1</formula>
    </cfRule>
  </conditionalFormatting>
  <conditionalFormatting sqref="AE5:OE5">
    <cfRule type="expression" dxfId="63" priority="8" stopIfTrue="1">
      <formula>AND(NOT($C5&lt;&gt;""), ROW(AE5) &gt; 13)</formula>
    </cfRule>
    <cfRule type="expression" dxfId="62" priority="9" stopIfTrue="1">
      <formula>IFERROR(SEARCH("L",AE$6),FALSE)</formula>
    </cfRule>
    <cfRule type="expression" dxfId="61" priority="10" stopIfTrue="1">
      <formula>IFERROR(SEARCH("OD",AE$6),FALSE)</formula>
    </cfRule>
    <cfRule type="expression" dxfId="60" priority="11" stopIfTrue="1">
      <formula>IFERROR(SEARCH("W",AE$6),FALSE)</formula>
    </cfRule>
    <cfRule type="expression" dxfId="59" priority="12" stopIfTrue="1">
      <formula>WEEKDAY(AE$5, 2) &gt; 5</formula>
    </cfRule>
    <cfRule type="expression" dxfId="58" priority="13" stopIfTrue="1">
      <formula>COUNTIF(PublicHolidays, AE$5)</formula>
    </cfRule>
    <cfRule type="expression" dxfId="57" priority="14">
      <formula>ROW(AE5)=5</formula>
    </cfRule>
    <cfRule type="expression" dxfId="56" priority="15">
      <formula>ROW(AE5)=6</formula>
    </cfRule>
    <cfRule type="expression" dxfId="55" priority="16" stopIfTrue="1">
      <formula>ROW(AE5) &lt; 4</formula>
    </cfRule>
    <cfRule type="expression" dxfId="54" priority="17">
      <formula>1</formula>
    </cfRule>
  </conditionalFormatting>
  <conditionalFormatting sqref="B14:B15">
    <cfRule type="expression" dxfId="53" priority="2">
      <formula>$C14 = "INVALID TASK"</formula>
    </cfRule>
  </conditionalFormatting>
  <conditionalFormatting sqref="B14:B15">
    <cfRule type="expression" dxfId="52" priority="3">
      <formula>($C14&lt;&gt;"")</formula>
    </cfRule>
  </conditionalFormatting>
  <conditionalFormatting sqref="B14:B15">
    <cfRule type="duplicateValues" dxfId="51" priority="4"/>
  </conditionalFormatting>
  <conditionalFormatting sqref="G14:AD14">
    <cfRule type="expression" dxfId="50" priority="1">
      <formula>($C14&lt;&gt;"")</formula>
    </cfRule>
  </conditionalFormatting>
  <dataValidations disablePrompts="1" count="1">
    <dataValidation type="list" showInputMessage="1" showErrorMessage="1" sqref="D14:D149" xr:uid="{4762F667-724F-4DFC-9359-124B2A5B2290}">
      <formula1>Status</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40467-56F4-4090-8536-DCBB00F93274}">
  <sheetPr codeName="Sheet14">
    <tabColor theme="1"/>
  </sheetPr>
  <dimension ref="A1:OE150"/>
  <sheetViews>
    <sheetView zoomScaleNormal="100" workbookViewId="0">
      <pane xSplit="6" ySplit="7" topLeftCell="DP8" activePane="bottomRight" state="frozen"/>
      <selection pane="bottomRight" activeCell="EF18" sqref="EF18"/>
      <selection pane="bottomLeft" activeCell="X37" sqref="X37"/>
      <selection pane="topRight" activeCell="X37" sqref="X37"/>
    </sheetView>
  </sheetViews>
  <sheetFormatPr defaultColWidth="8.5703125" defaultRowHeight="14.45"/>
  <cols>
    <col min="1" max="1" width="4.42578125" style="5" bestFit="1" customWidth="1"/>
    <col min="2" max="2" width="29.5703125" style="27" customWidth="1"/>
    <col min="3" max="3" width="46.5703125" style="6" customWidth="1"/>
    <col min="4" max="4" width="13.42578125" style="1" customWidth="1"/>
    <col min="5" max="5" width="9" style="7" customWidth="1"/>
    <col min="6" max="6" width="8.42578125" style="7" customWidth="1"/>
    <col min="7" max="30" width="4.5703125" style="8" customWidth="1"/>
    <col min="31" max="91" width="5.42578125" style="26" hidden="1" customWidth="1"/>
    <col min="92" max="395" width="5.42578125" style="26" customWidth="1"/>
  </cols>
  <sheetData>
    <row r="1" spans="1:395" ht="15" thickBot="1">
      <c r="A1" s="39"/>
      <c r="B1" s="40"/>
      <c r="C1" s="41"/>
      <c r="D1" s="42" t="s">
        <v>56</v>
      </c>
      <c r="E1" s="203" t="e" cm="1">
        <f t="array" aca="1" ref="E1" ca="1">VLOOKUP(_xlfn.TEXTAFTER(CELL("filename",A1),"]"), Leave!$B$2:$C$15, 2, 0)</f>
        <v>#VALUE!</v>
      </c>
      <c r="F1" s="204"/>
      <c r="G1" s="43"/>
      <c r="H1" s="43"/>
      <c r="I1" s="43"/>
      <c r="J1" s="43"/>
      <c r="K1" s="43"/>
      <c r="L1" s="43"/>
      <c r="M1" s="43"/>
      <c r="N1" s="43"/>
      <c r="O1" s="43"/>
      <c r="P1" s="43"/>
      <c r="Q1" s="43"/>
      <c r="R1" s="43"/>
      <c r="S1" s="43"/>
      <c r="T1" s="43"/>
      <c r="U1" s="43"/>
      <c r="V1" s="43"/>
      <c r="W1" s="43"/>
      <c r="X1" s="43"/>
      <c r="Y1" s="43"/>
      <c r="Z1" s="43"/>
      <c r="AA1" s="43"/>
      <c r="AB1" s="43"/>
      <c r="AC1" s="43"/>
      <c r="AD1" s="43"/>
      <c r="AE1" s="114"/>
      <c r="AF1" s="114"/>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BE1" s="115"/>
      <c r="BF1" s="115"/>
      <c r="BG1" s="115"/>
      <c r="BH1" s="115"/>
      <c r="BI1" s="115"/>
      <c r="BJ1" s="115"/>
      <c r="BK1" s="115"/>
      <c r="BL1" s="115"/>
      <c r="BM1" s="115"/>
      <c r="BN1" s="115"/>
      <c r="BO1" s="115"/>
      <c r="BP1" s="115"/>
      <c r="BQ1" s="115"/>
      <c r="BR1" s="115"/>
      <c r="BS1" s="115"/>
      <c r="BT1" s="115"/>
      <c r="BU1" s="115"/>
      <c r="BV1" s="115"/>
      <c r="BW1" s="115"/>
      <c r="BX1" s="115"/>
      <c r="BY1" s="115"/>
      <c r="BZ1" s="115"/>
      <c r="CA1" s="115"/>
      <c r="CB1" s="115"/>
      <c r="CC1" s="115"/>
      <c r="CD1" s="115"/>
      <c r="CE1" s="115"/>
      <c r="CF1" s="115"/>
      <c r="CG1" s="115"/>
      <c r="CH1" s="115"/>
      <c r="CI1" s="115"/>
      <c r="CJ1" s="115"/>
      <c r="CK1" s="115"/>
      <c r="CL1" s="115"/>
      <c r="CM1" s="115"/>
      <c r="CN1" s="115"/>
      <c r="CO1" s="115"/>
      <c r="CP1" s="115"/>
      <c r="CQ1" s="115"/>
      <c r="CR1" s="115"/>
      <c r="CS1" s="115"/>
      <c r="CT1" s="115"/>
      <c r="CU1" s="115"/>
      <c r="CV1" s="115"/>
      <c r="CW1" s="115"/>
      <c r="CX1" s="115"/>
      <c r="CY1" s="115"/>
      <c r="CZ1" s="115"/>
      <c r="DA1" s="115"/>
      <c r="DB1" s="115"/>
      <c r="DC1" s="115"/>
      <c r="DD1" s="115"/>
      <c r="DE1" s="115"/>
      <c r="DF1" s="115"/>
      <c r="DG1" s="115"/>
      <c r="DH1" s="115"/>
      <c r="DI1" s="115"/>
      <c r="DJ1" s="115"/>
      <c r="DK1" s="115"/>
      <c r="DL1" s="115"/>
      <c r="DM1" s="115"/>
      <c r="DN1" s="115"/>
      <c r="DO1" s="115"/>
      <c r="DP1" s="115"/>
      <c r="DQ1" s="115"/>
      <c r="DR1" s="115"/>
      <c r="DS1" s="115"/>
      <c r="DT1" s="115"/>
      <c r="DU1" s="115"/>
      <c r="DV1" s="115"/>
      <c r="DW1" s="115"/>
      <c r="DX1" s="115"/>
      <c r="DY1" s="115"/>
      <c r="DZ1" s="115"/>
      <c r="EA1" s="115"/>
      <c r="EB1" s="115"/>
      <c r="EC1" s="115"/>
      <c r="ED1" s="115"/>
      <c r="EE1" s="115"/>
      <c r="EF1" s="115"/>
      <c r="EG1" s="115"/>
      <c r="EH1" s="115"/>
      <c r="EI1" s="115"/>
      <c r="EJ1" s="115"/>
      <c r="EK1" s="115"/>
      <c r="EL1" s="115"/>
      <c r="EM1" s="115"/>
      <c r="EN1" s="115"/>
      <c r="EO1" s="115"/>
      <c r="EP1" s="115"/>
      <c r="EQ1" s="115"/>
      <c r="ER1" s="115"/>
      <c r="ES1" s="115"/>
      <c r="ET1" s="115"/>
      <c r="EU1" s="115"/>
      <c r="EV1" s="115"/>
      <c r="EW1" s="115"/>
      <c r="EX1" s="115"/>
      <c r="EY1" s="115"/>
      <c r="EZ1" s="115"/>
      <c r="FA1" s="115"/>
      <c r="FB1" s="115"/>
      <c r="FC1" s="115"/>
      <c r="FD1" s="115"/>
      <c r="FE1" s="115"/>
      <c r="FF1" s="115"/>
      <c r="FG1" s="115"/>
      <c r="FH1" s="115"/>
      <c r="FI1" s="115"/>
      <c r="FJ1" s="115"/>
      <c r="FK1" s="115"/>
      <c r="FL1" s="115"/>
      <c r="FM1" s="115"/>
      <c r="FN1" s="115"/>
      <c r="FO1" s="115"/>
      <c r="FP1" s="115"/>
      <c r="FQ1" s="115"/>
      <c r="FR1" s="115"/>
      <c r="FS1" s="115"/>
      <c r="FT1" s="115"/>
      <c r="FU1" s="115"/>
      <c r="FV1" s="115"/>
      <c r="FW1" s="115"/>
      <c r="FX1" s="115"/>
      <c r="FY1" s="115"/>
      <c r="FZ1" s="115"/>
      <c r="GA1" s="115"/>
      <c r="GB1" s="115"/>
      <c r="GC1" s="115"/>
      <c r="GD1" s="115"/>
      <c r="GE1" s="115"/>
      <c r="GF1" s="115"/>
      <c r="GG1" s="115"/>
      <c r="GH1" s="115"/>
      <c r="GI1" s="115"/>
      <c r="GJ1" s="115"/>
      <c r="GK1" s="115"/>
      <c r="GL1" s="115"/>
      <c r="GM1" s="115"/>
      <c r="GN1" s="115"/>
      <c r="GO1" s="115"/>
      <c r="GP1" s="115"/>
      <c r="GQ1" s="115"/>
      <c r="GR1" s="115"/>
      <c r="GS1" s="115"/>
      <c r="GT1" s="115"/>
      <c r="GU1" s="115"/>
      <c r="GV1" s="115"/>
      <c r="GW1" s="115"/>
      <c r="GX1" s="115"/>
      <c r="GY1" s="115"/>
      <c r="GZ1" s="115"/>
      <c r="HA1" s="115"/>
      <c r="HB1" s="115"/>
      <c r="HC1" s="115"/>
      <c r="HD1" s="115"/>
      <c r="HE1" s="115"/>
      <c r="HF1" s="115"/>
      <c r="HG1" s="115"/>
      <c r="HH1" s="115"/>
      <c r="HI1" s="115"/>
      <c r="HJ1" s="115"/>
      <c r="HK1" s="115"/>
      <c r="HL1" s="115"/>
      <c r="HM1" s="115"/>
      <c r="HN1" s="115"/>
      <c r="HO1" s="115"/>
      <c r="HP1" s="115"/>
      <c r="HQ1" s="115"/>
      <c r="HR1" s="115"/>
      <c r="HS1" s="115"/>
      <c r="HT1" s="115"/>
      <c r="HU1" s="115"/>
      <c r="HV1" s="115"/>
      <c r="HW1" s="115"/>
      <c r="HX1" s="115"/>
      <c r="HY1" s="115"/>
      <c r="HZ1" s="115"/>
      <c r="IA1" s="115"/>
      <c r="IB1" s="115"/>
      <c r="IC1" s="115"/>
      <c r="ID1" s="115"/>
      <c r="IE1" s="115"/>
      <c r="IF1" s="115"/>
      <c r="IG1" s="115"/>
      <c r="IH1" s="115"/>
      <c r="II1" s="115"/>
      <c r="IJ1" s="115"/>
      <c r="IK1" s="115"/>
      <c r="IL1" s="115"/>
      <c r="IM1" s="115"/>
      <c r="IN1" s="115"/>
      <c r="IO1" s="115"/>
      <c r="IP1" s="115"/>
      <c r="IQ1" s="115"/>
      <c r="IR1" s="115"/>
      <c r="IS1" s="115"/>
      <c r="IT1" s="115"/>
      <c r="IU1" s="115"/>
      <c r="IV1" s="115"/>
      <c r="IW1" s="115"/>
      <c r="IX1" s="115"/>
      <c r="IY1" s="115"/>
      <c r="IZ1" s="115"/>
      <c r="JA1" s="115"/>
      <c r="JB1" s="115"/>
      <c r="JC1" s="115"/>
      <c r="JD1" s="115"/>
      <c r="JE1" s="115"/>
      <c r="JF1" s="115"/>
      <c r="JG1" s="115"/>
      <c r="JH1" s="115"/>
      <c r="JI1" s="115"/>
      <c r="JJ1" s="115"/>
      <c r="JK1" s="115"/>
      <c r="JL1" s="115"/>
      <c r="JM1" s="115"/>
      <c r="JN1" s="115"/>
      <c r="JO1" s="115"/>
      <c r="JP1" s="115"/>
      <c r="JQ1" s="115"/>
      <c r="JR1" s="115"/>
      <c r="JS1" s="115"/>
      <c r="JT1" s="115"/>
      <c r="JU1" s="115"/>
      <c r="JV1" s="115"/>
      <c r="JW1" s="115"/>
      <c r="JX1" s="115"/>
      <c r="JY1" s="115"/>
      <c r="JZ1" s="115"/>
      <c r="KA1" s="115"/>
      <c r="KB1" s="115"/>
      <c r="KC1" s="115"/>
      <c r="KD1" s="115"/>
      <c r="KE1" s="115"/>
      <c r="KF1" s="115"/>
      <c r="KG1" s="115"/>
      <c r="KH1" s="115"/>
      <c r="KI1" s="115"/>
      <c r="KJ1" s="115"/>
      <c r="KK1" s="115"/>
      <c r="KL1" s="115"/>
      <c r="KM1" s="115"/>
      <c r="KN1" s="115"/>
      <c r="KO1" s="115"/>
      <c r="KP1" s="115"/>
      <c r="KQ1" s="115"/>
      <c r="KR1" s="115"/>
      <c r="KS1" s="115"/>
      <c r="KT1" s="115"/>
      <c r="KU1" s="115"/>
      <c r="KV1" s="115"/>
      <c r="KW1" s="115"/>
      <c r="KX1" s="115"/>
      <c r="KY1" s="115"/>
      <c r="KZ1" s="115"/>
      <c r="LA1" s="115"/>
      <c r="LB1" s="115"/>
      <c r="LC1" s="115"/>
      <c r="LD1" s="115"/>
      <c r="LE1" s="115"/>
      <c r="LF1" s="115"/>
      <c r="LG1" s="115"/>
      <c r="LH1" s="115"/>
      <c r="LI1" s="115"/>
      <c r="LJ1" s="115"/>
      <c r="LK1" s="115"/>
      <c r="LL1" s="115"/>
      <c r="LM1" s="115"/>
      <c r="LN1" s="115"/>
      <c r="LO1" s="115"/>
      <c r="LP1" s="115"/>
      <c r="LQ1" s="115"/>
      <c r="LR1" s="115"/>
      <c r="LS1" s="115"/>
      <c r="LT1" s="115"/>
      <c r="LU1" s="115"/>
      <c r="LV1" s="115"/>
      <c r="LW1" s="115"/>
      <c r="LX1" s="115"/>
      <c r="LY1" s="115"/>
      <c r="LZ1" s="115"/>
      <c r="MA1" s="115"/>
      <c r="MB1" s="115"/>
      <c r="MC1" s="115"/>
      <c r="MD1" s="115"/>
      <c r="ME1" s="115"/>
      <c r="MF1" s="115"/>
      <c r="MG1" s="115"/>
      <c r="MH1" s="115"/>
      <c r="MI1" s="115"/>
      <c r="MJ1" s="115"/>
      <c r="MK1" s="115"/>
      <c r="ML1" s="115"/>
      <c r="MM1" s="115"/>
      <c r="MN1" s="115"/>
      <c r="MO1" s="115"/>
      <c r="MP1" s="115"/>
      <c r="MQ1" s="115"/>
      <c r="MR1" s="115"/>
      <c r="MS1" s="115"/>
      <c r="MT1" s="115"/>
      <c r="MU1" s="115"/>
      <c r="MV1" s="115"/>
      <c r="MW1" s="115"/>
      <c r="MX1" s="115"/>
      <c r="MY1" s="115"/>
      <c r="MZ1" s="115"/>
      <c r="NA1" s="115"/>
      <c r="NB1" s="115"/>
      <c r="NC1" s="115"/>
      <c r="ND1" s="115"/>
      <c r="NE1" s="115"/>
      <c r="NF1" s="115"/>
      <c r="NG1" s="115"/>
      <c r="NH1" s="115"/>
      <c r="NI1" s="115"/>
      <c r="NJ1" s="115"/>
      <c r="NK1" s="115"/>
      <c r="NL1" s="115"/>
      <c r="NM1" s="115"/>
      <c r="NN1" s="115"/>
      <c r="NO1" s="115"/>
      <c r="NP1" s="115"/>
      <c r="NQ1" s="115"/>
      <c r="NR1" s="115"/>
      <c r="NS1" s="115"/>
      <c r="NT1" s="115"/>
      <c r="NU1" s="115"/>
      <c r="NV1" s="115"/>
      <c r="NW1" s="115"/>
      <c r="NX1" s="115"/>
      <c r="NY1" s="115"/>
      <c r="NZ1" s="115"/>
      <c r="OA1" s="115"/>
      <c r="OB1" s="115"/>
      <c r="OC1" s="115"/>
      <c r="OD1" s="115"/>
      <c r="OE1" s="116"/>
    </row>
    <row r="2" spans="1:395" ht="14.85" customHeight="1" thickBot="1">
      <c r="A2" s="205" t="s">
        <v>57</v>
      </c>
      <c r="B2" s="206" t="s">
        <v>58</v>
      </c>
      <c r="C2" s="206" t="s">
        <v>3</v>
      </c>
      <c r="D2" s="206" t="s">
        <v>15</v>
      </c>
      <c r="E2" s="206" t="s">
        <v>59</v>
      </c>
      <c r="F2" s="207" t="s">
        <v>20</v>
      </c>
      <c r="G2" s="214" t="s">
        <v>60</v>
      </c>
      <c r="H2" s="215"/>
      <c r="I2" s="215"/>
      <c r="J2" s="215"/>
      <c r="K2" s="215"/>
      <c r="L2" s="215"/>
      <c r="M2" s="215"/>
      <c r="N2" s="215"/>
      <c r="O2" s="215"/>
      <c r="P2" s="215"/>
      <c r="Q2" s="215"/>
      <c r="R2" s="215"/>
      <c r="S2" s="215"/>
      <c r="T2" s="215"/>
      <c r="U2" s="215"/>
      <c r="V2" s="215"/>
      <c r="W2" s="215"/>
      <c r="X2" s="215"/>
      <c r="Y2" s="215"/>
      <c r="Z2" s="215"/>
      <c r="AA2" s="215"/>
      <c r="AB2" s="215"/>
      <c r="AC2" s="215"/>
      <c r="AD2" s="216"/>
      <c r="AE2" s="213" t="str">
        <f>TEXT(AE5, "mmmm")</f>
        <v>January</v>
      </c>
      <c r="AF2" s="217"/>
      <c r="AG2" s="217"/>
      <c r="AH2" s="217"/>
      <c r="AI2" s="217"/>
      <c r="AJ2" s="217"/>
      <c r="AK2" s="217"/>
      <c r="AL2" s="217"/>
      <c r="AM2" s="217"/>
      <c r="AN2" s="217"/>
      <c r="AO2" s="217"/>
      <c r="AP2" s="217"/>
      <c r="AQ2" s="217"/>
      <c r="AR2" s="217"/>
      <c r="AS2" s="217"/>
      <c r="AT2" s="217"/>
      <c r="AU2" s="217"/>
      <c r="AV2" s="217"/>
      <c r="AW2" s="217"/>
      <c r="AX2" s="217"/>
      <c r="AY2" s="217"/>
      <c r="AZ2" s="217"/>
      <c r="BA2" s="217"/>
      <c r="BB2" s="217"/>
      <c r="BC2" s="217"/>
      <c r="BD2" s="217"/>
      <c r="BE2" s="217"/>
      <c r="BF2" s="217"/>
      <c r="BG2" s="217"/>
      <c r="BH2" s="217"/>
      <c r="BI2" s="217"/>
      <c r="BJ2" s="208" t="str">
        <f>TEXT(BJ5, "mmmm")</f>
        <v>February</v>
      </c>
      <c r="BK2" s="209"/>
      <c r="BL2" s="209"/>
      <c r="BM2" s="209"/>
      <c r="BN2" s="209"/>
      <c r="BO2" s="209"/>
      <c r="BP2" s="209"/>
      <c r="BQ2" s="209"/>
      <c r="BR2" s="209"/>
      <c r="BS2" s="209"/>
      <c r="BT2" s="209"/>
      <c r="BU2" s="209"/>
      <c r="BV2" s="209"/>
      <c r="BW2" s="209"/>
      <c r="BX2" s="209"/>
      <c r="BY2" s="209"/>
      <c r="BZ2" s="209"/>
      <c r="CA2" s="209"/>
      <c r="CB2" s="209"/>
      <c r="CC2" s="209"/>
      <c r="CD2" s="209"/>
      <c r="CE2" s="209"/>
      <c r="CF2" s="209"/>
      <c r="CG2" s="209"/>
      <c r="CH2" s="209"/>
      <c r="CI2" s="209"/>
      <c r="CJ2" s="209"/>
      <c r="CK2" s="213"/>
      <c r="CL2" s="208" t="str">
        <f>TEXT(CL5, "mmmm")</f>
        <v>March</v>
      </c>
      <c r="CM2" s="209"/>
      <c r="CN2" s="209"/>
      <c r="CO2" s="209"/>
      <c r="CP2" s="209"/>
      <c r="CQ2" s="209"/>
      <c r="CR2" s="209"/>
      <c r="CS2" s="209"/>
      <c r="CT2" s="209"/>
      <c r="CU2" s="209"/>
      <c r="CV2" s="209"/>
      <c r="CW2" s="209"/>
      <c r="CX2" s="209"/>
      <c r="CY2" s="209"/>
      <c r="CZ2" s="209"/>
      <c r="DA2" s="209"/>
      <c r="DB2" s="209"/>
      <c r="DC2" s="209"/>
      <c r="DD2" s="209"/>
      <c r="DE2" s="209"/>
      <c r="DF2" s="209"/>
      <c r="DG2" s="209"/>
      <c r="DH2" s="209"/>
      <c r="DI2" s="209"/>
      <c r="DJ2" s="209"/>
      <c r="DK2" s="209"/>
      <c r="DL2" s="209"/>
      <c r="DM2" s="209"/>
      <c r="DN2" s="209"/>
      <c r="DO2" s="209"/>
      <c r="DP2" s="213"/>
      <c r="DQ2" s="208" t="str">
        <f>TEXT(DQ5, "mmmm")</f>
        <v>April</v>
      </c>
      <c r="DR2" s="209"/>
      <c r="DS2" s="209"/>
      <c r="DT2" s="209"/>
      <c r="DU2" s="209"/>
      <c r="DV2" s="209"/>
      <c r="DW2" s="209"/>
      <c r="DX2" s="209"/>
      <c r="DY2" s="209"/>
      <c r="DZ2" s="209"/>
      <c r="EA2" s="209"/>
      <c r="EB2" s="209"/>
      <c r="EC2" s="209"/>
      <c r="ED2" s="209"/>
      <c r="EE2" s="209"/>
      <c r="EF2" s="209"/>
      <c r="EG2" s="209"/>
      <c r="EH2" s="209"/>
      <c r="EI2" s="209"/>
      <c r="EJ2" s="209"/>
      <c r="EK2" s="209"/>
      <c r="EL2" s="209"/>
      <c r="EM2" s="209"/>
      <c r="EN2" s="209"/>
      <c r="EO2" s="209"/>
      <c r="EP2" s="209"/>
      <c r="EQ2" s="209"/>
      <c r="ER2" s="209"/>
      <c r="ES2" s="209"/>
      <c r="ET2" s="213"/>
      <c r="EU2" s="208" t="str">
        <f>TEXT(EU5, "mmmm")</f>
        <v>May</v>
      </c>
      <c r="EV2" s="209"/>
      <c r="EW2" s="209"/>
      <c r="EX2" s="209"/>
      <c r="EY2" s="209"/>
      <c r="EZ2" s="209"/>
      <c r="FA2" s="209"/>
      <c r="FB2" s="209"/>
      <c r="FC2" s="209"/>
      <c r="FD2" s="209"/>
      <c r="FE2" s="209"/>
      <c r="FF2" s="209"/>
      <c r="FG2" s="209"/>
      <c r="FH2" s="209"/>
      <c r="FI2" s="209"/>
      <c r="FJ2" s="209"/>
      <c r="FK2" s="209"/>
      <c r="FL2" s="209"/>
      <c r="FM2" s="209"/>
      <c r="FN2" s="209"/>
      <c r="FO2" s="209"/>
      <c r="FP2" s="209"/>
      <c r="FQ2" s="209"/>
      <c r="FR2" s="209"/>
      <c r="FS2" s="209"/>
      <c r="FT2" s="209"/>
      <c r="FU2" s="209"/>
      <c r="FV2" s="209"/>
      <c r="FW2" s="209"/>
      <c r="FX2" s="209"/>
      <c r="FY2" s="213"/>
      <c r="FZ2" s="208" t="str">
        <f>TEXT(FZ5, "mmmm")</f>
        <v>June</v>
      </c>
      <c r="GA2" s="209"/>
      <c r="GB2" s="209"/>
      <c r="GC2" s="209"/>
      <c r="GD2" s="209"/>
      <c r="GE2" s="209"/>
      <c r="GF2" s="209"/>
      <c r="GG2" s="209"/>
      <c r="GH2" s="209"/>
      <c r="GI2" s="209"/>
      <c r="GJ2" s="209"/>
      <c r="GK2" s="209"/>
      <c r="GL2" s="209"/>
      <c r="GM2" s="209"/>
      <c r="GN2" s="209"/>
      <c r="GO2" s="209"/>
      <c r="GP2" s="209"/>
      <c r="GQ2" s="209"/>
      <c r="GR2" s="209"/>
      <c r="GS2" s="209"/>
      <c r="GT2" s="209"/>
      <c r="GU2" s="209"/>
      <c r="GV2" s="209"/>
      <c r="GW2" s="209"/>
      <c r="GX2" s="209"/>
      <c r="GY2" s="209"/>
      <c r="GZ2" s="209"/>
      <c r="HA2" s="209"/>
      <c r="HB2" s="209"/>
      <c r="HC2" s="213"/>
      <c r="HD2" s="208" t="str">
        <f>TEXT(HD5, "mmmm")</f>
        <v>July</v>
      </c>
      <c r="HE2" s="209"/>
      <c r="HF2" s="209"/>
      <c r="HG2" s="209"/>
      <c r="HH2" s="209"/>
      <c r="HI2" s="209"/>
      <c r="HJ2" s="209"/>
      <c r="HK2" s="209"/>
      <c r="HL2" s="209"/>
      <c r="HM2" s="209"/>
      <c r="HN2" s="209"/>
      <c r="HO2" s="209"/>
      <c r="HP2" s="209"/>
      <c r="HQ2" s="209"/>
      <c r="HR2" s="209"/>
      <c r="HS2" s="209"/>
      <c r="HT2" s="209"/>
      <c r="HU2" s="209"/>
      <c r="HV2" s="209"/>
      <c r="HW2" s="209"/>
      <c r="HX2" s="209"/>
      <c r="HY2" s="209"/>
      <c r="HZ2" s="209"/>
      <c r="IA2" s="209"/>
      <c r="IB2" s="209"/>
      <c r="IC2" s="209"/>
      <c r="ID2" s="209"/>
      <c r="IE2" s="209"/>
      <c r="IF2" s="209"/>
      <c r="IG2" s="209"/>
      <c r="IH2" s="213"/>
      <c r="II2" s="208" t="str">
        <f>TEXT(II5, "mmmm")</f>
        <v>August</v>
      </c>
      <c r="IJ2" s="209"/>
      <c r="IK2" s="209"/>
      <c r="IL2" s="209"/>
      <c r="IM2" s="209"/>
      <c r="IN2" s="209"/>
      <c r="IO2" s="209"/>
      <c r="IP2" s="209"/>
      <c r="IQ2" s="209"/>
      <c r="IR2" s="209"/>
      <c r="IS2" s="209"/>
      <c r="IT2" s="209"/>
      <c r="IU2" s="209"/>
      <c r="IV2" s="209"/>
      <c r="IW2" s="209"/>
      <c r="IX2" s="209"/>
      <c r="IY2" s="209"/>
      <c r="IZ2" s="209"/>
      <c r="JA2" s="209"/>
      <c r="JB2" s="209"/>
      <c r="JC2" s="209"/>
      <c r="JD2" s="209"/>
      <c r="JE2" s="209"/>
      <c r="JF2" s="209"/>
      <c r="JG2" s="209"/>
      <c r="JH2" s="209"/>
      <c r="JI2" s="209"/>
      <c r="JJ2" s="209"/>
      <c r="JK2" s="209"/>
      <c r="JL2" s="209"/>
      <c r="JM2" s="213"/>
      <c r="JN2" s="208" t="str">
        <f>TEXT(JN5, "mmmm")</f>
        <v>September</v>
      </c>
      <c r="JO2" s="209"/>
      <c r="JP2" s="209"/>
      <c r="JQ2" s="209"/>
      <c r="JR2" s="209"/>
      <c r="JS2" s="209"/>
      <c r="JT2" s="209"/>
      <c r="JU2" s="209"/>
      <c r="JV2" s="209"/>
      <c r="JW2" s="209"/>
      <c r="JX2" s="209"/>
      <c r="JY2" s="209"/>
      <c r="JZ2" s="209"/>
      <c r="KA2" s="209"/>
      <c r="KB2" s="209"/>
      <c r="KC2" s="209"/>
      <c r="KD2" s="209"/>
      <c r="KE2" s="209"/>
      <c r="KF2" s="209"/>
      <c r="KG2" s="209"/>
      <c r="KH2" s="209"/>
      <c r="KI2" s="209"/>
      <c r="KJ2" s="209"/>
      <c r="KK2" s="209"/>
      <c r="KL2" s="209"/>
      <c r="KM2" s="209"/>
      <c r="KN2" s="209"/>
      <c r="KO2" s="209"/>
      <c r="KP2" s="209"/>
      <c r="KQ2" s="213"/>
      <c r="KR2" s="208" t="str">
        <f>TEXT(LT5, "mmmm")</f>
        <v>October</v>
      </c>
      <c r="KS2" s="209"/>
      <c r="KT2" s="209"/>
      <c r="KU2" s="209"/>
      <c r="KV2" s="209"/>
      <c r="KW2" s="209"/>
      <c r="KX2" s="209"/>
      <c r="KY2" s="209"/>
      <c r="KZ2" s="209"/>
      <c r="LA2" s="209"/>
      <c r="LB2" s="209"/>
      <c r="LC2" s="209"/>
      <c r="LD2" s="209"/>
      <c r="LE2" s="209"/>
      <c r="LF2" s="209"/>
      <c r="LG2" s="209"/>
      <c r="LH2" s="209"/>
      <c r="LI2" s="209"/>
      <c r="LJ2" s="209"/>
      <c r="LK2" s="209"/>
      <c r="LL2" s="209"/>
      <c r="LM2" s="209"/>
      <c r="LN2" s="209"/>
      <c r="LO2" s="209"/>
      <c r="LP2" s="209"/>
      <c r="LQ2" s="209"/>
      <c r="LR2" s="209"/>
      <c r="LS2" s="209"/>
      <c r="LT2" s="209"/>
      <c r="LU2" s="209"/>
      <c r="LV2" s="213"/>
      <c r="LW2" s="208" t="str">
        <f>TEXT(LW5, "mmmm")</f>
        <v>November</v>
      </c>
      <c r="LX2" s="209"/>
      <c r="LY2" s="209"/>
      <c r="LZ2" s="209"/>
      <c r="MA2" s="209"/>
      <c r="MB2" s="209"/>
      <c r="MC2" s="209"/>
      <c r="MD2" s="209"/>
      <c r="ME2" s="209"/>
      <c r="MF2" s="209"/>
      <c r="MG2" s="209"/>
      <c r="MH2" s="209"/>
      <c r="MI2" s="209"/>
      <c r="MJ2" s="209"/>
      <c r="MK2" s="209"/>
      <c r="ML2" s="209"/>
      <c r="MM2" s="209"/>
      <c r="MN2" s="209"/>
      <c r="MO2" s="209"/>
      <c r="MP2" s="209"/>
      <c r="MQ2" s="209"/>
      <c r="MR2" s="209"/>
      <c r="MS2" s="209"/>
      <c r="MT2" s="209"/>
      <c r="MU2" s="209"/>
      <c r="MV2" s="209"/>
      <c r="MW2" s="209"/>
      <c r="MX2" s="209"/>
      <c r="MY2" s="209"/>
      <c r="MZ2" s="213"/>
      <c r="NA2" s="208" t="str">
        <f>TEXT(NA5, "mmmm")</f>
        <v>December</v>
      </c>
      <c r="NB2" s="209"/>
      <c r="NC2" s="209"/>
      <c r="ND2" s="209"/>
      <c r="NE2" s="209"/>
      <c r="NF2" s="209"/>
      <c r="NG2" s="209"/>
      <c r="NH2" s="209"/>
      <c r="NI2" s="209"/>
      <c r="NJ2" s="209"/>
      <c r="NK2" s="209"/>
      <c r="NL2" s="209"/>
      <c r="NM2" s="209"/>
      <c r="NN2" s="209"/>
      <c r="NO2" s="209"/>
      <c r="NP2" s="209"/>
      <c r="NQ2" s="209"/>
      <c r="NR2" s="209"/>
      <c r="NS2" s="209"/>
      <c r="NT2" s="209"/>
      <c r="NU2" s="209"/>
      <c r="NV2" s="209"/>
      <c r="NW2" s="209"/>
      <c r="NX2" s="209"/>
      <c r="NY2" s="209"/>
      <c r="NZ2" s="209"/>
      <c r="OA2" s="209"/>
      <c r="OB2" s="209"/>
      <c r="OC2" s="209"/>
      <c r="OD2" s="209"/>
      <c r="OE2" s="210"/>
    </row>
    <row r="3" spans="1:395">
      <c r="A3" s="205"/>
      <c r="B3" s="206"/>
      <c r="C3" s="206"/>
      <c r="D3" s="206"/>
      <c r="E3" s="206"/>
      <c r="F3" s="206"/>
      <c r="G3" s="211" t="s">
        <v>61</v>
      </c>
      <c r="H3" s="212"/>
      <c r="I3" s="212" t="s">
        <v>62</v>
      </c>
      <c r="J3" s="212"/>
      <c r="K3" s="212" t="s">
        <v>63</v>
      </c>
      <c r="L3" s="212"/>
      <c r="M3" s="212" t="s">
        <v>64</v>
      </c>
      <c r="N3" s="212"/>
      <c r="O3" s="212" t="s">
        <v>65</v>
      </c>
      <c r="P3" s="212"/>
      <c r="Q3" s="212" t="s">
        <v>66</v>
      </c>
      <c r="R3" s="212"/>
      <c r="S3" s="212" t="s">
        <v>67</v>
      </c>
      <c r="T3" s="212"/>
      <c r="U3" s="212" t="s">
        <v>68</v>
      </c>
      <c r="V3" s="212"/>
      <c r="W3" s="212" t="s">
        <v>69</v>
      </c>
      <c r="X3" s="212"/>
      <c r="Y3" s="212" t="s">
        <v>70</v>
      </c>
      <c r="Z3" s="212"/>
      <c r="AA3" s="212" t="s">
        <v>71</v>
      </c>
      <c r="AB3" s="212"/>
      <c r="AC3" s="212" t="s">
        <v>72</v>
      </c>
      <c r="AD3" s="212"/>
      <c r="AE3" s="218" t="str">
        <f>"W" &amp; TEXT(WEEKNUM(AE5), "0")</f>
        <v>W1</v>
      </c>
      <c r="AF3" s="218"/>
      <c r="AG3" s="218"/>
      <c r="AH3" s="218"/>
      <c r="AI3" s="218"/>
      <c r="AJ3" s="218" t="str">
        <f>"W" &amp; TEXT(WEEKNUM(AJ5), "0")</f>
        <v>W2</v>
      </c>
      <c r="AK3" s="218"/>
      <c r="AL3" s="218"/>
      <c r="AM3" s="218"/>
      <c r="AN3" s="218"/>
      <c r="AO3" s="218"/>
      <c r="AP3" s="218"/>
      <c r="AQ3" s="218" t="str">
        <f>"W" &amp; TEXT(WEEKNUM(AQ5), "0")</f>
        <v>W3</v>
      </c>
      <c r="AR3" s="218"/>
      <c r="AS3" s="218"/>
      <c r="AT3" s="218"/>
      <c r="AU3" s="218"/>
      <c r="AV3" s="218"/>
      <c r="AW3" s="218"/>
      <c r="AX3" s="218" t="str">
        <f>"W" &amp; TEXT(WEEKNUM(AX5), "0")</f>
        <v>W4</v>
      </c>
      <c r="AY3" s="218"/>
      <c r="AZ3" s="218"/>
      <c r="BA3" s="218"/>
      <c r="BB3" s="218"/>
      <c r="BC3" s="218"/>
      <c r="BD3" s="218"/>
      <c r="BE3" s="218" t="str">
        <f>"W" &amp; TEXT(WEEKNUM(BE5), "0")</f>
        <v>W5</v>
      </c>
      <c r="BF3" s="218"/>
      <c r="BG3" s="218"/>
      <c r="BH3" s="218"/>
      <c r="BI3" s="218"/>
      <c r="BJ3" s="218"/>
      <c r="BK3" s="218"/>
      <c r="BL3" s="218" t="str">
        <f>"W" &amp; TEXT(WEEKNUM(BL5), "0")</f>
        <v>W6</v>
      </c>
      <c r="BM3" s="218"/>
      <c r="BN3" s="218"/>
      <c r="BO3" s="218"/>
      <c r="BP3" s="218"/>
      <c r="BQ3" s="218"/>
      <c r="BR3" s="218"/>
      <c r="BS3" s="218" t="str">
        <f>"W" &amp; TEXT(WEEKNUM(BS5), "0")</f>
        <v>W7</v>
      </c>
      <c r="BT3" s="218"/>
      <c r="BU3" s="218"/>
      <c r="BV3" s="218"/>
      <c r="BW3" s="218"/>
      <c r="BX3" s="218"/>
      <c r="BY3" s="218"/>
      <c r="BZ3" s="218" t="str">
        <f>"W" &amp; TEXT(WEEKNUM(BZ5), "0")</f>
        <v>W8</v>
      </c>
      <c r="CA3" s="218"/>
      <c r="CB3" s="218"/>
      <c r="CC3" s="218"/>
      <c r="CD3" s="218"/>
      <c r="CE3" s="218"/>
      <c r="CF3" s="218"/>
      <c r="CG3" s="218" t="str">
        <f>"W" &amp; TEXT(WEEKNUM(CG5), "0")</f>
        <v>W9</v>
      </c>
      <c r="CH3" s="218"/>
      <c r="CI3" s="218"/>
      <c r="CJ3" s="218"/>
      <c r="CK3" s="218"/>
      <c r="CL3" s="218"/>
      <c r="CM3" s="218"/>
      <c r="CN3" s="218" t="str">
        <f>"W" &amp; TEXT(WEEKNUM(CN5), "0")</f>
        <v>W10</v>
      </c>
      <c r="CO3" s="218"/>
      <c r="CP3" s="218"/>
      <c r="CQ3" s="218"/>
      <c r="CR3" s="218"/>
      <c r="CS3" s="218"/>
      <c r="CT3" s="218"/>
      <c r="CU3" s="218" t="str">
        <f>"W" &amp; TEXT(WEEKNUM(CU5), "0")</f>
        <v>W11</v>
      </c>
      <c r="CV3" s="218"/>
      <c r="CW3" s="218"/>
      <c r="CX3" s="218"/>
      <c r="CY3" s="218"/>
      <c r="CZ3" s="218"/>
      <c r="DA3" s="218"/>
      <c r="DB3" s="218" t="str">
        <f>"W" &amp; TEXT(WEEKNUM(DB5), "0")</f>
        <v>W12</v>
      </c>
      <c r="DC3" s="218"/>
      <c r="DD3" s="218"/>
      <c r="DE3" s="218"/>
      <c r="DF3" s="218"/>
      <c r="DG3" s="218"/>
      <c r="DH3" s="218"/>
      <c r="DI3" s="218" t="str">
        <f>"W" &amp; TEXT(WEEKNUM(DI5), "0")</f>
        <v>W13</v>
      </c>
      <c r="DJ3" s="218"/>
      <c r="DK3" s="218"/>
      <c r="DL3" s="218"/>
      <c r="DM3" s="218"/>
      <c r="DN3" s="218"/>
      <c r="DO3" s="218"/>
      <c r="DP3" s="218" t="str">
        <f>"W" &amp; TEXT(WEEKNUM(DP5), "0")</f>
        <v>W14</v>
      </c>
      <c r="DQ3" s="218"/>
      <c r="DR3" s="218"/>
      <c r="DS3" s="218"/>
      <c r="DT3" s="218"/>
      <c r="DU3" s="218"/>
      <c r="DV3" s="218"/>
      <c r="DW3" s="218" t="str">
        <f>"W" &amp; TEXT(WEEKNUM(DW5), "0")</f>
        <v>W15</v>
      </c>
      <c r="DX3" s="218"/>
      <c r="DY3" s="218"/>
      <c r="DZ3" s="218"/>
      <c r="EA3" s="218"/>
      <c r="EB3" s="218"/>
      <c r="EC3" s="218"/>
      <c r="ED3" s="218" t="str">
        <f>"W" &amp; TEXT(WEEKNUM(ED5), "0")</f>
        <v>W16</v>
      </c>
      <c r="EE3" s="218"/>
      <c r="EF3" s="218"/>
      <c r="EG3" s="218"/>
      <c r="EH3" s="218"/>
      <c r="EI3" s="218"/>
      <c r="EJ3" s="218"/>
      <c r="EK3" s="218" t="str">
        <f>"W" &amp; TEXT(WEEKNUM(EK5), "0")</f>
        <v>W17</v>
      </c>
      <c r="EL3" s="218"/>
      <c r="EM3" s="218"/>
      <c r="EN3" s="218"/>
      <c r="EO3" s="218"/>
      <c r="EP3" s="218"/>
      <c r="EQ3" s="218"/>
      <c r="ER3" s="218" t="str">
        <f>"W" &amp; TEXT(WEEKNUM(ER5), "0")</f>
        <v>W18</v>
      </c>
      <c r="ES3" s="218"/>
      <c r="ET3" s="218"/>
      <c r="EU3" s="218"/>
      <c r="EV3" s="218"/>
      <c r="EW3" s="218"/>
      <c r="EX3" s="218"/>
      <c r="EY3" s="218" t="str">
        <f>"W" &amp; TEXT(WEEKNUM(EY5), "0")</f>
        <v>W19</v>
      </c>
      <c r="EZ3" s="218"/>
      <c r="FA3" s="218"/>
      <c r="FB3" s="218"/>
      <c r="FC3" s="218"/>
      <c r="FD3" s="218"/>
      <c r="FE3" s="218"/>
      <c r="FF3" s="218" t="str">
        <f>"W" &amp; TEXT(WEEKNUM(FF5), "0")</f>
        <v>W20</v>
      </c>
      <c r="FG3" s="218"/>
      <c r="FH3" s="218"/>
      <c r="FI3" s="218"/>
      <c r="FJ3" s="218"/>
      <c r="FK3" s="218"/>
      <c r="FL3" s="218"/>
      <c r="FM3" s="218" t="str">
        <f>"W" &amp; TEXT(WEEKNUM(FM5), "0")</f>
        <v>W21</v>
      </c>
      <c r="FN3" s="218"/>
      <c r="FO3" s="218"/>
      <c r="FP3" s="218"/>
      <c r="FQ3" s="218"/>
      <c r="FR3" s="218"/>
      <c r="FS3" s="218"/>
      <c r="FT3" s="218" t="str">
        <f>"W" &amp; TEXT(WEEKNUM(FT5), "0")</f>
        <v>W22</v>
      </c>
      <c r="FU3" s="218"/>
      <c r="FV3" s="218"/>
      <c r="FW3" s="218"/>
      <c r="FX3" s="218"/>
      <c r="FY3" s="218"/>
      <c r="FZ3" s="218"/>
      <c r="GA3" s="218" t="str">
        <f>"W" &amp; TEXT(WEEKNUM(GA5), "0")</f>
        <v>W23</v>
      </c>
      <c r="GB3" s="218"/>
      <c r="GC3" s="218"/>
      <c r="GD3" s="218"/>
      <c r="GE3" s="218"/>
      <c r="GF3" s="218"/>
      <c r="GG3" s="218"/>
      <c r="GH3" s="218" t="str">
        <f>"W" &amp; TEXT(WEEKNUM(GH5), "0")</f>
        <v>W24</v>
      </c>
      <c r="GI3" s="218"/>
      <c r="GJ3" s="218"/>
      <c r="GK3" s="218"/>
      <c r="GL3" s="218"/>
      <c r="GM3" s="218"/>
      <c r="GN3" s="218"/>
      <c r="GO3" s="218" t="str">
        <f>"W" &amp; TEXT(WEEKNUM(GO5), "0")</f>
        <v>W25</v>
      </c>
      <c r="GP3" s="218"/>
      <c r="GQ3" s="218"/>
      <c r="GR3" s="218"/>
      <c r="GS3" s="218"/>
      <c r="GT3" s="218"/>
      <c r="GU3" s="218"/>
      <c r="GV3" s="218" t="str">
        <f>"W" &amp; TEXT(WEEKNUM(GV5), "0")</f>
        <v>W26</v>
      </c>
      <c r="GW3" s="218"/>
      <c r="GX3" s="218"/>
      <c r="GY3" s="218"/>
      <c r="GZ3" s="218"/>
      <c r="HA3" s="218"/>
      <c r="HB3" s="218"/>
      <c r="HC3" s="218" t="str">
        <f>"W" &amp; TEXT(WEEKNUM(HC5), "0")</f>
        <v>W27</v>
      </c>
      <c r="HD3" s="218"/>
      <c r="HE3" s="218"/>
      <c r="HF3" s="218"/>
      <c r="HG3" s="218"/>
      <c r="HH3" s="218"/>
      <c r="HI3" s="218"/>
      <c r="HJ3" s="218" t="str">
        <f>"W" &amp; TEXT(WEEKNUM(HJ5), "0")</f>
        <v>W28</v>
      </c>
      <c r="HK3" s="218"/>
      <c r="HL3" s="218"/>
      <c r="HM3" s="218"/>
      <c r="HN3" s="218"/>
      <c r="HO3" s="218"/>
      <c r="HP3" s="218"/>
      <c r="HQ3" s="218" t="str">
        <f>"W" &amp; TEXT(WEEKNUM(HQ5), "0")</f>
        <v>W29</v>
      </c>
      <c r="HR3" s="218"/>
      <c r="HS3" s="218"/>
      <c r="HT3" s="218"/>
      <c r="HU3" s="218"/>
      <c r="HV3" s="218"/>
      <c r="HW3" s="218"/>
      <c r="HX3" s="218" t="str">
        <f>"W" &amp; TEXT(WEEKNUM(HX5), "0")</f>
        <v>W30</v>
      </c>
      <c r="HY3" s="218"/>
      <c r="HZ3" s="218"/>
      <c r="IA3" s="218"/>
      <c r="IB3" s="218"/>
      <c r="IC3" s="218"/>
      <c r="ID3" s="218"/>
      <c r="IE3" s="218" t="str">
        <f>"W" &amp; TEXT(WEEKNUM(IE5), "0")</f>
        <v>W31</v>
      </c>
      <c r="IF3" s="218"/>
      <c r="IG3" s="218"/>
      <c r="IH3" s="218"/>
      <c r="II3" s="218"/>
      <c r="IJ3" s="218"/>
      <c r="IK3" s="218"/>
      <c r="IL3" s="218" t="str">
        <f>"W" &amp; TEXT(WEEKNUM(IL5), "0")</f>
        <v>W32</v>
      </c>
      <c r="IM3" s="218"/>
      <c r="IN3" s="218"/>
      <c r="IO3" s="218"/>
      <c r="IP3" s="218"/>
      <c r="IQ3" s="218"/>
      <c r="IR3" s="218"/>
      <c r="IS3" s="218" t="str">
        <f>"W" &amp; TEXT(WEEKNUM(IS5), "0")</f>
        <v>W33</v>
      </c>
      <c r="IT3" s="218"/>
      <c r="IU3" s="218"/>
      <c r="IV3" s="218"/>
      <c r="IW3" s="218"/>
      <c r="IX3" s="218"/>
      <c r="IY3" s="218"/>
      <c r="IZ3" s="218" t="str">
        <f>"W" &amp; TEXT(WEEKNUM(IZ5), "0")</f>
        <v>W34</v>
      </c>
      <c r="JA3" s="218"/>
      <c r="JB3" s="218"/>
      <c r="JC3" s="218"/>
      <c r="JD3" s="218"/>
      <c r="JE3" s="218"/>
      <c r="JF3" s="218"/>
      <c r="JG3" s="218" t="str">
        <f>"W" &amp; TEXT(WEEKNUM(JG5), "0")</f>
        <v>W35</v>
      </c>
      <c r="JH3" s="218"/>
      <c r="JI3" s="218"/>
      <c r="JJ3" s="218"/>
      <c r="JK3" s="218"/>
      <c r="JL3" s="218"/>
      <c r="JM3" s="218"/>
      <c r="JN3" s="218" t="str">
        <f>"W" &amp; TEXT(WEEKNUM(JN5), "0")</f>
        <v>W36</v>
      </c>
      <c r="JO3" s="218"/>
      <c r="JP3" s="218"/>
      <c r="JQ3" s="218"/>
      <c r="JR3" s="218"/>
      <c r="JS3" s="218"/>
      <c r="JT3" s="218"/>
      <c r="JU3" s="218" t="str">
        <f>"W" &amp; TEXT(WEEKNUM(JU5), "0")</f>
        <v>W37</v>
      </c>
      <c r="JV3" s="218"/>
      <c r="JW3" s="218"/>
      <c r="JX3" s="218"/>
      <c r="JY3" s="218"/>
      <c r="JZ3" s="218"/>
      <c r="KA3" s="218"/>
      <c r="KB3" s="218" t="str">
        <f>"W" &amp; TEXT(WEEKNUM(KB5), "0")</f>
        <v>W38</v>
      </c>
      <c r="KC3" s="218"/>
      <c r="KD3" s="218"/>
      <c r="KE3" s="218"/>
      <c r="KF3" s="218"/>
      <c r="KG3" s="218"/>
      <c r="KH3" s="218"/>
      <c r="KI3" s="218" t="str">
        <f>"W" &amp; TEXT(WEEKNUM(KI5), "0")</f>
        <v>W39</v>
      </c>
      <c r="KJ3" s="218"/>
      <c r="KK3" s="218"/>
      <c r="KL3" s="218"/>
      <c r="KM3" s="218"/>
      <c r="KN3" s="218"/>
      <c r="KO3" s="218"/>
      <c r="KP3" s="218" t="str">
        <f>"W" &amp; TEXT(WEEKNUM(KP5), "0")</f>
        <v>W40</v>
      </c>
      <c r="KQ3" s="218"/>
      <c r="KR3" s="218"/>
      <c r="KS3" s="218"/>
      <c r="KT3" s="218"/>
      <c r="KU3" s="218"/>
      <c r="KV3" s="218"/>
      <c r="KW3" s="218" t="str">
        <f>"W" &amp; TEXT(WEEKNUM(KW5), "0")</f>
        <v>W41</v>
      </c>
      <c r="KX3" s="218"/>
      <c r="KY3" s="218"/>
      <c r="KZ3" s="218"/>
      <c r="LA3" s="218"/>
      <c r="LB3" s="218"/>
      <c r="LC3" s="218"/>
      <c r="LD3" s="218" t="str">
        <f>"W" &amp; TEXT(WEEKNUM(LD5), "0")</f>
        <v>W42</v>
      </c>
      <c r="LE3" s="218"/>
      <c r="LF3" s="218"/>
      <c r="LG3" s="218"/>
      <c r="LH3" s="218"/>
      <c r="LI3" s="218"/>
      <c r="LJ3" s="218"/>
      <c r="LK3" s="218" t="str">
        <f>"W" &amp; TEXT(WEEKNUM(LK5), "0")</f>
        <v>W43</v>
      </c>
      <c r="LL3" s="218"/>
      <c r="LM3" s="218"/>
      <c r="LN3" s="218"/>
      <c r="LO3" s="218"/>
      <c r="LP3" s="218"/>
      <c r="LQ3" s="218"/>
      <c r="LR3" s="218" t="str">
        <f>"W" &amp; TEXT(WEEKNUM(LR5), "0")</f>
        <v>W44</v>
      </c>
      <c r="LS3" s="218"/>
      <c r="LT3" s="218"/>
      <c r="LU3" s="218"/>
      <c r="LV3" s="218"/>
      <c r="LW3" s="218"/>
      <c r="LX3" s="218"/>
      <c r="LY3" s="218" t="str">
        <f>"W" &amp; TEXT(WEEKNUM(LY5), "0")</f>
        <v>W45</v>
      </c>
      <c r="LZ3" s="218"/>
      <c r="MA3" s="218"/>
      <c r="MB3" s="218"/>
      <c r="MC3" s="218"/>
      <c r="MD3" s="218"/>
      <c r="ME3" s="218"/>
      <c r="MF3" s="218" t="str">
        <f>"W" &amp; TEXT(WEEKNUM(MF5), "0")</f>
        <v>W46</v>
      </c>
      <c r="MG3" s="218"/>
      <c r="MH3" s="218"/>
      <c r="MI3" s="218"/>
      <c r="MJ3" s="218"/>
      <c r="MK3" s="218"/>
      <c r="ML3" s="218"/>
      <c r="MM3" s="218" t="str">
        <f>"W" &amp; TEXT(WEEKNUM(MM5), "0")</f>
        <v>W47</v>
      </c>
      <c r="MN3" s="218"/>
      <c r="MO3" s="218"/>
      <c r="MP3" s="218"/>
      <c r="MQ3" s="218"/>
      <c r="MR3" s="218"/>
      <c r="MS3" s="218"/>
      <c r="MT3" s="218" t="str">
        <f>"W" &amp; TEXT(WEEKNUM(MT5), "0")</f>
        <v>W48</v>
      </c>
      <c r="MU3" s="218"/>
      <c r="MV3" s="218"/>
      <c r="MW3" s="218"/>
      <c r="MX3" s="218"/>
      <c r="MY3" s="218"/>
      <c r="MZ3" s="218"/>
      <c r="NA3" s="218" t="str">
        <f>"W" &amp; TEXT(WEEKNUM(NA5), "0")</f>
        <v>W49</v>
      </c>
      <c r="NB3" s="218"/>
      <c r="NC3" s="218"/>
      <c r="ND3" s="218"/>
      <c r="NE3" s="218"/>
      <c r="NF3" s="218"/>
      <c r="NG3" s="218"/>
      <c r="NH3" s="218" t="str">
        <f>"W" &amp; TEXT(WEEKNUM(NH5), "0")</f>
        <v>W50</v>
      </c>
      <c r="NI3" s="218"/>
      <c r="NJ3" s="218"/>
      <c r="NK3" s="218"/>
      <c r="NL3" s="218"/>
      <c r="NM3" s="218"/>
      <c r="NN3" s="218"/>
      <c r="NO3" s="218" t="str">
        <f>"W" &amp; TEXT(WEEKNUM(NO5), "0")</f>
        <v>W51</v>
      </c>
      <c r="NP3" s="218"/>
      <c r="NQ3" s="218"/>
      <c r="NR3" s="218"/>
      <c r="NS3" s="218"/>
      <c r="NT3" s="218"/>
      <c r="NU3" s="218"/>
      <c r="NV3" s="218" t="str">
        <f>"W" &amp; TEXT(WEEKNUM(NV5), "0")</f>
        <v>W52</v>
      </c>
      <c r="NW3" s="218"/>
      <c r="NX3" s="218"/>
      <c r="NY3" s="218"/>
      <c r="NZ3" s="218"/>
      <c r="OA3" s="218"/>
      <c r="OB3" s="218"/>
      <c r="OC3" s="218" t="str">
        <f>"W" &amp; TEXT(WEEKNUM(OC5), "0")</f>
        <v>W53</v>
      </c>
      <c r="OD3" s="218"/>
      <c r="OE3" s="220"/>
    </row>
    <row r="4" spans="1:395">
      <c r="A4" s="205"/>
      <c r="B4" s="206"/>
      <c r="C4" s="206"/>
      <c r="D4" s="206"/>
      <c r="E4" s="206"/>
      <c r="F4" s="206"/>
      <c r="G4" s="221" t="s">
        <v>73</v>
      </c>
      <c r="H4" s="219" t="s">
        <v>74</v>
      </c>
      <c r="I4" s="219" t="s">
        <v>73</v>
      </c>
      <c r="J4" s="219" t="s">
        <v>74</v>
      </c>
      <c r="K4" s="219" t="s">
        <v>73</v>
      </c>
      <c r="L4" s="219" t="s">
        <v>74</v>
      </c>
      <c r="M4" s="219" t="s">
        <v>73</v>
      </c>
      <c r="N4" s="219" t="s">
        <v>74</v>
      </c>
      <c r="O4" s="219" t="s">
        <v>73</v>
      </c>
      <c r="P4" s="219" t="s">
        <v>74</v>
      </c>
      <c r="Q4" s="219" t="s">
        <v>73</v>
      </c>
      <c r="R4" s="219" t="s">
        <v>74</v>
      </c>
      <c r="S4" s="219" t="s">
        <v>73</v>
      </c>
      <c r="T4" s="219" t="s">
        <v>74</v>
      </c>
      <c r="U4" s="219" t="s">
        <v>73</v>
      </c>
      <c r="V4" s="219" t="s">
        <v>74</v>
      </c>
      <c r="W4" s="219" t="s">
        <v>73</v>
      </c>
      <c r="X4" s="219" t="s">
        <v>74</v>
      </c>
      <c r="Y4" s="219" t="s">
        <v>73</v>
      </c>
      <c r="Z4" s="219" t="s">
        <v>74</v>
      </c>
      <c r="AA4" s="219" t="s">
        <v>73</v>
      </c>
      <c r="AB4" s="219" t="s">
        <v>74</v>
      </c>
      <c r="AC4" s="219" t="s">
        <v>73</v>
      </c>
      <c r="AD4" s="219" t="s">
        <v>74</v>
      </c>
      <c r="AE4" s="9" t="str">
        <f>LEFT(TEXT(AE5,"dddd"),1)</f>
        <v>T</v>
      </c>
      <c r="AF4" s="9" t="str">
        <f t="shared" ref="AF4:CQ4" si="0">LEFT(TEXT(AF5,"dddd"),1)</f>
        <v>F</v>
      </c>
      <c r="AG4" s="9" t="str">
        <f t="shared" si="0"/>
        <v>S</v>
      </c>
      <c r="AH4" s="9" t="str">
        <f t="shared" si="0"/>
        <v>S</v>
      </c>
      <c r="AI4" s="9" t="str">
        <f t="shared" si="0"/>
        <v>M</v>
      </c>
      <c r="AJ4" s="9" t="str">
        <f t="shared" si="0"/>
        <v>T</v>
      </c>
      <c r="AK4" s="9" t="str">
        <f t="shared" si="0"/>
        <v>W</v>
      </c>
      <c r="AL4" s="9" t="str">
        <f t="shared" si="0"/>
        <v>T</v>
      </c>
      <c r="AM4" s="9" t="str">
        <f t="shared" si="0"/>
        <v>F</v>
      </c>
      <c r="AN4" s="9" t="str">
        <f t="shared" si="0"/>
        <v>S</v>
      </c>
      <c r="AO4" s="9" t="str">
        <f t="shared" si="0"/>
        <v>S</v>
      </c>
      <c r="AP4" s="9" t="str">
        <f t="shared" si="0"/>
        <v>M</v>
      </c>
      <c r="AQ4" s="9" t="str">
        <f t="shared" si="0"/>
        <v>T</v>
      </c>
      <c r="AR4" s="9" t="str">
        <f t="shared" si="0"/>
        <v>W</v>
      </c>
      <c r="AS4" s="9" t="str">
        <f t="shared" si="0"/>
        <v>T</v>
      </c>
      <c r="AT4" s="9" t="str">
        <f t="shared" si="0"/>
        <v>F</v>
      </c>
      <c r="AU4" s="9" t="str">
        <f t="shared" si="0"/>
        <v>S</v>
      </c>
      <c r="AV4" s="9" t="str">
        <f t="shared" si="0"/>
        <v>S</v>
      </c>
      <c r="AW4" s="9" t="str">
        <f t="shared" si="0"/>
        <v>M</v>
      </c>
      <c r="AX4" s="9" t="str">
        <f t="shared" si="0"/>
        <v>T</v>
      </c>
      <c r="AY4" s="9" t="str">
        <f t="shared" si="0"/>
        <v>W</v>
      </c>
      <c r="AZ4" s="9" t="str">
        <f t="shared" si="0"/>
        <v>T</v>
      </c>
      <c r="BA4" s="9" t="str">
        <f t="shared" si="0"/>
        <v>F</v>
      </c>
      <c r="BB4" s="9" t="str">
        <f t="shared" si="0"/>
        <v>S</v>
      </c>
      <c r="BC4" s="9" t="str">
        <f t="shared" si="0"/>
        <v>S</v>
      </c>
      <c r="BD4" s="9" t="str">
        <f t="shared" si="0"/>
        <v>M</v>
      </c>
      <c r="BE4" s="9" t="str">
        <f t="shared" si="0"/>
        <v>T</v>
      </c>
      <c r="BF4" s="9" t="str">
        <f t="shared" si="0"/>
        <v>W</v>
      </c>
      <c r="BG4" s="9" t="str">
        <f t="shared" si="0"/>
        <v>T</v>
      </c>
      <c r="BH4" s="9" t="str">
        <f t="shared" si="0"/>
        <v>F</v>
      </c>
      <c r="BI4" s="9" t="str">
        <f t="shared" si="0"/>
        <v>S</v>
      </c>
      <c r="BJ4" s="9" t="str">
        <f t="shared" si="0"/>
        <v>S</v>
      </c>
      <c r="BK4" s="9" t="str">
        <f t="shared" si="0"/>
        <v>M</v>
      </c>
      <c r="BL4" s="9" t="str">
        <f t="shared" si="0"/>
        <v>T</v>
      </c>
      <c r="BM4" s="9" t="str">
        <f t="shared" si="0"/>
        <v>W</v>
      </c>
      <c r="BN4" s="9" t="str">
        <f t="shared" si="0"/>
        <v>T</v>
      </c>
      <c r="BO4" s="9" t="str">
        <f t="shared" si="0"/>
        <v>F</v>
      </c>
      <c r="BP4" s="9" t="str">
        <f t="shared" si="0"/>
        <v>S</v>
      </c>
      <c r="BQ4" s="9" t="str">
        <f t="shared" si="0"/>
        <v>S</v>
      </c>
      <c r="BR4" s="9" t="str">
        <f t="shared" si="0"/>
        <v>M</v>
      </c>
      <c r="BS4" s="9" t="str">
        <f t="shared" si="0"/>
        <v>T</v>
      </c>
      <c r="BT4" s="9" t="str">
        <f t="shared" si="0"/>
        <v>W</v>
      </c>
      <c r="BU4" s="9" t="str">
        <f t="shared" si="0"/>
        <v>T</v>
      </c>
      <c r="BV4" s="9" t="str">
        <f t="shared" si="0"/>
        <v>F</v>
      </c>
      <c r="BW4" s="9" t="str">
        <f t="shared" si="0"/>
        <v>S</v>
      </c>
      <c r="BX4" s="9" t="str">
        <f t="shared" si="0"/>
        <v>S</v>
      </c>
      <c r="BY4" s="9" t="str">
        <f t="shared" si="0"/>
        <v>M</v>
      </c>
      <c r="BZ4" s="9" t="str">
        <f t="shared" si="0"/>
        <v>T</v>
      </c>
      <c r="CA4" s="9" t="str">
        <f t="shared" si="0"/>
        <v>W</v>
      </c>
      <c r="CB4" s="9" t="str">
        <f t="shared" si="0"/>
        <v>T</v>
      </c>
      <c r="CC4" s="9" t="str">
        <f t="shared" si="0"/>
        <v>F</v>
      </c>
      <c r="CD4" s="9" t="str">
        <f t="shared" si="0"/>
        <v>S</v>
      </c>
      <c r="CE4" s="9" t="str">
        <f t="shared" si="0"/>
        <v>S</v>
      </c>
      <c r="CF4" s="9" t="str">
        <f t="shared" si="0"/>
        <v>M</v>
      </c>
      <c r="CG4" s="9" t="str">
        <f t="shared" si="0"/>
        <v>T</v>
      </c>
      <c r="CH4" s="9" t="str">
        <f t="shared" si="0"/>
        <v>W</v>
      </c>
      <c r="CI4" s="9" t="str">
        <f t="shared" si="0"/>
        <v>T</v>
      </c>
      <c r="CJ4" s="9" t="str">
        <f t="shared" si="0"/>
        <v>F</v>
      </c>
      <c r="CK4" s="9" t="str">
        <f t="shared" si="0"/>
        <v>S</v>
      </c>
      <c r="CL4" s="9" t="str">
        <f t="shared" si="0"/>
        <v>S</v>
      </c>
      <c r="CM4" s="9" t="str">
        <f t="shared" si="0"/>
        <v>M</v>
      </c>
      <c r="CN4" s="9" t="str">
        <f t="shared" si="0"/>
        <v>T</v>
      </c>
      <c r="CO4" s="9" t="str">
        <f t="shared" si="0"/>
        <v>W</v>
      </c>
      <c r="CP4" s="9" t="str">
        <f t="shared" si="0"/>
        <v>T</v>
      </c>
      <c r="CQ4" s="9" t="str">
        <f t="shared" si="0"/>
        <v>F</v>
      </c>
      <c r="CR4" s="9" t="str">
        <f t="shared" ref="CR4:FC4" si="1">LEFT(TEXT(CR5,"dddd"),1)</f>
        <v>S</v>
      </c>
      <c r="CS4" s="9" t="str">
        <f t="shared" si="1"/>
        <v>S</v>
      </c>
      <c r="CT4" s="9" t="str">
        <f t="shared" si="1"/>
        <v>M</v>
      </c>
      <c r="CU4" s="9" t="str">
        <f t="shared" si="1"/>
        <v>T</v>
      </c>
      <c r="CV4" s="9" t="str">
        <f t="shared" si="1"/>
        <v>W</v>
      </c>
      <c r="CW4" s="9" t="str">
        <f t="shared" si="1"/>
        <v>T</v>
      </c>
      <c r="CX4" s="9" t="str">
        <f t="shared" si="1"/>
        <v>F</v>
      </c>
      <c r="CY4" s="9" t="str">
        <f t="shared" si="1"/>
        <v>S</v>
      </c>
      <c r="CZ4" s="9" t="str">
        <f t="shared" si="1"/>
        <v>S</v>
      </c>
      <c r="DA4" s="9" t="str">
        <f t="shared" si="1"/>
        <v>M</v>
      </c>
      <c r="DB4" s="9" t="str">
        <f t="shared" si="1"/>
        <v>T</v>
      </c>
      <c r="DC4" s="9" t="str">
        <f t="shared" si="1"/>
        <v>W</v>
      </c>
      <c r="DD4" s="9" t="str">
        <f t="shared" si="1"/>
        <v>T</v>
      </c>
      <c r="DE4" s="9" t="str">
        <f t="shared" si="1"/>
        <v>F</v>
      </c>
      <c r="DF4" s="9" t="str">
        <f t="shared" si="1"/>
        <v>S</v>
      </c>
      <c r="DG4" s="9" t="str">
        <f t="shared" si="1"/>
        <v>S</v>
      </c>
      <c r="DH4" s="9" t="str">
        <f t="shared" si="1"/>
        <v>M</v>
      </c>
      <c r="DI4" s="9" t="str">
        <f t="shared" si="1"/>
        <v>T</v>
      </c>
      <c r="DJ4" s="9" t="str">
        <f t="shared" si="1"/>
        <v>W</v>
      </c>
      <c r="DK4" s="9" t="str">
        <f t="shared" si="1"/>
        <v>T</v>
      </c>
      <c r="DL4" s="9" t="str">
        <f t="shared" si="1"/>
        <v>F</v>
      </c>
      <c r="DM4" s="9" t="str">
        <f t="shared" si="1"/>
        <v>S</v>
      </c>
      <c r="DN4" s="9" t="str">
        <f t="shared" si="1"/>
        <v>S</v>
      </c>
      <c r="DO4" s="9" t="str">
        <f t="shared" si="1"/>
        <v>M</v>
      </c>
      <c r="DP4" s="9" t="str">
        <f t="shared" si="1"/>
        <v>T</v>
      </c>
      <c r="DQ4" s="9" t="str">
        <f t="shared" si="1"/>
        <v>W</v>
      </c>
      <c r="DR4" s="9" t="str">
        <f t="shared" si="1"/>
        <v>T</v>
      </c>
      <c r="DS4" s="9" t="str">
        <f t="shared" si="1"/>
        <v>F</v>
      </c>
      <c r="DT4" s="9" t="str">
        <f t="shared" si="1"/>
        <v>S</v>
      </c>
      <c r="DU4" s="9" t="str">
        <f t="shared" si="1"/>
        <v>S</v>
      </c>
      <c r="DV4" s="9" t="str">
        <f t="shared" si="1"/>
        <v>M</v>
      </c>
      <c r="DW4" s="9" t="str">
        <f t="shared" si="1"/>
        <v>T</v>
      </c>
      <c r="DX4" s="9" t="str">
        <f t="shared" si="1"/>
        <v>W</v>
      </c>
      <c r="DY4" s="9" t="str">
        <f t="shared" si="1"/>
        <v>T</v>
      </c>
      <c r="DZ4" s="9" t="str">
        <f t="shared" si="1"/>
        <v>F</v>
      </c>
      <c r="EA4" s="9" t="str">
        <f t="shared" si="1"/>
        <v>S</v>
      </c>
      <c r="EB4" s="9" t="str">
        <f t="shared" si="1"/>
        <v>S</v>
      </c>
      <c r="EC4" s="9" t="str">
        <f t="shared" si="1"/>
        <v>M</v>
      </c>
      <c r="ED4" s="9" t="str">
        <f t="shared" si="1"/>
        <v>T</v>
      </c>
      <c r="EE4" s="9" t="str">
        <f t="shared" si="1"/>
        <v>W</v>
      </c>
      <c r="EF4" s="9" t="str">
        <f t="shared" si="1"/>
        <v>T</v>
      </c>
      <c r="EG4" s="9" t="str">
        <f t="shared" si="1"/>
        <v>F</v>
      </c>
      <c r="EH4" s="9" t="str">
        <f t="shared" si="1"/>
        <v>S</v>
      </c>
      <c r="EI4" s="9" t="str">
        <f t="shared" si="1"/>
        <v>S</v>
      </c>
      <c r="EJ4" s="9" t="str">
        <f t="shared" si="1"/>
        <v>M</v>
      </c>
      <c r="EK4" s="9" t="str">
        <f t="shared" si="1"/>
        <v>T</v>
      </c>
      <c r="EL4" s="9" t="str">
        <f t="shared" si="1"/>
        <v>W</v>
      </c>
      <c r="EM4" s="9" t="str">
        <f t="shared" si="1"/>
        <v>T</v>
      </c>
      <c r="EN4" s="9" t="str">
        <f t="shared" si="1"/>
        <v>F</v>
      </c>
      <c r="EO4" s="9" t="str">
        <f t="shared" si="1"/>
        <v>S</v>
      </c>
      <c r="EP4" s="9" t="str">
        <f t="shared" si="1"/>
        <v>S</v>
      </c>
      <c r="EQ4" s="9" t="str">
        <f t="shared" si="1"/>
        <v>M</v>
      </c>
      <c r="ER4" s="9" t="str">
        <f t="shared" si="1"/>
        <v>T</v>
      </c>
      <c r="ES4" s="9" t="str">
        <f t="shared" si="1"/>
        <v>W</v>
      </c>
      <c r="ET4" s="9" t="str">
        <f t="shared" si="1"/>
        <v>T</v>
      </c>
      <c r="EU4" s="9" t="str">
        <f t="shared" si="1"/>
        <v>F</v>
      </c>
      <c r="EV4" s="9" t="str">
        <f t="shared" si="1"/>
        <v>S</v>
      </c>
      <c r="EW4" s="9" t="str">
        <f t="shared" si="1"/>
        <v>S</v>
      </c>
      <c r="EX4" s="9" t="str">
        <f t="shared" si="1"/>
        <v>M</v>
      </c>
      <c r="EY4" s="9" t="str">
        <f t="shared" si="1"/>
        <v>T</v>
      </c>
      <c r="EZ4" s="9" t="str">
        <f t="shared" si="1"/>
        <v>W</v>
      </c>
      <c r="FA4" s="9" t="str">
        <f t="shared" si="1"/>
        <v>T</v>
      </c>
      <c r="FB4" s="9" t="str">
        <f t="shared" si="1"/>
        <v>F</v>
      </c>
      <c r="FC4" s="9" t="str">
        <f t="shared" si="1"/>
        <v>S</v>
      </c>
      <c r="FD4" s="9" t="str">
        <f t="shared" ref="FD4:HO4" si="2">LEFT(TEXT(FD5,"dddd"),1)</f>
        <v>S</v>
      </c>
      <c r="FE4" s="9" t="str">
        <f t="shared" si="2"/>
        <v>M</v>
      </c>
      <c r="FF4" s="9" t="str">
        <f t="shared" si="2"/>
        <v>T</v>
      </c>
      <c r="FG4" s="9" t="str">
        <f t="shared" si="2"/>
        <v>W</v>
      </c>
      <c r="FH4" s="9" t="str">
        <f t="shared" si="2"/>
        <v>T</v>
      </c>
      <c r="FI4" s="9" t="str">
        <f t="shared" si="2"/>
        <v>F</v>
      </c>
      <c r="FJ4" s="9" t="str">
        <f t="shared" si="2"/>
        <v>S</v>
      </c>
      <c r="FK4" s="9" t="str">
        <f t="shared" si="2"/>
        <v>S</v>
      </c>
      <c r="FL4" s="9" t="str">
        <f t="shared" si="2"/>
        <v>M</v>
      </c>
      <c r="FM4" s="9" t="str">
        <f t="shared" si="2"/>
        <v>T</v>
      </c>
      <c r="FN4" s="9" t="str">
        <f t="shared" si="2"/>
        <v>W</v>
      </c>
      <c r="FO4" s="9" t="str">
        <f t="shared" si="2"/>
        <v>T</v>
      </c>
      <c r="FP4" s="9" t="str">
        <f t="shared" si="2"/>
        <v>F</v>
      </c>
      <c r="FQ4" s="9" t="str">
        <f t="shared" si="2"/>
        <v>S</v>
      </c>
      <c r="FR4" s="9" t="str">
        <f t="shared" si="2"/>
        <v>S</v>
      </c>
      <c r="FS4" s="9" t="str">
        <f t="shared" si="2"/>
        <v>M</v>
      </c>
      <c r="FT4" s="9" t="str">
        <f t="shared" si="2"/>
        <v>T</v>
      </c>
      <c r="FU4" s="9" t="str">
        <f t="shared" si="2"/>
        <v>W</v>
      </c>
      <c r="FV4" s="9" t="str">
        <f t="shared" si="2"/>
        <v>T</v>
      </c>
      <c r="FW4" s="9" t="str">
        <f t="shared" si="2"/>
        <v>F</v>
      </c>
      <c r="FX4" s="9" t="str">
        <f t="shared" si="2"/>
        <v>S</v>
      </c>
      <c r="FY4" s="9" t="str">
        <f t="shared" si="2"/>
        <v>S</v>
      </c>
      <c r="FZ4" s="9" t="str">
        <f t="shared" si="2"/>
        <v>M</v>
      </c>
      <c r="GA4" s="9" t="str">
        <f t="shared" si="2"/>
        <v>T</v>
      </c>
      <c r="GB4" s="9" t="str">
        <f t="shared" si="2"/>
        <v>W</v>
      </c>
      <c r="GC4" s="9" t="str">
        <f t="shared" si="2"/>
        <v>T</v>
      </c>
      <c r="GD4" s="9" t="str">
        <f t="shared" si="2"/>
        <v>F</v>
      </c>
      <c r="GE4" s="9" t="str">
        <f t="shared" si="2"/>
        <v>S</v>
      </c>
      <c r="GF4" s="9" t="str">
        <f t="shared" si="2"/>
        <v>S</v>
      </c>
      <c r="GG4" s="9" t="str">
        <f t="shared" si="2"/>
        <v>M</v>
      </c>
      <c r="GH4" s="9" t="str">
        <f t="shared" si="2"/>
        <v>T</v>
      </c>
      <c r="GI4" s="9" t="str">
        <f t="shared" si="2"/>
        <v>W</v>
      </c>
      <c r="GJ4" s="9" t="str">
        <f t="shared" si="2"/>
        <v>T</v>
      </c>
      <c r="GK4" s="9" t="str">
        <f t="shared" si="2"/>
        <v>F</v>
      </c>
      <c r="GL4" s="9" t="str">
        <f t="shared" si="2"/>
        <v>S</v>
      </c>
      <c r="GM4" s="9" t="str">
        <f t="shared" si="2"/>
        <v>S</v>
      </c>
      <c r="GN4" s="9" t="str">
        <f t="shared" si="2"/>
        <v>M</v>
      </c>
      <c r="GO4" s="9" t="str">
        <f t="shared" si="2"/>
        <v>T</v>
      </c>
      <c r="GP4" s="9" t="str">
        <f t="shared" si="2"/>
        <v>W</v>
      </c>
      <c r="GQ4" s="9" t="str">
        <f t="shared" si="2"/>
        <v>T</v>
      </c>
      <c r="GR4" s="9" t="str">
        <f t="shared" si="2"/>
        <v>F</v>
      </c>
      <c r="GS4" s="9" t="str">
        <f t="shared" si="2"/>
        <v>S</v>
      </c>
      <c r="GT4" s="9" t="str">
        <f t="shared" si="2"/>
        <v>S</v>
      </c>
      <c r="GU4" s="9" t="str">
        <f t="shared" si="2"/>
        <v>M</v>
      </c>
      <c r="GV4" s="9" t="str">
        <f t="shared" si="2"/>
        <v>T</v>
      </c>
      <c r="GW4" s="9" t="str">
        <f t="shared" si="2"/>
        <v>W</v>
      </c>
      <c r="GX4" s="9" t="str">
        <f t="shared" si="2"/>
        <v>T</v>
      </c>
      <c r="GY4" s="9" t="str">
        <f t="shared" si="2"/>
        <v>F</v>
      </c>
      <c r="GZ4" s="9" t="str">
        <f t="shared" si="2"/>
        <v>S</v>
      </c>
      <c r="HA4" s="9" t="str">
        <f t="shared" si="2"/>
        <v>S</v>
      </c>
      <c r="HB4" s="9" t="str">
        <f t="shared" si="2"/>
        <v>M</v>
      </c>
      <c r="HC4" s="9" t="str">
        <f t="shared" si="2"/>
        <v>T</v>
      </c>
      <c r="HD4" s="9" t="str">
        <f t="shared" si="2"/>
        <v>W</v>
      </c>
      <c r="HE4" s="9" t="str">
        <f t="shared" si="2"/>
        <v>T</v>
      </c>
      <c r="HF4" s="9" t="str">
        <f t="shared" si="2"/>
        <v>F</v>
      </c>
      <c r="HG4" s="9" t="str">
        <f t="shared" si="2"/>
        <v>S</v>
      </c>
      <c r="HH4" s="9" t="str">
        <f t="shared" si="2"/>
        <v>S</v>
      </c>
      <c r="HI4" s="9" t="str">
        <f t="shared" si="2"/>
        <v>M</v>
      </c>
      <c r="HJ4" s="9" t="str">
        <f t="shared" si="2"/>
        <v>T</v>
      </c>
      <c r="HK4" s="9" t="str">
        <f t="shared" si="2"/>
        <v>W</v>
      </c>
      <c r="HL4" s="9" t="str">
        <f t="shared" si="2"/>
        <v>T</v>
      </c>
      <c r="HM4" s="9" t="str">
        <f t="shared" si="2"/>
        <v>F</v>
      </c>
      <c r="HN4" s="9" t="str">
        <f t="shared" si="2"/>
        <v>S</v>
      </c>
      <c r="HO4" s="9" t="str">
        <f t="shared" si="2"/>
        <v>S</v>
      </c>
      <c r="HP4" s="9" t="str">
        <f t="shared" ref="HP4:KA4" si="3">LEFT(TEXT(HP5,"dddd"),1)</f>
        <v>M</v>
      </c>
      <c r="HQ4" s="9" t="str">
        <f t="shared" si="3"/>
        <v>T</v>
      </c>
      <c r="HR4" s="9" t="str">
        <f t="shared" si="3"/>
        <v>W</v>
      </c>
      <c r="HS4" s="9" t="str">
        <f t="shared" si="3"/>
        <v>T</v>
      </c>
      <c r="HT4" s="9" t="str">
        <f t="shared" si="3"/>
        <v>F</v>
      </c>
      <c r="HU4" s="9" t="str">
        <f t="shared" si="3"/>
        <v>S</v>
      </c>
      <c r="HV4" s="9" t="str">
        <f t="shared" si="3"/>
        <v>S</v>
      </c>
      <c r="HW4" s="9" t="str">
        <f t="shared" si="3"/>
        <v>M</v>
      </c>
      <c r="HX4" s="9" t="str">
        <f t="shared" si="3"/>
        <v>T</v>
      </c>
      <c r="HY4" s="9" t="str">
        <f t="shared" si="3"/>
        <v>W</v>
      </c>
      <c r="HZ4" s="9" t="str">
        <f t="shared" si="3"/>
        <v>T</v>
      </c>
      <c r="IA4" s="9" t="str">
        <f t="shared" si="3"/>
        <v>F</v>
      </c>
      <c r="IB4" s="9" t="str">
        <f t="shared" si="3"/>
        <v>S</v>
      </c>
      <c r="IC4" s="9" t="str">
        <f t="shared" si="3"/>
        <v>S</v>
      </c>
      <c r="ID4" s="9" t="str">
        <f t="shared" si="3"/>
        <v>M</v>
      </c>
      <c r="IE4" s="9" t="str">
        <f t="shared" si="3"/>
        <v>T</v>
      </c>
      <c r="IF4" s="9" t="str">
        <f t="shared" si="3"/>
        <v>W</v>
      </c>
      <c r="IG4" s="9" t="str">
        <f t="shared" si="3"/>
        <v>T</v>
      </c>
      <c r="IH4" s="9" t="str">
        <f t="shared" si="3"/>
        <v>F</v>
      </c>
      <c r="II4" s="9" t="str">
        <f t="shared" si="3"/>
        <v>S</v>
      </c>
      <c r="IJ4" s="9" t="str">
        <f t="shared" si="3"/>
        <v>S</v>
      </c>
      <c r="IK4" s="9" t="str">
        <f t="shared" si="3"/>
        <v>M</v>
      </c>
      <c r="IL4" s="9" t="str">
        <f t="shared" si="3"/>
        <v>T</v>
      </c>
      <c r="IM4" s="9" t="str">
        <f t="shared" si="3"/>
        <v>W</v>
      </c>
      <c r="IN4" s="9" t="str">
        <f t="shared" si="3"/>
        <v>T</v>
      </c>
      <c r="IO4" s="9" t="str">
        <f t="shared" si="3"/>
        <v>F</v>
      </c>
      <c r="IP4" s="9" t="str">
        <f t="shared" si="3"/>
        <v>S</v>
      </c>
      <c r="IQ4" s="9" t="str">
        <f t="shared" si="3"/>
        <v>S</v>
      </c>
      <c r="IR4" s="9" t="str">
        <f t="shared" si="3"/>
        <v>M</v>
      </c>
      <c r="IS4" s="9" t="str">
        <f t="shared" si="3"/>
        <v>T</v>
      </c>
      <c r="IT4" s="9" t="str">
        <f t="shared" si="3"/>
        <v>W</v>
      </c>
      <c r="IU4" s="9" t="str">
        <f t="shared" si="3"/>
        <v>T</v>
      </c>
      <c r="IV4" s="9" t="str">
        <f t="shared" si="3"/>
        <v>F</v>
      </c>
      <c r="IW4" s="9" t="str">
        <f t="shared" si="3"/>
        <v>S</v>
      </c>
      <c r="IX4" s="9" t="str">
        <f t="shared" si="3"/>
        <v>S</v>
      </c>
      <c r="IY4" s="9" t="str">
        <f t="shared" si="3"/>
        <v>M</v>
      </c>
      <c r="IZ4" s="9" t="str">
        <f t="shared" si="3"/>
        <v>T</v>
      </c>
      <c r="JA4" s="9" t="str">
        <f t="shared" si="3"/>
        <v>W</v>
      </c>
      <c r="JB4" s="9" t="str">
        <f t="shared" si="3"/>
        <v>T</v>
      </c>
      <c r="JC4" s="9" t="str">
        <f t="shared" si="3"/>
        <v>F</v>
      </c>
      <c r="JD4" s="9" t="str">
        <f t="shared" si="3"/>
        <v>S</v>
      </c>
      <c r="JE4" s="9" t="str">
        <f t="shared" si="3"/>
        <v>S</v>
      </c>
      <c r="JF4" s="9" t="str">
        <f t="shared" si="3"/>
        <v>M</v>
      </c>
      <c r="JG4" s="9" t="str">
        <f t="shared" si="3"/>
        <v>T</v>
      </c>
      <c r="JH4" s="9" t="str">
        <f t="shared" si="3"/>
        <v>W</v>
      </c>
      <c r="JI4" s="9" t="str">
        <f t="shared" si="3"/>
        <v>T</v>
      </c>
      <c r="JJ4" s="9" t="str">
        <f t="shared" si="3"/>
        <v>F</v>
      </c>
      <c r="JK4" s="9" t="str">
        <f t="shared" si="3"/>
        <v>S</v>
      </c>
      <c r="JL4" s="9" t="str">
        <f t="shared" si="3"/>
        <v>S</v>
      </c>
      <c r="JM4" s="9" t="str">
        <f t="shared" si="3"/>
        <v>M</v>
      </c>
      <c r="JN4" s="9" t="str">
        <f t="shared" si="3"/>
        <v>T</v>
      </c>
      <c r="JO4" s="9" t="str">
        <f t="shared" si="3"/>
        <v>W</v>
      </c>
      <c r="JP4" s="9" t="str">
        <f t="shared" si="3"/>
        <v>T</v>
      </c>
      <c r="JQ4" s="9" t="str">
        <f t="shared" si="3"/>
        <v>F</v>
      </c>
      <c r="JR4" s="9" t="str">
        <f t="shared" si="3"/>
        <v>S</v>
      </c>
      <c r="JS4" s="9" t="str">
        <f t="shared" si="3"/>
        <v>S</v>
      </c>
      <c r="JT4" s="9" t="str">
        <f t="shared" si="3"/>
        <v>M</v>
      </c>
      <c r="JU4" s="9" t="str">
        <f t="shared" si="3"/>
        <v>T</v>
      </c>
      <c r="JV4" s="9" t="str">
        <f t="shared" si="3"/>
        <v>W</v>
      </c>
      <c r="JW4" s="9" t="str">
        <f t="shared" si="3"/>
        <v>T</v>
      </c>
      <c r="JX4" s="9" t="str">
        <f t="shared" si="3"/>
        <v>F</v>
      </c>
      <c r="JY4" s="9" t="str">
        <f t="shared" si="3"/>
        <v>S</v>
      </c>
      <c r="JZ4" s="9" t="str">
        <f t="shared" si="3"/>
        <v>S</v>
      </c>
      <c r="KA4" s="9" t="str">
        <f t="shared" si="3"/>
        <v>M</v>
      </c>
      <c r="KB4" s="9" t="str">
        <f t="shared" ref="KB4:MM4" si="4">LEFT(TEXT(KB5,"dddd"),1)</f>
        <v>T</v>
      </c>
      <c r="KC4" s="9" t="str">
        <f t="shared" si="4"/>
        <v>W</v>
      </c>
      <c r="KD4" s="9" t="str">
        <f t="shared" si="4"/>
        <v>T</v>
      </c>
      <c r="KE4" s="9" t="str">
        <f t="shared" si="4"/>
        <v>F</v>
      </c>
      <c r="KF4" s="9" t="str">
        <f t="shared" si="4"/>
        <v>S</v>
      </c>
      <c r="KG4" s="9" t="str">
        <f t="shared" si="4"/>
        <v>S</v>
      </c>
      <c r="KH4" s="9" t="str">
        <f t="shared" si="4"/>
        <v>M</v>
      </c>
      <c r="KI4" s="9" t="str">
        <f t="shared" si="4"/>
        <v>T</v>
      </c>
      <c r="KJ4" s="9" t="str">
        <f t="shared" si="4"/>
        <v>W</v>
      </c>
      <c r="KK4" s="9" t="str">
        <f t="shared" si="4"/>
        <v>T</v>
      </c>
      <c r="KL4" s="9" t="str">
        <f t="shared" si="4"/>
        <v>F</v>
      </c>
      <c r="KM4" s="9" t="str">
        <f t="shared" si="4"/>
        <v>S</v>
      </c>
      <c r="KN4" s="9" t="str">
        <f t="shared" si="4"/>
        <v>S</v>
      </c>
      <c r="KO4" s="9" t="str">
        <f t="shared" si="4"/>
        <v>M</v>
      </c>
      <c r="KP4" s="9" t="str">
        <f t="shared" si="4"/>
        <v>T</v>
      </c>
      <c r="KQ4" s="9" t="str">
        <f t="shared" si="4"/>
        <v>W</v>
      </c>
      <c r="KR4" s="9" t="str">
        <f t="shared" si="4"/>
        <v>T</v>
      </c>
      <c r="KS4" s="9" t="str">
        <f t="shared" si="4"/>
        <v>F</v>
      </c>
      <c r="KT4" s="9" t="str">
        <f t="shared" si="4"/>
        <v>S</v>
      </c>
      <c r="KU4" s="9" t="str">
        <f t="shared" si="4"/>
        <v>S</v>
      </c>
      <c r="KV4" s="9" t="str">
        <f t="shared" si="4"/>
        <v>M</v>
      </c>
      <c r="KW4" s="9" t="str">
        <f t="shared" si="4"/>
        <v>T</v>
      </c>
      <c r="KX4" s="9" t="str">
        <f t="shared" si="4"/>
        <v>W</v>
      </c>
      <c r="KY4" s="9" t="str">
        <f t="shared" si="4"/>
        <v>T</v>
      </c>
      <c r="KZ4" s="9" t="str">
        <f t="shared" si="4"/>
        <v>F</v>
      </c>
      <c r="LA4" s="9" t="str">
        <f t="shared" si="4"/>
        <v>S</v>
      </c>
      <c r="LB4" s="9" t="str">
        <f t="shared" si="4"/>
        <v>S</v>
      </c>
      <c r="LC4" s="9" t="str">
        <f t="shared" si="4"/>
        <v>M</v>
      </c>
      <c r="LD4" s="9" t="str">
        <f t="shared" si="4"/>
        <v>T</v>
      </c>
      <c r="LE4" s="9" t="str">
        <f t="shared" si="4"/>
        <v>W</v>
      </c>
      <c r="LF4" s="9" t="str">
        <f t="shared" si="4"/>
        <v>T</v>
      </c>
      <c r="LG4" s="9" t="str">
        <f t="shared" si="4"/>
        <v>F</v>
      </c>
      <c r="LH4" s="9" t="str">
        <f t="shared" si="4"/>
        <v>S</v>
      </c>
      <c r="LI4" s="9" t="str">
        <f t="shared" si="4"/>
        <v>S</v>
      </c>
      <c r="LJ4" s="9" t="str">
        <f t="shared" si="4"/>
        <v>M</v>
      </c>
      <c r="LK4" s="9" t="str">
        <f t="shared" si="4"/>
        <v>T</v>
      </c>
      <c r="LL4" s="9" t="str">
        <f t="shared" si="4"/>
        <v>W</v>
      </c>
      <c r="LM4" s="9" t="str">
        <f t="shared" si="4"/>
        <v>T</v>
      </c>
      <c r="LN4" s="9" t="str">
        <f t="shared" si="4"/>
        <v>F</v>
      </c>
      <c r="LO4" s="9" t="str">
        <f t="shared" si="4"/>
        <v>S</v>
      </c>
      <c r="LP4" s="9" t="str">
        <f t="shared" si="4"/>
        <v>S</v>
      </c>
      <c r="LQ4" s="9" t="str">
        <f t="shared" si="4"/>
        <v>M</v>
      </c>
      <c r="LR4" s="9" t="str">
        <f t="shared" si="4"/>
        <v>T</v>
      </c>
      <c r="LS4" s="9" t="str">
        <f t="shared" si="4"/>
        <v>W</v>
      </c>
      <c r="LT4" s="9" t="str">
        <f t="shared" si="4"/>
        <v>T</v>
      </c>
      <c r="LU4" s="9" t="str">
        <f t="shared" si="4"/>
        <v>F</v>
      </c>
      <c r="LV4" s="9" t="str">
        <f t="shared" si="4"/>
        <v>S</v>
      </c>
      <c r="LW4" s="9" t="str">
        <f t="shared" si="4"/>
        <v>S</v>
      </c>
      <c r="LX4" s="9" t="str">
        <f t="shared" si="4"/>
        <v>M</v>
      </c>
      <c r="LY4" s="9" t="str">
        <f t="shared" si="4"/>
        <v>T</v>
      </c>
      <c r="LZ4" s="9" t="str">
        <f t="shared" si="4"/>
        <v>W</v>
      </c>
      <c r="MA4" s="9" t="str">
        <f t="shared" si="4"/>
        <v>T</v>
      </c>
      <c r="MB4" s="9" t="str">
        <f t="shared" si="4"/>
        <v>F</v>
      </c>
      <c r="MC4" s="9" t="str">
        <f t="shared" si="4"/>
        <v>S</v>
      </c>
      <c r="MD4" s="9" t="str">
        <f t="shared" si="4"/>
        <v>S</v>
      </c>
      <c r="ME4" s="9" t="str">
        <f t="shared" si="4"/>
        <v>M</v>
      </c>
      <c r="MF4" s="9" t="str">
        <f t="shared" si="4"/>
        <v>T</v>
      </c>
      <c r="MG4" s="9" t="str">
        <f t="shared" si="4"/>
        <v>W</v>
      </c>
      <c r="MH4" s="9" t="str">
        <f t="shared" si="4"/>
        <v>T</v>
      </c>
      <c r="MI4" s="9" t="str">
        <f t="shared" si="4"/>
        <v>F</v>
      </c>
      <c r="MJ4" s="9" t="str">
        <f t="shared" si="4"/>
        <v>S</v>
      </c>
      <c r="MK4" s="9" t="str">
        <f t="shared" si="4"/>
        <v>S</v>
      </c>
      <c r="ML4" s="9" t="str">
        <f t="shared" si="4"/>
        <v>M</v>
      </c>
      <c r="MM4" s="9" t="str">
        <f t="shared" si="4"/>
        <v>T</v>
      </c>
      <c r="MN4" s="9" t="str">
        <f t="shared" ref="MN4:OE4" si="5">LEFT(TEXT(MN5,"dddd"),1)</f>
        <v>W</v>
      </c>
      <c r="MO4" s="9" t="str">
        <f t="shared" si="5"/>
        <v>T</v>
      </c>
      <c r="MP4" s="9" t="str">
        <f t="shared" si="5"/>
        <v>F</v>
      </c>
      <c r="MQ4" s="9" t="str">
        <f t="shared" si="5"/>
        <v>S</v>
      </c>
      <c r="MR4" s="9" t="str">
        <f t="shared" si="5"/>
        <v>S</v>
      </c>
      <c r="MS4" s="9" t="str">
        <f t="shared" si="5"/>
        <v>M</v>
      </c>
      <c r="MT4" s="9" t="str">
        <f t="shared" si="5"/>
        <v>T</v>
      </c>
      <c r="MU4" s="9" t="str">
        <f t="shared" si="5"/>
        <v>W</v>
      </c>
      <c r="MV4" s="9" t="str">
        <f t="shared" si="5"/>
        <v>T</v>
      </c>
      <c r="MW4" s="9" t="str">
        <f t="shared" si="5"/>
        <v>F</v>
      </c>
      <c r="MX4" s="9" t="str">
        <f t="shared" si="5"/>
        <v>S</v>
      </c>
      <c r="MY4" s="9" t="str">
        <f t="shared" si="5"/>
        <v>S</v>
      </c>
      <c r="MZ4" s="9" t="str">
        <f t="shared" si="5"/>
        <v>M</v>
      </c>
      <c r="NA4" s="9" t="str">
        <f t="shared" si="5"/>
        <v>T</v>
      </c>
      <c r="NB4" s="9" t="str">
        <f t="shared" si="5"/>
        <v>W</v>
      </c>
      <c r="NC4" s="9" t="str">
        <f t="shared" si="5"/>
        <v>T</v>
      </c>
      <c r="ND4" s="9" t="str">
        <f t="shared" si="5"/>
        <v>F</v>
      </c>
      <c r="NE4" s="9" t="str">
        <f t="shared" si="5"/>
        <v>S</v>
      </c>
      <c r="NF4" s="9" t="str">
        <f t="shared" si="5"/>
        <v>S</v>
      </c>
      <c r="NG4" s="9" t="str">
        <f t="shared" si="5"/>
        <v>M</v>
      </c>
      <c r="NH4" s="9" t="str">
        <f t="shared" si="5"/>
        <v>T</v>
      </c>
      <c r="NI4" s="9" t="str">
        <f t="shared" si="5"/>
        <v>W</v>
      </c>
      <c r="NJ4" s="9" t="str">
        <f t="shared" si="5"/>
        <v>T</v>
      </c>
      <c r="NK4" s="9" t="str">
        <f t="shared" si="5"/>
        <v>F</v>
      </c>
      <c r="NL4" s="9" t="str">
        <f t="shared" si="5"/>
        <v>S</v>
      </c>
      <c r="NM4" s="9" t="str">
        <f t="shared" si="5"/>
        <v>S</v>
      </c>
      <c r="NN4" s="9" t="str">
        <f t="shared" si="5"/>
        <v>M</v>
      </c>
      <c r="NO4" s="9" t="str">
        <f t="shared" si="5"/>
        <v>T</v>
      </c>
      <c r="NP4" s="9" t="str">
        <f t="shared" si="5"/>
        <v>W</v>
      </c>
      <c r="NQ4" s="9" t="str">
        <f t="shared" si="5"/>
        <v>T</v>
      </c>
      <c r="NR4" s="9" t="str">
        <f t="shared" si="5"/>
        <v>F</v>
      </c>
      <c r="NS4" s="9" t="str">
        <f t="shared" si="5"/>
        <v>S</v>
      </c>
      <c r="NT4" s="9" t="str">
        <f t="shared" si="5"/>
        <v>S</v>
      </c>
      <c r="NU4" s="9" t="str">
        <f t="shared" si="5"/>
        <v>M</v>
      </c>
      <c r="NV4" s="9" t="str">
        <f t="shared" si="5"/>
        <v>T</v>
      </c>
      <c r="NW4" s="9" t="str">
        <f t="shared" si="5"/>
        <v>W</v>
      </c>
      <c r="NX4" s="9" t="str">
        <f t="shared" si="5"/>
        <v>T</v>
      </c>
      <c r="NY4" s="9" t="str">
        <f t="shared" si="5"/>
        <v>F</v>
      </c>
      <c r="NZ4" s="9" t="str">
        <f t="shared" si="5"/>
        <v>S</v>
      </c>
      <c r="OA4" s="9" t="str">
        <f t="shared" si="5"/>
        <v>S</v>
      </c>
      <c r="OB4" s="9" t="str">
        <f t="shared" si="5"/>
        <v>M</v>
      </c>
      <c r="OC4" s="9" t="str">
        <f t="shared" si="5"/>
        <v>T</v>
      </c>
      <c r="OD4" s="9" t="str">
        <f t="shared" si="5"/>
        <v>W</v>
      </c>
      <c r="OE4" s="30" t="str">
        <f t="shared" si="5"/>
        <v>T</v>
      </c>
    </row>
    <row r="5" spans="1:395">
      <c r="A5" s="205"/>
      <c r="B5" s="206"/>
      <c r="C5" s="206"/>
      <c r="D5" s="206"/>
      <c r="E5" s="206"/>
      <c r="F5" s="206"/>
      <c r="G5" s="221"/>
      <c r="H5" s="219"/>
      <c r="I5" s="219"/>
      <c r="J5" s="219"/>
      <c r="K5" s="219"/>
      <c r="L5" s="219"/>
      <c r="M5" s="219"/>
      <c r="N5" s="219"/>
      <c r="O5" s="219"/>
      <c r="P5" s="219"/>
      <c r="Q5" s="219"/>
      <c r="R5" s="219"/>
      <c r="S5" s="219"/>
      <c r="T5" s="219"/>
      <c r="U5" s="219"/>
      <c r="V5" s="219"/>
      <c r="W5" s="219"/>
      <c r="X5" s="219"/>
      <c r="Y5" s="219"/>
      <c r="Z5" s="219"/>
      <c r="AA5" s="219"/>
      <c r="AB5" s="219"/>
      <c r="AC5" s="219"/>
      <c r="AD5" s="219"/>
      <c r="AE5" s="10">
        <v>46023</v>
      </c>
      <c r="AF5" s="10">
        <v>46024</v>
      </c>
      <c r="AG5" s="10">
        <v>46025</v>
      </c>
      <c r="AH5" s="10">
        <v>46026</v>
      </c>
      <c r="AI5" s="10">
        <v>46027</v>
      </c>
      <c r="AJ5" s="10">
        <v>46028</v>
      </c>
      <c r="AK5" s="10">
        <v>46029</v>
      </c>
      <c r="AL5" s="10">
        <v>46030</v>
      </c>
      <c r="AM5" s="10">
        <v>46031</v>
      </c>
      <c r="AN5" s="10">
        <v>46032</v>
      </c>
      <c r="AO5" s="10">
        <v>46033</v>
      </c>
      <c r="AP5" s="10">
        <v>46034</v>
      </c>
      <c r="AQ5" s="10">
        <v>46035</v>
      </c>
      <c r="AR5" s="10">
        <v>46036</v>
      </c>
      <c r="AS5" s="10">
        <v>46037</v>
      </c>
      <c r="AT5" s="10">
        <v>46038</v>
      </c>
      <c r="AU5" s="10">
        <v>46039</v>
      </c>
      <c r="AV5" s="10">
        <v>46040</v>
      </c>
      <c r="AW5" s="10">
        <v>46041</v>
      </c>
      <c r="AX5" s="10">
        <v>46042</v>
      </c>
      <c r="AY5" s="10">
        <v>46043</v>
      </c>
      <c r="AZ5" s="10">
        <v>46044</v>
      </c>
      <c r="BA5" s="10">
        <v>46045</v>
      </c>
      <c r="BB5" s="10">
        <v>46046</v>
      </c>
      <c r="BC5" s="10">
        <v>46047</v>
      </c>
      <c r="BD5" s="10">
        <v>46048</v>
      </c>
      <c r="BE5" s="10">
        <v>46049</v>
      </c>
      <c r="BF5" s="10">
        <v>46050</v>
      </c>
      <c r="BG5" s="10">
        <v>46051</v>
      </c>
      <c r="BH5" s="10">
        <v>46052</v>
      </c>
      <c r="BI5" s="10">
        <v>46053</v>
      </c>
      <c r="BJ5" s="10">
        <v>46054</v>
      </c>
      <c r="BK5" s="10">
        <v>46055</v>
      </c>
      <c r="BL5" s="10">
        <v>46056</v>
      </c>
      <c r="BM5" s="10">
        <v>46057</v>
      </c>
      <c r="BN5" s="10">
        <v>46058</v>
      </c>
      <c r="BO5" s="10">
        <v>46059</v>
      </c>
      <c r="BP5" s="10">
        <v>46060</v>
      </c>
      <c r="BQ5" s="10">
        <v>46061</v>
      </c>
      <c r="BR5" s="10">
        <v>46062</v>
      </c>
      <c r="BS5" s="10">
        <v>46063</v>
      </c>
      <c r="BT5" s="10">
        <v>46064</v>
      </c>
      <c r="BU5" s="10">
        <v>46065</v>
      </c>
      <c r="BV5" s="10">
        <v>46066</v>
      </c>
      <c r="BW5" s="10">
        <v>46067</v>
      </c>
      <c r="BX5" s="10">
        <v>46068</v>
      </c>
      <c r="BY5" s="10">
        <v>46069</v>
      </c>
      <c r="BZ5" s="10">
        <v>46070</v>
      </c>
      <c r="CA5" s="10">
        <v>46071</v>
      </c>
      <c r="CB5" s="10">
        <v>46072</v>
      </c>
      <c r="CC5" s="10">
        <v>46073</v>
      </c>
      <c r="CD5" s="10">
        <v>46074</v>
      </c>
      <c r="CE5" s="10">
        <v>46075</v>
      </c>
      <c r="CF5" s="10">
        <v>46076</v>
      </c>
      <c r="CG5" s="10">
        <v>46077</v>
      </c>
      <c r="CH5" s="10">
        <v>46078</v>
      </c>
      <c r="CI5" s="10">
        <v>46079</v>
      </c>
      <c r="CJ5" s="10">
        <v>46080</v>
      </c>
      <c r="CK5" s="10">
        <v>46081</v>
      </c>
      <c r="CL5" s="10">
        <v>46082</v>
      </c>
      <c r="CM5" s="10">
        <v>46083</v>
      </c>
      <c r="CN5" s="10">
        <v>46084</v>
      </c>
      <c r="CO5" s="10">
        <v>46085</v>
      </c>
      <c r="CP5" s="10">
        <v>46086</v>
      </c>
      <c r="CQ5" s="10">
        <v>46087</v>
      </c>
      <c r="CR5" s="10">
        <v>46088</v>
      </c>
      <c r="CS5" s="10">
        <v>46089</v>
      </c>
      <c r="CT5" s="10">
        <v>46090</v>
      </c>
      <c r="CU5" s="10">
        <v>46091</v>
      </c>
      <c r="CV5" s="10">
        <v>46092</v>
      </c>
      <c r="CW5" s="10">
        <v>46093</v>
      </c>
      <c r="CX5" s="10">
        <v>46094</v>
      </c>
      <c r="CY5" s="10">
        <v>46095</v>
      </c>
      <c r="CZ5" s="10">
        <v>46096</v>
      </c>
      <c r="DA5" s="10">
        <v>46097</v>
      </c>
      <c r="DB5" s="10">
        <v>46098</v>
      </c>
      <c r="DC5" s="10">
        <v>46099</v>
      </c>
      <c r="DD5" s="10">
        <v>46100</v>
      </c>
      <c r="DE5" s="10">
        <v>46101</v>
      </c>
      <c r="DF5" s="10">
        <v>46102</v>
      </c>
      <c r="DG5" s="10">
        <v>46103</v>
      </c>
      <c r="DH5" s="10">
        <v>46104</v>
      </c>
      <c r="DI5" s="10">
        <v>46105</v>
      </c>
      <c r="DJ5" s="10">
        <v>46106</v>
      </c>
      <c r="DK5" s="10">
        <v>46107</v>
      </c>
      <c r="DL5" s="10">
        <v>46108</v>
      </c>
      <c r="DM5" s="10">
        <v>46109</v>
      </c>
      <c r="DN5" s="10">
        <v>46110</v>
      </c>
      <c r="DO5" s="10">
        <v>46111</v>
      </c>
      <c r="DP5" s="10">
        <v>46112</v>
      </c>
      <c r="DQ5" s="10">
        <v>46113</v>
      </c>
      <c r="DR5" s="10">
        <v>46114</v>
      </c>
      <c r="DS5" s="10">
        <v>46115</v>
      </c>
      <c r="DT5" s="10">
        <v>46116</v>
      </c>
      <c r="DU5" s="10">
        <v>46117</v>
      </c>
      <c r="DV5" s="10">
        <v>46118</v>
      </c>
      <c r="DW5" s="10">
        <v>46119</v>
      </c>
      <c r="DX5" s="10">
        <v>46120</v>
      </c>
      <c r="DY5" s="10">
        <v>46121</v>
      </c>
      <c r="DZ5" s="10">
        <v>46122</v>
      </c>
      <c r="EA5" s="10">
        <v>46123</v>
      </c>
      <c r="EB5" s="10">
        <v>46124</v>
      </c>
      <c r="EC5" s="10">
        <v>46125</v>
      </c>
      <c r="ED5" s="10">
        <v>46126</v>
      </c>
      <c r="EE5" s="10">
        <v>46127</v>
      </c>
      <c r="EF5" s="10">
        <v>46128</v>
      </c>
      <c r="EG5" s="10">
        <v>46129</v>
      </c>
      <c r="EH5" s="10">
        <v>46130</v>
      </c>
      <c r="EI5" s="10">
        <v>46131</v>
      </c>
      <c r="EJ5" s="10">
        <v>46132</v>
      </c>
      <c r="EK5" s="10">
        <v>46133</v>
      </c>
      <c r="EL5" s="10">
        <v>46134</v>
      </c>
      <c r="EM5" s="10">
        <v>46135</v>
      </c>
      <c r="EN5" s="10">
        <v>46136</v>
      </c>
      <c r="EO5" s="10">
        <v>46137</v>
      </c>
      <c r="EP5" s="10">
        <v>46138</v>
      </c>
      <c r="EQ5" s="10">
        <v>46139</v>
      </c>
      <c r="ER5" s="10">
        <v>46140</v>
      </c>
      <c r="ES5" s="10">
        <v>46141</v>
      </c>
      <c r="ET5" s="10">
        <v>46142</v>
      </c>
      <c r="EU5" s="10">
        <v>46143</v>
      </c>
      <c r="EV5" s="10">
        <v>46144</v>
      </c>
      <c r="EW5" s="10">
        <v>46145</v>
      </c>
      <c r="EX5" s="10">
        <v>46146</v>
      </c>
      <c r="EY5" s="10">
        <v>46147</v>
      </c>
      <c r="EZ5" s="10">
        <v>46148</v>
      </c>
      <c r="FA5" s="10">
        <v>46149</v>
      </c>
      <c r="FB5" s="10">
        <v>46150</v>
      </c>
      <c r="FC5" s="10">
        <v>46151</v>
      </c>
      <c r="FD5" s="10">
        <v>46152</v>
      </c>
      <c r="FE5" s="10">
        <v>46153</v>
      </c>
      <c r="FF5" s="10">
        <v>46154</v>
      </c>
      <c r="FG5" s="10">
        <v>46155</v>
      </c>
      <c r="FH5" s="10">
        <v>46156</v>
      </c>
      <c r="FI5" s="10">
        <v>46157</v>
      </c>
      <c r="FJ5" s="10">
        <v>46158</v>
      </c>
      <c r="FK5" s="10">
        <v>46159</v>
      </c>
      <c r="FL5" s="10">
        <v>46160</v>
      </c>
      <c r="FM5" s="10">
        <v>46161</v>
      </c>
      <c r="FN5" s="10">
        <v>46162</v>
      </c>
      <c r="FO5" s="10">
        <v>46163</v>
      </c>
      <c r="FP5" s="10">
        <v>46164</v>
      </c>
      <c r="FQ5" s="10">
        <v>46165</v>
      </c>
      <c r="FR5" s="10">
        <v>46166</v>
      </c>
      <c r="FS5" s="10">
        <v>46167</v>
      </c>
      <c r="FT5" s="10">
        <v>46168</v>
      </c>
      <c r="FU5" s="10">
        <v>46169</v>
      </c>
      <c r="FV5" s="10">
        <v>46170</v>
      </c>
      <c r="FW5" s="10">
        <v>46171</v>
      </c>
      <c r="FX5" s="10">
        <v>46172</v>
      </c>
      <c r="FY5" s="10">
        <v>46173</v>
      </c>
      <c r="FZ5" s="10">
        <v>46174</v>
      </c>
      <c r="GA5" s="10">
        <v>46175</v>
      </c>
      <c r="GB5" s="10">
        <v>46176</v>
      </c>
      <c r="GC5" s="10">
        <v>46177</v>
      </c>
      <c r="GD5" s="10">
        <v>46178</v>
      </c>
      <c r="GE5" s="10">
        <v>46179</v>
      </c>
      <c r="GF5" s="10">
        <v>46180</v>
      </c>
      <c r="GG5" s="10">
        <v>46181</v>
      </c>
      <c r="GH5" s="10">
        <v>46182</v>
      </c>
      <c r="GI5" s="10">
        <v>46183</v>
      </c>
      <c r="GJ5" s="10">
        <v>46184</v>
      </c>
      <c r="GK5" s="10">
        <v>46185</v>
      </c>
      <c r="GL5" s="10">
        <v>46186</v>
      </c>
      <c r="GM5" s="10">
        <v>46187</v>
      </c>
      <c r="GN5" s="10">
        <v>46188</v>
      </c>
      <c r="GO5" s="10">
        <v>46189</v>
      </c>
      <c r="GP5" s="10">
        <v>46190</v>
      </c>
      <c r="GQ5" s="10">
        <v>46191</v>
      </c>
      <c r="GR5" s="10">
        <v>46192</v>
      </c>
      <c r="GS5" s="10">
        <v>46193</v>
      </c>
      <c r="GT5" s="10">
        <v>46194</v>
      </c>
      <c r="GU5" s="10">
        <v>46195</v>
      </c>
      <c r="GV5" s="10">
        <v>46196</v>
      </c>
      <c r="GW5" s="10">
        <v>46197</v>
      </c>
      <c r="GX5" s="10">
        <v>46198</v>
      </c>
      <c r="GY5" s="10">
        <v>46199</v>
      </c>
      <c r="GZ5" s="10">
        <v>46200</v>
      </c>
      <c r="HA5" s="10">
        <v>46201</v>
      </c>
      <c r="HB5" s="10">
        <v>46202</v>
      </c>
      <c r="HC5" s="10">
        <v>46203</v>
      </c>
      <c r="HD5" s="10">
        <v>46204</v>
      </c>
      <c r="HE5" s="10">
        <v>46205</v>
      </c>
      <c r="HF5" s="10">
        <v>46206</v>
      </c>
      <c r="HG5" s="10">
        <v>46207</v>
      </c>
      <c r="HH5" s="10">
        <v>46208</v>
      </c>
      <c r="HI5" s="10">
        <v>46209</v>
      </c>
      <c r="HJ5" s="10">
        <v>46210</v>
      </c>
      <c r="HK5" s="10">
        <v>46211</v>
      </c>
      <c r="HL5" s="10">
        <v>46212</v>
      </c>
      <c r="HM5" s="10">
        <v>46213</v>
      </c>
      <c r="HN5" s="10">
        <v>46214</v>
      </c>
      <c r="HO5" s="10">
        <v>46215</v>
      </c>
      <c r="HP5" s="10">
        <v>46216</v>
      </c>
      <c r="HQ5" s="10">
        <v>46217</v>
      </c>
      <c r="HR5" s="10">
        <v>46218</v>
      </c>
      <c r="HS5" s="10">
        <v>46219</v>
      </c>
      <c r="HT5" s="10">
        <v>46220</v>
      </c>
      <c r="HU5" s="10">
        <v>46221</v>
      </c>
      <c r="HV5" s="10">
        <v>46222</v>
      </c>
      <c r="HW5" s="10">
        <v>46223</v>
      </c>
      <c r="HX5" s="10">
        <v>46224</v>
      </c>
      <c r="HY5" s="10">
        <v>46225</v>
      </c>
      <c r="HZ5" s="10">
        <v>46226</v>
      </c>
      <c r="IA5" s="10">
        <v>46227</v>
      </c>
      <c r="IB5" s="10">
        <v>46228</v>
      </c>
      <c r="IC5" s="10">
        <v>46229</v>
      </c>
      <c r="ID5" s="10">
        <v>46230</v>
      </c>
      <c r="IE5" s="10">
        <v>46231</v>
      </c>
      <c r="IF5" s="10">
        <v>46232</v>
      </c>
      <c r="IG5" s="10">
        <v>46233</v>
      </c>
      <c r="IH5" s="10">
        <v>46234</v>
      </c>
      <c r="II5" s="10">
        <v>46235</v>
      </c>
      <c r="IJ5" s="10">
        <v>46236</v>
      </c>
      <c r="IK5" s="10">
        <v>46237</v>
      </c>
      <c r="IL5" s="10">
        <v>46238</v>
      </c>
      <c r="IM5" s="10">
        <v>46239</v>
      </c>
      <c r="IN5" s="10">
        <v>46240</v>
      </c>
      <c r="IO5" s="10">
        <v>46241</v>
      </c>
      <c r="IP5" s="10">
        <v>46242</v>
      </c>
      <c r="IQ5" s="10">
        <v>46243</v>
      </c>
      <c r="IR5" s="10">
        <v>46244</v>
      </c>
      <c r="IS5" s="10">
        <v>46245</v>
      </c>
      <c r="IT5" s="10">
        <v>46246</v>
      </c>
      <c r="IU5" s="10">
        <v>46247</v>
      </c>
      <c r="IV5" s="10">
        <v>46248</v>
      </c>
      <c r="IW5" s="10">
        <v>46249</v>
      </c>
      <c r="IX5" s="10">
        <v>46250</v>
      </c>
      <c r="IY5" s="10">
        <v>46251</v>
      </c>
      <c r="IZ5" s="10">
        <v>46252</v>
      </c>
      <c r="JA5" s="10">
        <v>46253</v>
      </c>
      <c r="JB5" s="10">
        <v>46254</v>
      </c>
      <c r="JC5" s="10">
        <v>46255</v>
      </c>
      <c r="JD5" s="10">
        <v>46256</v>
      </c>
      <c r="JE5" s="10">
        <v>46257</v>
      </c>
      <c r="JF5" s="10">
        <v>46258</v>
      </c>
      <c r="JG5" s="10">
        <v>46259</v>
      </c>
      <c r="JH5" s="10">
        <v>46260</v>
      </c>
      <c r="JI5" s="10">
        <v>46261</v>
      </c>
      <c r="JJ5" s="10">
        <v>46262</v>
      </c>
      <c r="JK5" s="10">
        <v>46263</v>
      </c>
      <c r="JL5" s="10">
        <v>46264</v>
      </c>
      <c r="JM5" s="10">
        <v>46265</v>
      </c>
      <c r="JN5" s="10">
        <v>46266</v>
      </c>
      <c r="JO5" s="10">
        <v>46267</v>
      </c>
      <c r="JP5" s="10">
        <v>46268</v>
      </c>
      <c r="JQ5" s="10">
        <v>46269</v>
      </c>
      <c r="JR5" s="10">
        <v>46270</v>
      </c>
      <c r="JS5" s="10">
        <v>46271</v>
      </c>
      <c r="JT5" s="10">
        <v>46272</v>
      </c>
      <c r="JU5" s="10">
        <v>46273</v>
      </c>
      <c r="JV5" s="10">
        <v>46274</v>
      </c>
      <c r="JW5" s="10">
        <v>46275</v>
      </c>
      <c r="JX5" s="10">
        <v>46276</v>
      </c>
      <c r="JY5" s="10">
        <v>46277</v>
      </c>
      <c r="JZ5" s="10">
        <v>46278</v>
      </c>
      <c r="KA5" s="10">
        <v>46279</v>
      </c>
      <c r="KB5" s="10">
        <v>46280</v>
      </c>
      <c r="KC5" s="10">
        <v>46281</v>
      </c>
      <c r="KD5" s="10">
        <v>46282</v>
      </c>
      <c r="KE5" s="10">
        <v>46283</v>
      </c>
      <c r="KF5" s="10">
        <v>46284</v>
      </c>
      <c r="KG5" s="10">
        <v>46285</v>
      </c>
      <c r="KH5" s="10">
        <v>46286</v>
      </c>
      <c r="KI5" s="10">
        <v>46287</v>
      </c>
      <c r="KJ5" s="10">
        <v>46288</v>
      </c>
      <c r="KK5" s="10">
        <v>46289</v>
      </c>
      <c r="KL5" s="10">
        <v>46290</v>
      </c>
      <c r="KM5" s="10">
        <v>46291</v>
      </c>
      <c r="KN5" s="10">
        <v>46292</v>
      </c>
      <c r="KO5" s="10">
        <v>46293</v>
      </c>
      <c r="KP5" s="10">
        <v>46294</v>
      </c>
      <c r="KQ5" s="10">
        <v>46295</v>
      </c>
      <c r="KR5" s="10">
        <v>46296</v>
      </c>
      <c r="KS5" s="10">
        <v>46297</v>
      </c>
      <c r="KT5" s="10">
        <v>46298</v>
      </c>
      <c r="KU5" s="10">
        <v>46299</v>
      </c>
      <c r="KV5" s="10">
        <v>46300</v>
      </c>
      <c r="KW5" s="10">
        <v>46301</v>
      </c>
      <c r="KX5" s="10">
        <v>46302</v>
      </c>
      <c r="KY5" s="10">
        <v>46303</v>
      </c>
      <c r="KZ5" s="10">
        <v>46304</v>
      </c>
      <c r="LA5" s="10">
        <v>46305</v>
      </c>
      <c r="LB5" s="10">
        <v>46306</v>
      </c>
      <c r="LC5" s="10">
        <v>46307</v>
      </c>
      <c r="LD5" s="10">
        <v>46308</v>
      </c>
      <c r="LE5" s="10">
        <v>46309</v>
      </c>
      <c r="LF5" s="10">
        <v>46310</v>
      </c>
      <c r="LG5" s="10">
        <v>46311</v>
      </c>
      <c r="LH5" s="10">
        <v>46312</v>
      </c>
      <c r="LI5" s="10">
        <v>46313</v>
      </c>
      <c r="LJ5" s="10">
        <v>46314</v>
      </c>
      <c r="LK5" s="10">
        <v>46315</v>
      </c>
      <c r="LL5" s="10">
        <v>46316</v>
      </c>
      <c r="LM5" s="10">
        <v>46317</v>
      </c>
      <c r="LN5" s="10">
        <v>46318</v>
      </c>
      <c r="LO5" s="10">
        <v>46319</v>
      </c>
      <c r="LP5" s="10">
        <v>46320</v>
      </c>
      <c r="LQ5" s="10">
        <v>46321</v>
      </c>
      <c r="LR5" s="10">
        <v>46322</v>
      </c>
      <c r="LS5" s="10">
        <v>46323</v>
      </c>
      <c r="LT5" s="10">
        <v>46324</v>
      </c>
      <c r="LU5" s="10">
        <v>46325</v>
      </c>
      <c r="LV5" s="10">
        <v>46326</v>
      </c>
      <c r="LW5" s="10">
        <v>46327</v>
      </c>
      <c r="LX5" s="10">
        <v>46328</v>
      </c>
      <c r="LY5" s="10">
        <v>46329</v>
      </c>
      <c r="LZ5" s="10">
        <v>46330</v>
      </c>
      <c r="MA5" s="10">
        <v>46331</v>
      </c>
      <c r="MB5" s="10">
        <v>46332</v>
      </c>
      <c r="MC5" s="10">
        <v>46333</v>
      </c>
      <c r="MD5" s="10">
        <v>46334</v>
      </c>
      <c r="ME5" s="10">
        <v>46335</v>
      </c>
      <c r="MF5" s="10">
        <v>46336</v>
      </c>
      <c r="MG5" s="10">
        <v>46337</v>
      </c>
      <c r="MH5" s="10">
        <v>46338</v>
      </c>
      <c r="MI5" s="10">
        <v>46339</v>
      </c>
      <c r="MJ5" s="10">
        <v>46340</v>
      </c>
      <c r="MK5" s="10">
        <v>46341</v>
      </c>
      <c r="ML5" s="10">
        <v>46342</v>
      </c>
      <c r="MM5" s="10">
        <v>46343</v>
      </c>
      <c r="MN5" s="10">
        <v>46344</v>
      </c>
      <c r="MO5" s="10">
        <v>46345</v>
      </c>
      <c r="MP5" s="10">
        <v>46346</v>
      </c>
      <c r="MQ5" s="10">
        <v>46347</v>
      </c>
      <c r="MR5" s="10">
        <v>46348</v>
      </c>
      <c r="MS5" s="10">
        <v>46349</v>
      </c>
      <c r="MT5" s="10">
        <v>46350</v>
      </c>
      <c r="MU5" s="10">
        <v>46351</v>
      </c>
      <c r="MV5" s="10">
        <v>46352</v>
      </c>
      <c r="MW5" s="10">
        <v>46353</v>
      </c>
      <c r="MX5" s="10">
        <v>46354</v>
      </c>
      <c r="MY5" s="10">
        <v>46355</v>
      </c>
      <c r="MZ5" s="10">
        <v>46356</v>
      </c>
      <c r="NA5" s="10">
        <v>46357</v>
      </c>
      <c r="NB5" s="10">
        <v>46358</v>
      </c>
      <c r="NC5" s="10">
        <v>46359</v>
      </c>
      <c r="ND5" s="10">
        <v>46360</v>
      </c>
      <c r="NE5" s="10">
        <v>46361</v>
      </c>
      <c r="NF5" s="10">
        <v>46362</v>
      </c>
      <c r="NG5" s="10">
        <v>46363</v>
      </c>
      <c r="NH5" s="10">
        <v>46364</v>
      </c>
      <c r="NI5" s="10">
        <v>46365</v>
      </c>
      <c r="NJ5" s="10">
        <v>46366</v>
      </c>
      <c r="NK5" s="10">
        <v>46367</v>
      </c>
      <c r="NL5" s="10">
        <v>46368</v>
      </c>
      <c r="NM5" s="10">
        <v>46369</v>
      </c>
      <c r="NN5" s="10">
        <v>46370</v>
      </c>
      <c r="NO5" s="10">
        <v>46371</v>
      </c>
      <c r="NP5" s="10">
        <v>46372</v>
      </c>
      <c r="NQ5" s="10">
        <v>46373</v>
      </c>
      <c r="NR5" s="10">
        <v>46374</v>
      </c>
      <c r="NS5" s="10">
        <v>46375</v>
      </c>
      <c r="NT5" s="10">
        <v>46376</v>
      </c>
      <c r="NU5" s="10">
        <v>46377</v>
      </c>
      <c r="NV5" s="10">
        <v>46378</v>
      </c>
      <c r="NW5" s="10">
        <v>46379</v>
      </c>
      <c r="NX5" s="10">
        <v>46380</v>
      </c>
      <c r="NY5" s="10">
        <v>46381</v>
      </c>
      <c r="NZ5" s="10">
        <v>46382</v>
      </c>
      <c r="OA5" s="10">
        <v>46383</v>
      </c>
      <c r="OB5" s="10">
        <v>46384</v>
      </c>
      <c r="OC5" s="10">
        <v>46385</v>
      </c>
      <c r="OD5" s="10">
        <v>46386</v>
      </c>
      <c r="OE5" s="10">
        <v>46387</v>
      </c>
    </row>
    <row r="6" spans="1:395" s="21" customFormat="1">
      <c r="A6" s="205"/>
      <c r="B6" s="206"/>
      <c r="C6" s="206"/>
      <c r="D6" s="206"/>
      <c r="E6" s="11" t="e" cm="1">
        <f t="array" aca="1" ref="E6" ca="1">SUMPRODUCT($G$6:$AD$6*IFERROR(MONTH(DATEVALUE($G$3:$AD$3&amp;" 2025"))&lt;=MONTH(DATEVALUE('Project status sheet'!$L$33&amp;" 2025")),0))</f>
        <v>#VALUE!</v>
      </c>
      <c r="F6" s="11" cm="1">
        <f t="array" ref="F6">SUMPRODUCT($H$7:$AD$7*IFERROR(MONTH(DATEVALUE($G$3:$AC$3&amp;" 2025"))&lt;=MONTH(DATEVALUE('Project status sheet'!$L$33&amp;" 2025")),0))</f>
        <v>162.5</v>
      </c>
      <c r="G6" s="29" t="e" cm="1">
        <f t="array" aca="1" ref="G6" ca="1">SUMPRODUCT(--(TEXT($AE$5:$OE$5,"mmm")=PROPER(G$3)), --($AE$5:$OE$5&gt;=$E$1),--(WEEKDAY($AE$5:$OE$5,2)&lt;6), --(ISNA(MATCH($AE$5:$OE$5,PublicHolidays,0))),IFERROR(IF(ISNUMBER(SEARCH("L",$AE$6:$OE$6)),IF(ISNUMBER($AE$7:$OE$7), 0.5, 0),1),1))*8.5</f>
        <v>#VALUE!</v>
      </c>
      <c r="H6" s="28" cm="1">
        <f t="array" ref="H6">SUMPRODUCT(--(TEXT($AE$5:$OE$5,"mmm")=PROPER(G$3)),IFERROR(IF(ISNUMBER(SEARCH("L",$AE$6:$OE$6)),IF(ISNUMBER($AE$7:$OE$7), 0.5, 1),0),0))</f>
        <v>0</v>
      </c>
      <c r="I6" s="29" t="e" cm="1">
        <f t="array" aca="1" ref="I6" ca="1">SUMPRODUCT(--(TEXT($AE$5:$OE$5,"mmm")=PROPER(I$3)), --($AE$5:$OE$5&gt;=$E$1),--(WEEKDAY($AE$5:$OE$5,2)&lt;6), --(ISNA(MATCH($AE$5:$OE$5,PublicHolidays,0))),IFERROR(IF(ISNUMBER(SEARCH("L",$AE$6:$OE$6)),IF(ISNUMBER($AE$7:$OE$7), 0.5, 0),1),1))*8.5</f>
        <v>#VALUE!</v>
      </c>
      <c r="J6" s="28" cm="1">
        <f t="array" ref="J6">SUMPRODUCT(--(TEXT($AE$5:$OE$5,"mmm")=PROPER(I$3)),IFERROR(IF(ISNUMBER(SEARCH("L",$AE$6:$OE$6)),IF(ISNUMBER($AE$7:$OE$7), 0.5, 1),0),0))</f>
        <v>0</v>
      </c>
      <c r="K6" s="29" t="e" cm="1">
        <f t="array" aca="1" ref="K6" ca="1">SUMPRODUCT(--(TEXT($AE$5:$OE$5,"mmm")=PROPER(K$3)), --($AE$5:$OE$5&gt;=$E$1),--(WEEKDAY($AE$5:$OE$5,2)&lt;6), --(ISNA(MATCH($AE$5:$OE$5,PublicHolidays,0))),IFERROR(IF(ISNUMBER(SEARCH("L",$AE$6:$OE$6)),IF(ISNUMBER($AE$7:$OE$7), 0.5, 0),1),1))*8.5</f>
        <v>#VALUE!</v>
      </c>
      <c r="L6" s="28" cm="1">
        <f t="array" ref="L6">SUMPRODUCT(--(TEXT($AE$5:$OE$5,"mmm")=PROPER(K$3)),IFERROR(IF(ISNUMBER(SEARCH("L",$AE$6:$OE$6)),IF(ISNUMBER($AE$7:$OE$7), 0.5, 1),0),0))</f>
        <v>2</v>
      </c>
      <c r="M6" s="29" t="e" cm="1">
        <f t="array" aca="1" ref="M6" ca="1">SUMPRODUCT(--(TEXT($AE$5:$OE$5,"mmm")=PROPER(M$3)), --($AE$5:$OE$5&gt;=$E$1),--(WEEKDAY($AE$5:$OE$5,2)&lt;6), --(ISNA(MATCH($AE$5:$OE$5,PublicHolidays,0))),IFERROR(IF(ISNUMBER(SEARCH("L",$AE$6:$OE$6)),IF(ISNUMBER($AE$7:$OE$7), 0.5, 0),1),1))*8.5</f>
        <v>#VALUE!</v>
      </c>
      <c r="N6" s="28" cm="1">
        <f t="array" ref="N6">SUMPRODUCT(--(TEXT($AE$5:$OE$5,"mmm")=PROPER(M$3)),IFERROR(IF(ISNUMBER(SEARCH("L",$AE$6:$OE$6)),IF(ISNUMBER($AE$7:$OE$7), 0.5, 1),0),0))</f>
        <v>0</v>
      </c>
      <c r="O6" s="29" t="e" cm="1">
        <f t="array" aca="1" ref="O6" ca="1">SUMPRODUCT(--(TEXT($AE$5:$OE$5,"mmm")=PROPER(O$3)), --($AE$5:$OE$5&gt;=$E$1),--(WEEKDAY($AE$5:$OE$5,2)&lt;6), --(ISNA(MATCH($AE$5:$OE$5,PublicHolidays,0))),IFERROR(IF(ISNUMBER(SEARCH("L",$AE$6:$OE$6)),IF(ISNUMBER($AE$7:$OE$7), 0.5, 0),1),1))*8.5</f>
        <v>#VALUE!</v>
      </c>
      <c r="P6" s="28" cm="1">
        <f t="array" ref="P6">SUMPRODUCT(--(TEXT($AE$5:$OE$5,"mmm")=PROPER(O$3)),IFERROR(IF(ISNUMBER(SEARCH("L",$AE$6:$OE$6)),IF(ISNUMBER($AE$7:$OE$7), 0.5, 1),0),0))</f>
        <v>0</v>
      </c>
      <c r="Q6" s="29" t="e" cm="1">
        <f t="array" aca="1" ref="Q6" ca="1">SUMPRODUCT(--(TEXT($AE$5:$OE$5,"mmm")=PROPER(Q$3)), --($AE$5:$OE$5&gt;=$E$1),--(WEEKDAY($AE$5:$OE$5,2)&lt;6), --(ISNA(MATCH($AE$5:$OE$5,PublicHolidays,0))),IFERROR(IF(ISNUMBER(SEARCH("L",$AE$6:$OE$6)),IF(ISNUMBER($AE$7:$OE$7), 0.5, 0),1),1))*8.5</f>
        <v>#VALUE!</v>
      </c>
      <c r="R6" s="28" cm="1">
        <f t="array" ref="R6">SUMPRODUCT(--(TEXT($AE$5:$OE$5,"mmm")=PROPER(Q$3)),IFERROR(IF(ISNUMBER(SEARCH("L",$AE$6:$OE$6)),IF(ISNUMBER($AE$7:$OE$7), 0.5, 1),0),0))</f>
        <v>0</v>
      </c>
      <c r="S6" s="29" t="e" cm="1">
        <f t="array" aca="1" ref="S6" ca="1">SUMPRODUCT(--(TEXT($AE$5:$OE$5,"mmm")=PROPER(S$3)), --($AE$5:$OE$5&gt;=$E$1),--(WEEKDAY($AE$5:$OE$5,2)&lt;6), --(ISNA(MATCH($AE$5:$OE$5,PublicHolidays,0))),IFERROR(IF(ISNUMBER(SEARCH("L",$AE$6:$OE$6)),IF(ISNUMBER($AE$7:$OE$7), 0.5, 0),1),1))*8.5</f>
        <v>#VALUE!</v>
      </c>
      <c r="T6" s="28" cm="1">
        <f t="array" ref="T6">SUMPRODUCT(--(TEXT($AE$5:$OE$5,"mmm")=PROPER(S$3)),IFERROR(IF(ISNUMBER(SEARCH("L",$AE$6:$OE$6)),IF(ISNUMBER($AE$7:$OE$7), 0.5, 1),0),0))</f>
        <v>0</v>
      </c>
      <c r="U6" s="29" t="e" cm="1">
        <f t="array" aca="1" ref="U6" ca="1">SUMPRODUCT(--(TEXT($AE$5:$OE$5,"mmm")=PROPER(U$3)), --($AE$5:$OE$5&gt;=$E$1),--(WEEKDAY($AE$5:$OE$5,2)&lt;6), --(ISNA(MATCH($AE$5:$OE$5,PublicHolidays,0))),IFERROR(IF(ISNUMBER(SEARCH("L",$AE$6:$OE$6)),IF(ISNUMBER($AE$7:$OE$7), 0.5, 0),1),1))*8.5</f>
        <v>#VALUE!</v>
      </c>
      <c r="V6" s="28" cm="1">
        <f t="array" ref="V6">SUMPRODUCT(--(TEXT($AE$5:$OE$5,"mmm")=PROPER(U$3)),IFERROR(IF(ISNUMBER(SEARCH("L",$AE$6:$OE$6)),IF(ISNUMBER($AE$7:$OE$7), 0.5, 1),0),0))</f>
        <v>0</v>
      </c>
      <c r="W6" s="29" t="e" cm="1">
        <f t="array" aca="1" ref="W6" ca="1">SUMPRODUCT(--(TEXT($AE$5:$OE$5,"mmm")=PROPER(W$3)), --($AE$5:$OE$5&gt;=$E$1),--(WEEKDAY($AE$5:$OE$5,2)&lt;6), --(ISNA(MATCH($AE$5:$OE$5,PublicHolidays,0))),IFERROR(IF(ISNUMBER(SEARCH("L",$AE$6:$OE$6)),IF(ISNUMBER($AE$7:$OE$7), 0.5, 0),1),1))*8.5</f>
        <v>#VALUE!</v>
      </c>
      <c r="X6" s="28" cm="1">
        <f t="array" ref="X6">SUMPRODUCT(--(TEXT($AE$5:$OE$5,"mmm")=PROPER(W$3)),IFERROR(IF(ISNUMBER(SEARCH("L",$AE$6:$OE$6)),IF(ISNUMBER($AE$7:$OE$7), 0.5, 1),0),0))</f>
        <v>0</v>
      </c>
      <c r="Y6" s="29" t="e" cm="1">
        <f t="array" aca="1" ref="Y6" ca="1">SUMPRODUCT(--(TEXT($AE$5:$OE$5,"mmm")=PROPER(Y$3)), --($AE$5:$OE$5&gt;=$E$1),--(WEEKDAY($AE$5:$OE$5,2)&lt;6), --(ISNA(MATCH($AE$5:$OE$5,PublicHolidays,0))),IFERROR(IF(ISNUMBER(SEARCH("L",$AE$6:$OE$6)),IF(ISNUMBER($AE$7:$OE$7), 0.5, 0),1),1))*8.5</f>
        <v>#VALUE!</v>
      </c>
      <c r="Z6" s="28" cm="1">
        <f t="array" ref="Z6">SUMPRODUCT(--(TEXT($AE$5:$OE$5,"mmm")=PROPER(Y$3)),IFERROR(IF(ISNUMBER(SEARCH("L",$AE$6:$OE$6)),IF(ISNUMBER($AE$7:$OE$7), 0.5, 1),0),0))</f>
        <v>0</v>
      </c>
      <c r="AA6" s="29" t="e" cm="1">
        <f t="array" aca="1" ref="AA6" ca="1">SUMPRODUCT(--(TEXT($AE$5:$OE$5,"mmm")=PROPER(AA$3)), --($AE$5:$OE$5&gt;=$E$1),--(WEEKDAY($AE$5:$OE$5,2)&lt;6), --(ISNA(MATCH($AE$5:$OE$5,PublicHolidays,0))),IFERROR(IF(ISNUMBER(SEARCH("L",$AE$6:$OE$6)),IF(ISNUMBER($AE$7:$OE$7), 0.5, 0),1),1))*8.5</f>
        <v>#VALUE!</v>
      </c>
      <c r="AB6" s="28" cm="1">
        <f t="array" ref="AB6">SUMPRODUCT(--(TEXT($AE$5:$OE$5,"mmm")=PROPER(AA$3)),IFERROR(IF(ISNUMBER(SEARCH("L",$AE$6:$OE$6)),IF(ISNUMBER($AE$7:$OE$7), 0.5, 1),0),0))</f>
        <v>0</v>
      </c>
      <c r="AC6" s="29" t="e" cm="1">
        <f t="array" aca="1" ref="AC6" ca="1">SUMPRODUCT(--(TEXT($AE$5:$OE$5,"mmm")=PROPER(AC$3)), --($AE$5:$OE$5&gt;=$E$1),--(WEEKDAY($AE$5:$OE$5,2)&lt;6), --(ISNA(MATCH($AE$5:$OE$5,PublicHolidays,0))),IFERROR(IF(ISNUMBER(SEARCH("L",$AE$6:$OE$6)),IF(ISNUMBER($AE$7:$OE$7), 0.5, 0),1),1))*8.5</f>
        <v>#VALUE!</v>
      </c>
      <c r="AD6" s="28" cm="1">
        <f t="array" ref="AD6">SUMPRODUCT(--(TEXT($AE$5:$OE$5,"mmm")=PROPER(AC$3)),IFERROR(IF(ISNUMBER(SEARCH("L",$AE$6:$OE$6)),IF(ISNUMBER($AE$7:$OE$7), 0.5, 1),0),0))</f>
        <v>0</v>
      </c>
      <c r="AE6" s="118"/>
      <c r="AF6" s="118"/>
      <c r="AG6" s="118"/>
      <c r="AH6" s="118"/>
      <c r="AI6" s="118"/>
      <c r="AJ6" s="118"/>
      <c r="AK6" s="118"/>
      <c r="AL6" s="118"/>
      <c r="AM6" s="118"/>
      <c r="AN6" s="118"/>
      <c r="AO6" s="118"/>
      <c r="AP6" s="118"/>
      <c r="AQ6" s="118"/>
      <c r="AR6" s="118"/>
      <c r="AS6" s="118"/>
      <c r="AT6" s="118"/>
      <c r="AU6" s="118"/>
      <c r="AV6" s="118"/>
      <c r="AW6" s="118"/>
      <c r="AX6" s="118"/>
      <c r="AY6" s="118"/>
      <c r="AZ6" s="118"/>
      <c r="BA6" s="118"/>
      <c r="BB6" s="118"/>
      <c r="BC6" s="118"/>
      <c r="BD6" s="118"/>
      <c r="BE6" s="118"/>
      <c r="BF6" s="118"/>
      <c r="BG6" s="118"/>
      <c r="BH6" s="118"/>
      <c r="BI6" s="118"/>
      <c r="BJ6" s="118"/>
      <c r="BK6" s="118"/>
      <c r="BL6" s="118"/>
      <c r="BM6" s="118"/>
      <c r="BN6" s="118"/>
      <c r="BO6" s="118"/>
      <c r="BP6" s="118"/>
      <c r="BQ6" s="118"/>
      <c r="BR6" s="118"/>
      <c r="BS6" s="118"/>
      <c r="BT6" s="118"/>
      <c r="BU6" s="118"/>
      <c r="BV6" s="118"/>
      <c r="BW6" s="118"/>
      <c r="BX6" s="118"/>
      <c r="BY6" s="118"/>
      <c r="BZ6" s="118"/>
      <c r="CA6" s="118"/>
      <c r="CB6" s="118"/>
      <c r="CC6" s="118"/>
      <c r="CD6" s="118"/>
      <c r="CE6" s="118"/>
      <c r="CF6" s="118"/>
      <c r="CG6" s="118"/>
      <c r="CH6" s="118"/>
      <c r="CI6" s="118"/>
      <c r="CJ6" s="118"/>
      <c r="CK6" s="118"/>
      <c r="CL6" s="118"/>
      <c r="CM6" s="118"/>
      <c r="CN6" s="118"/>
      <c r="CO6" s="118"/>
      <c r="CP6" s="118"/>
      <c r="CQ6" s="118"/>
      <c r="CR6" s="118"/>
      <c r="CS6" s="118"/>
      <c r="CT6" s="118"/>
      <c r="CU6" s="118"/>
      <c r="CV6" s="118"/>
      <c r="CW6" s="118"/>
      <c r="CX6" s="118"/>
      <c r="CY6" s="118"/>
      <c r="CZ6" s="118"/>
      <c r="DA6" s="118"/>
      <c r="DB6" s="118"/>
      <c r="DC6" s="118"/>
      <c r="DD6" s="118" t="s">
        <v>75</v>
      </c>
      <c r="DE6" s="118" t="s">
        <v>75</v>
      </c>
      <c r="DF6" s="118"/>
      <c r="DG6" s="118"/>
      <c r="DH6" s="118"/>
      <c r="DI6" s="118"/>
      <c r="DJ6" s="118"/>
      <c r="DK6" s="118"/>
      <c r="DL6" s="118"/>
      <c r="DM6" s="118"/>
      <c r="DN6" s="118"/>
      <c r="DO6" s="118"/>
      <c r="DP6" s="118"/>
      <c r="DQ6" s="118"/>
      <c r="DR6" s="118"/>
      <c r="DS6" s="118"/>
      <c r="DT6" s="118"/>
      <c r="DU6" s="118"/>
      <c r="DV6" s="118"/>
      <c r="DW6" s="118"/>
      <c r="DX6" s="118"/>
      <c r="DY6" s="118"/>
      <c r="DZ6" s="118"/>
      <c r="EA6" s="118"/>
      <c r="EB6" s="118"/>
      <c r="EC6" s="118"/>
      <c r="ED6" s="118"/>
      <c r="EE6" s="118"/>
      <c r="EF6" s="118"/>
      <c r="EG6" s="118"/>
      <c r="EH6" s="118"/>
      <c r="EI6" s="118"/>
      <c r="EJ6" s="118"/>
      <c r="EK6" s="118"/>
      <c r="EL6" s="118"/>
      <c r="EM6" s="118"/>
      <c r="EN6" s="118"/>
      <c r="EO6" s="118"/>
      <c r="EP6" s="118"/>
      <c r="EQ6" s="118"/>
      <c r="ER6" s="118"/>
      <c r="ES6" s="118"/>
      <c r="ET6" s="118"/>
      <c r="EU6" s="118"/>
      <c r="EV6" s="118"/>
      <c r="EW6" s="118"/>
      <c r="EX6" s="118"/>
      <c r="EY6" s="118"/>
      <c r="EZ6" s="118"/>
      <c r="FA6" s="118"/>
      <c r="FB6" s="118"/>
      <c r="FC6" s="118"/>
      <c r="FD6" s="118"/>
      <c r="FE6" s="118"/>
      <c r="FF6" s="118"/>
      <c r="FG6" s="118"/>
      <c r="FH6" s="118"/>
      <c r="FI6" s="118"/>
      <c r="FJ6" s="118"/>
      <c r="FK6" s="118"/>
      <c r="FL6" s="118"/>
      <c r="FM6" s="118"/>
      <c r="FN6" s="118"/>
      <c r="FO6" s="118"/>
      <c r="FP6" s="118"/>
      <c r="FQ6" s="118"/>
      <c r="FR6" s="118"/>
      <c r="FS6" s="118"/>
      <c r="FT6" s="118"/>
      <c r="FU6" s="118"/>
      <c r="FV6" s="118"/>
      <c r="FW6" s="118"/>
      <c r="FX6" s="118"/>
      <c r="FY6" s="118"/>
      <c r="FZ6" s="118"/>
      <c r="GA6" s="118"/>
      <c r="GB6" s="118"/>
      <c r="GC6" s="118"/>
      <c r="GD6" s="118"/>
      <c r="GE6" s="118"/>
      <c r="GF6" s="118"/>
      <c r="GG6" s="118"/>
      <c r="GH6" s="118"/>
      <c r="GI6" s="118"/>
      <c r="GJ6" s="118"/>
      <c r="GK6" s="118"/>
      <c r="GL6" s="118"/>
      <c r="GM6" s="118"/>
      <c r="GN6" s="118"/>
      <c r="GO6" s="118"/>
      <c r="GP6" s="118"/>
      <c r="GQ6" s="118"/>
      <c r="GR6" s="118"/>
      <c r="GS6" s="118"/>
      <c r="GT6" s="118"/>
      <c r="GU6" s="118"/>
      <c r="GV6" s="118"/>
      <c r="GW6" s="118"/>
      <c r="GX6" s="118"/>
      <c r="GY6" s="118"/>
      <c r="GZ6" s="118"/>
      <c r="HA6" s="118"/>
      <c r="HB6" s="118"/>
      <c r="HC6" s="118"/>
      <c r="HD6" s="118"/>
      <c r="HE6" s="118"/>
      <c r="HF6" s="118"/>
      <c r="HG6" s="118"/>
      <c r="HH6" s="118"/>
      <c r="HI6" s="118"/>
      <c r="HJ6" s="118"/>
      <c r="HK6" s="118"/>
      <c r="HL6" s="118"/>
      <c r="HM6" s="118"/>
      <c r="HN6" s="118"/>
      <c r="HO6" s="118"/>
      <c r="HP6" s="118"/>
      <c r="HQ6" s="118"/>
      <c r="HR6" s="118"/>
      <c r="HS6" s="118"/>
      <c r="HT6" s="118"/>
      <c r="HU6" s="118"/>
      <c r="HV6" s="118"/>
      <c r="HW6" s="118"/>
      <c r="HX6" s="118"/>
      <c r="HY6" s="118"/>
      <c r="HZ6" s="118"/>
      <c r="IA6" s="118"/>
      <c r="IB6" s="118"/>
      <c r="IC6" s="118"/>
      <c r="ID6" s="118"/>
      <c r="IE6" s="118"/>
      <c r="IF6" s="118"/>
      <c r="IG6" s="118"/>
      <c r="IH6" s="118"/>
      <c r="II6" s="118"/>
      <c r="IJ6" s="118"/>
      <c r="IK6" s="118"/>
      <c r="IL6" s="118"/>
      <c r="IM6" s="118"/>
      <c r="IN6" s="118"/>
      <c r="IO6" s="118"/>
      <c r="IP6" s="118"/>
      <c r="IQ6" s="118"/>
      <c r="IR6" s="118"/>
      <c r="IS6" s="118"/>
      <c r="IT6" s="118"/>
      <c r="IU6" s="118"/>
      <c r="IV6" s="118"/>
      <c r="IW6" s="118"/>
      <c r="IX6" s="118"/>
      <c r="IY6" s="118"/>
      <c r="IZ6" s="118"/>
      <c r="JA6" s="118"/>
      <c r="JB6" s="118"/>
      <c r="JC6" s="118"/>
      <c r="JD6" s="118"/>
      <c r="JE6" s="118"/>
      <c r="JF6" s="118"/>
      <c r="JG6" s="118"/>
      <c r="JH6" s="118"/>
      <c r="JI6" s="118"/>
      <c r="JJ6" s="118"/>
      <c r="JK6" s="118"/>
      <c r="JL6" s="118"/>
      <c r="JM6" s="118"/>
      <c r="JN6" s="118"/>
      <c r="JO6" s="118"/>
      <c r="JP6" s="118"/>
      <c r="JQ6" s="118"/>
      <c r="JR6" s="118"/>
      <c r="JS6" s="118"/>
      <c r="JT6" s="118"/>
      <c r="JU6" s="118"/>
      <c r="JV6" s="118"/>
      <c r="JW6" s="118"/>
      <c r="JX6" s="118"/>
      <c r="JY6" s="118"/>
      <c r="JZ6" s="118"/>
      <c r="KA6" s="118"/>
      <c r="KB6" s="118"/>
      <c r="KC6" s="118"/>
      <c r="KD6" s="118"/>
      <c r="KE6" s="118"/>
      <c r="KF6" s="118"/>
      <c r="KG6" s="118"/>
      <c r="KH6" s="118"/>
      <c r="KI6" s="118"/>
      <c r="KJ6" s="118"/>
      <c r="KK6" s="118"/>
      <c r="KL6" s="118"/>
      <c r="KM6" s="118"/>
      <c r="KN6" s="118"/>
      <c r="KO6" s="118"/>
      <c r="KP6" s="118"/>
      <c r="KQ6" s="118"/>
      <c r="KR6" s="118"/>
      <c r="KS6" s="118"/>
      <c r="KT6" s="118"/>
      <c r="KU6" s="118"/>
      <c r="KV6" s="118"/>
      <c r="KW6" s="118"/>
      <c r="KX6" s="118"/>
      <c r="KY6" s="118"/>
      <c r="KZ6" s="118"/>
      <c r="LA6" s="118"/>
      <c r="LB6" s="118"/>
      <c r="LC6" s="118"/>
      <c r="LD6" s="118"/>
      <c r="LE6" s="118"/>
      <c r="LF6" s="118"/>
      <c r="LG6" s="118"/>
      <c r="LH6" s="118"/>
      <c r="LI6" s="118"/>
      <c r="LJ6" s="118"/>
      <c r="LK6" s="118"/>
      <c r="LL6" s="118"/>
      <c r="LM6" s="118"/>
      <c r="LN6" s="118"/>
      <c r="LO6" s="118"/>
      <c r="LP6" s="118"/>
      <c r="LQ6" s="118"/>
      <c r="LR6" s="118"/>
      <c r="LS6" s="118"/>
      <c r="LT6" s="118"/>
      <c r="LU6" s="118"/>
      <c r="LV6" s="118"/>
      <c r="LW6" s="118"/>
      <c r="LX6" s="118"/>
      <c r="LY6" s="118"/>
      <c r="LZ6" s="118"/>
      <c r="MA6" s="118"/>
      <c r="MB6" s="118"/>
      <c r="MC6" s="118"/>
      <c r="MD6" s="118"/>
      <c r="ME6" s="118"/>
      <c r="MF6" s="118"/>
      <c r="MG6" s="118"/>
      <c r="MH6" s="118"/>
      <c r="MI6" s="118"/>
      <c r="MJ6" s="118"/>
      <c r="MK6" s="118"/>
      <c r="ML6" s="118"/>
      <c r="MM6" s="118"/>
      <c r="MN6" s="118"/>
      <c r="MO6" s="118"/>
      <c r="MP6" s="118"/>
      <c r="MQ6" s="118"/>
      <c r="MR6" s="118"/>
      <c r="MS6" s="118"/>
      <c r="MT6" s="118"/>
      <c r="MU6" s="118"/>
      <c r="MV6" s="118"/>
      <c r="MW6" s="118"/>
      <c r="MX6" s="118"/>
      <c r="MY6" s="118"/>
      <c r="MZ6" s="118"/>
      <c r="NA6" s="118"/>
      <c r="NB6" s="118"/>
      <c r="NC6" s="118"/>
      <c r="ND6" s="118"/>
      <c r="NE6" s="118"/>
      <c r="NF6" s="118"/>
      <c r="NG6" s="118"/>
      <c r="NH6" s="118"/>
      <c r="NI6" s="118"/>
      <c r="NJ6" s="118"/>
      <c r="NK6" s="118"/>
      <c r="NL6" s="118"/>
      <c r="NM6" s="118"/>
      <c r="NN6" s="118"/>
      <c r="NO6" s="118"/>
      <c r="NP6" s="118"/>
      <c r="NQ6" s="118"/>
      <c r="NR6" s="118"/>
      <c r="NS6" s="118"/>
      <c r="NT6" s="118"/>
      <c r="NU6" s="118"/>
      <c r="NV6" s="118"/>
      <c r="NW6" s="118"/>
      <c r="NX6" s="118"/>
      <c r="NY6" s="118"/>
      <c r="NZ6" s="118"/>
      <c r="OA6" s="118"/>
      <c r="OB6" s="118"/>
      <c r="OC6" s="118"/>
      <c r="OD6" s="118"/>
      <c r="OE6" s="119"/>
    </row>
    <row r="7" spans="1:395">
      <c r="A7" s="205"/>
      <c r="B7" s="206"/>
      <c r="C7" s="206"/>
      <c r="D7" s="206"/>
      <c r="E7" s="12">
        <f>SUM(E$8:E$150)</f>
        <v>369</v>
      </c>
      <c r="F7" s="12">
        <f>SUM(F$8:F$150)</f>
        <v>266</v>
      </c>
      <c r="G7" s="13">
        <f>SUM(G$8:G$150)</f>
        <v>0</v>
      </c>
      <c r="H7" s="13">
        <f t="shared" ref="H7:AD7" si="6">SUM(H$8:H$150)</f>
        <v>0</v>
      </c>
      <c r="I7" s="13">
        <f t="shared" si="6"/>
        <v>0</v>
      </c>
      <c r="J7" s="13">
        <f t="shared" si="6"/>
        <v>0</v>
      </c>
      <c r="K7" s="13">
        <f t="shared" si="6"/>
        <v>85</v>
      </c>
      <c r="L7" s="13">
        <f t="shared" si="6"/>
        <v>162.5</v>
      </c>
      <c r="M7" s="13">
        <f t="shared" si="6"/>
        <v>0</v>
      </c>
      <c r="N7" s="13">
        <f t="shared" si="6"/>
        <v>103.5</v>
      </c>
      <c r="O7" s="13">
        <f t="shared" si="6"/>
        <v>0</v>
      </c>
      <c r="P7" s="13">
        <f t="shared" si="6"/>
        <v>0</v>
      </c>
      <c r="Q7" s="13">
        <f t="shared" si="6"/>
        <v>0</v>
      </c>
      <c r="R7" s="13">
        <f t="shared" si="6"/>
        <v>0</v>
      </c>
      <c r="S7" s="13">
        <f t="shared" si="6"/>
        <v>0</v>
      </c>
      <c r="T7" s="13">
        <f t="shared" si="6"/>
        <v>0</v>
      </c>
      <c r="U7" s="13">
        <f t="shared" si="6"/>
        <v>0</v>
      </c>
      <c r="V7" s="13">
        <f t="shared" si="6"/>
        <v>0</v>
      </c>
      <c r="W7" s="13">
        <f t="shared" si="6"/>
        <v>0</v>
      </c>
      <c r="X7" s="13">
        <f t="shared" si="6"/>
        <v>0</v>
      </c>
      <c r="Y7" s="13">
        <f t="shared" si="6"/>
        <v>0</v>
      </c>
      <c r="Z7" s="13">
        <f t="shared" si="6"/>
        <v>0</v>
      </c>
      <c r="AA7" s="13">
        <f t="shared" si="6"/>
        <v>0</v>
      </c>
      <c r="AB7" s="13">
        <f t="shared" si="6"/>
        <v>0</v>
      </c>
      <c r="AC7" s="13">
        <f t="shared" si="6"/>
        <v>0</v>
      </c>
      <c r="AD7" s="13">
        <f t="shared" si="6"/>
        <v>0</v>
      </c>
      <c r="AE7" s="20" t="str">
        <f>IF(SUM(AE$8:AE$150), SUM(AE$8:AE$150), "")</f>
        <v/>
      </c>
      <c r="AF7" s="20" t="str">
        <f t="shared" ref="AF7:CQ7" si="7">IF(SUM(AF$8:AF$150), SUM(AF$8:AF$150), "")</f>
        <v/>
      </c>
      <c r="AG7" s="20" t="str">
        <f t="shared" si="7"/>
        <v/>
      </c>
      <c r="AH7" s="20" t="str">
        <f t="shared" si="7"/>
        <v/>
      </c>
      <c r="AI7" s="20" t="str">
        <f t="shared" si="7"/>
        <v/>
      </c>
      <c r="AJ7" s="20" t="str">
        <f t="shared" si="7"/>
        <v/>
      </c>
      <c r="AK7" s="20" t="str">
        <f t="shared" si="7"/>
        <v/>
      </c>
      <c r="AL7" s="20" t="str">
        <f t="shared" si="7"/>
        <v/>
      </c>
      <c r="AM7" s="20" t="str">
        <f t="shared" si="7"/>
        <v/>
      </c>
      <c r="AN7" s="20" t="str">
        <f t="shared" si="7"/>
        <v/>
      </c>
      <c r="AO7" s="20" t="str">
        <f t="shared" si="7"/>
        <v/>
      </c>
      <c r="AP7" s="20" t="str">
        <f t="shared" si="7"/>
        <v/>
      </c>
      <c r="AQ7" s="20" t="str">
        <f t="shared" si="7"/>
        <v/>
      </c>
      <c r="AR7" s="20" t="str">
        <f t="shared" si="7"/>
        <v/>
      </c>
      <c r="AS7" s="20" t="str">
        <f t="shared" si="7"/>
        <v/>
      </c>
      <c r="AT7" s="20" t="str">
        <f t="shared" si="7"/>
        <v/>
      </c>
      <c r="AU7" s="20" t="str">
        <f t="shared" si="7"/>
        <v/>
      </c>
      <c r="AV7" s="20" t="str">
        <f t="shared" si="7"/>
        <v/>
      </c>
      <c r="AW7" s="20" t="str">
        <f t="shared" si="7"/>
        <v/>
      </c>
      <c r="AX7" s="20" t="str">
        <f t="shared" si="7"/>
        <v/>
      </c>
      <c r="AY7" s="20" t="str">
        <f t="shared" si="7"/>
        <v/>
      </c>
      <c r="AZ7" s="20" t="str">
        <f t="shared" si="7"/>
        <v/>
      </c>
      <c r="BA7" s="20" t="str">
        <f t="shared" si="7"/>
        <v/>
      </c>
      <c r="BB7" s="20" t="str">
        <f t="shared" si="7"/>
        <v/>
      </c>
      <c r="BC7" s="20" t="str">
        <f t="shared" si="7"/>
        <v/>
      </c>
      <c r="BD7" s="20" t="str">
        <f t="shared" si="7"/>
        <v/>
      </c>
      <c r="BE7" s="20" t="str">
        <f t="shared" si="7"/>
        <v/>
      </c>
      <c r="BF7" s="20" t="str">
        <f t="shared" si="7"/>
        <v/>
      </c>
      <c r="BG7" s="20" t="str">
        <f t="shared" si="7"/>
        <v/>
      </c>
      <c r="BH7" s="20" t="str">
        <f t="shared" si="7"/>
        <v/>
      </c>
      <c r="BI7" s="20" t="str">
        <f t="shared" si="7"/>
        <v/>
      </c>
      <c r="BJ7" s="20" t="str">
        <f t="shared" si="7"/>
        <v/>
      </c>
      <c r="BK7" s="20" t="str">
        <f t="shared" si="7"/>
        <v/>
      </c>
      <c r="BL7" s="20" t="str">
        <f t="shared" si="7"/>
        <v/>
      </c>
      <c r="BM7" s="20" t="str">
        <f t="shared" si="7"/>
        <v/>
      </c>
      <c r="BN7" s="20" t="str">
        <f t="shared" si="7"/>
        <v/>
      </c>
      <c r="BO7" s="20" t="str">
        <f t="shared" si="7"/>
        <v/>
      </c>
      <c r="BP7" s="20" t="str">
        <f t="shared" si="7"/>
        <v/>
      </c>
      <c r="BQ7" s="20" t="str">
        <f t="shared" si="7"/>
        <v/>
      </c>
      <c r="BR7" s="20" t="str">
        <f t="shared" si="7"/>
        <v/>
      </c>
      <c r="BS7" s="20" t="str">
        <f t="shared" si="7"/>
        <v/>
      </c>
      <c r="BT7" s="20" t="str">
        <f t="shared" si="7"/>
        <v/>
      </c>
      <c r="BU7" s="20" t="str">
        <f t="shared" si="7"/>
        <v/>
      </c>
      <c r="BV7" s="20" t="str">
        <f t="shared" si="7"/>
        <v/>
      </c>
      <c r="BW7" s="20" t="str">
        <f t="shared" si="7"/>
        <v/>
      </c>
      <c r="BX7" s="20" t="str">
        <f t="shared" si="7"/>
        <v/>
      </c>
      <c r="BY7" s="20" t="str">
        <f t="shared" si="7"/>
        <v/>
      </c>
      <c r="BZ7" s="20" t="str">
        <f t="shared" si="7"/>
        <v/>
      </c>
      <c r="CA7" s="20" t="str">
        <f t="shared" si="7"/>
        <v/>
      </c>
      <c r="CB7" s="20" t="str">
        <f t="shared" si="7"/>
        <v/>
      </c>
      <c r="CC7" s="20" t="str">
        <f t="shared" si="7"/>
        <v/>
      </c>
      <c r="CD7" s="20" t="str">
        <f t="shared" si="7"/>
        <v/>
      </c>
      <c r="CE7" s="20" t="str">
        <f t="shared" si="7"/>
        <v/>
      </c>
      <c r="CF7" s="20" t="str">
        <f t="shared" si="7"/>
        <v/>
      </c>
      <c r="CG7" s="20" t="str">
        <f t="shared" si="7"/>
        <v/>
      </c>
      <c r="CH7" s="20" t="str">
        <f t="shared" si="7"/>
        <v/>
      </c>
      <c r="CI7" s="20" t="str">
        <f t="shared" si="7"/>
        <v/>
      </c>
      <c r="CJ7" s="20" t="str">
        <f t="shared" si="7"/>
        <v/>
      </c>
      <c r="CK7" s="20" t="str">
        <f t="shared" si="7"/>
        <v/>
      </c>
      <c r="CL7" s="20" t="str">
        <f t="shared" si="7"/>
        <v/>
      </c>
      <c r="CM7" s="20" t="str">
        <f t="shared" si="7"/>
        <v/>
      </c>
      <c r="CN7" s="20" t="str">
        <f t="shared" si="7"/>
        <v/>
      </c>
      <c r="CO7" s="20">
        <f t="shared" si="7"/>
        <v>9</v>
      </c>
      <c r="CP7" s="20">
        <f t="shared" si="7"/>
        <v>9</v>
      </c>
      <c r="CQ7" s="20">
        <f t="shared" si="7"/>
        <v>9</v>
      </c>
      <c r="CR7" s="20" t="str">
        <f t="shared" ref="CR7:FC7" si="8">IF(SUM(CR$8:CR$150), SUM(CR$8:CR$150), "")</f>
        <v/>
      </c>
      <c r="CS7" s="20" t="str">
        <f t="shared" si="8"/>
        <v/>
      </c>
      <c r="CT7" s="20">
        <f t="shared" si="8"/>
        <v>9</v>
      </c>
      <c r="CU7" s="20">
        <v>9</v>
      </c>
      <c r="CV7" s="20">
        <v>10</v>
      </c>
      <c r="CW7" s="20">
        <f t="shared" si="8"/>
        <v>9.5</v>
      </c>
      <c r="CX7" s="20">
        <f t="shared" si="8"/>
        <v>9.5</v>
      </c>
      <c r="CY7" s="20" t="str">
        <f t="shared" si="8"/>
        <v/>
      </c>
      <c r="CZ7" s="20" t="str">
        <f t="shared" si="8"/>
        <v/>
      </c>
      <c r="DA7" s="20">
        <f t="shared" si="8"/>
        <v>9.5</v>
      </c>
      <c r="DB7" s="20">
        <f t="shared" si="8"/>
        <v>9</v>
      </c>
      <c r="DC7" s="20">
        <f t="shared" si="8"/>
        <v>9.5</v>
      </c>
      <c r="DD7" s="20" t="str">
        <f t="shared" si="8"/>
        <v/>
      </c>
      <c r="DE7" s="20" t="str">
        <f t="shared" si="8"/>
        <v/>
      </c>
      <c r="DF7" s="20" t="str">
        <f t="shared" si="8"/>
        <v/>
      </c>
      <c r="DG7" s="20" t="str">
        <f t="shared" si="8"/>
        <v/>
      </c>
      <c r="DH7" s="20">
        <f t="shared" si="8"/>
        <v>8.5</v>
      </c>
      <c r="DI7" s="20">
        <f t="shared" si="8"/>
        <v>9.5</v>
      </c>
      <c r="DJ7" s="20">
        <f t="shared" si="8"/>
        <v>8.5</v>
      </c>
      <c r="DK7" s="20">
        <f t="shared" si="8"/>
        <v>8.5</v>
      </c>
      <c r="DL7" s="20">
        <f t="shared" si="8"/>
        <v>8.5</v>
      </c>
      <c r="DM7" s="20" t="str">
        <f t="shared" si="8"/>
        <v/>
      </c>
      <c r="DN7" s="20" t="str">
        <f t="shared" si="8"/>
        <v/>
      </c>
      <c r="DO7" s="20">
        <f t="shared" si="8"/>
        <v>8.5</v>
      </c>
      <c r="DP7" s="20">
        <f t="shared" si="8"/>
        <v>8.5</v>
      </c>
      <c r="DQ7" s="20">
        <f t="shared" si="8"/>
        <v>8.5</v>
      </c>
      <c r="DR7" s="20">
        <f t="shared" si="8"/>
        <v>9.5</v>
      </c>
      <c r="DS7" s="20">
        <f t="shared" si="8"/>
        <v>9.5</v>
      </c>
      <c r="DT7" s="20" t="str">
        <f t="shared" si="8"/>
        <v/>
      </c>
      <c r="DU7" s="20" t="str">
        <f t="shared" si="8"/>
        <v/>
      </c>
      <c r="DV7" s="20">
        <f t="shared" si="8"/>
        <v>9.5</v>
      </c>
      <c r="DW7" s="20">
        <f t="shared" si="8"/>
        <v>9.5</v>
      </c>
      <c r="DX7" s="20">
        <f t="shared" si="8"/>
        <v>9.5</v>
      </c>
      <c r="DY7" s="20">
        <f t="shared" si="8"/>
        <v>9.5</v>
      </c>
      <c r="DZ7" s="20">
        <f t="shared" si="8"/>
        <v>9.5</v>
      </c>
      <c r="EA7" s="20" t="str">
        <f t="shared" si="8"/>
        <v/>
      </c>
      <c r="EB7" s="20" t="str">
        <f t="shared" si="8"/>
        <v/>
      </c>
      <c r="EC7" s="20">
        <f t="shared" si="8"/>
        <v>9.5</v>
      </c>
      <c r="ED7" s="20" t="str">
        <f t="shared" si="8"/>
        <v/>
      </c>
      <c r="EE7" s="20">
        <f t="shared" si="8"/>
        <v>9.5</v>
      </c>
      <c r="EF7" s="20">
        <f t="shared" si="8"/>
        <v>9.5</v>
      </c>
      <c r="EG7" s="20" t="str">
        <f t="shared" si="8"/>
        <v/>
      </c>
      <c r="EH7" s="20" t="str">
        <f t="shared" si="8"/>
        <v/>
      </c>
      <c r="EI7" s="20" t="str">
        <f t="shared" si="8"/>
        <v/>
      </c>
      <c r="EJ7" s="20" t="str">
        <f t="shared" si="8"/>
        <v/>
      </c>
      <c r="EK7" s="20" t="str">
        <f t="shared" si="8"/>
        <v/>
      </c>
      <c r="EL7" s="20" t="str">
        <f t="shared" si="8"/>
        <v/>
      </c>
      <c r="EM7" s="20" t="str">
        <f t="shared" si="8"/>
        <v/>
      </c>
      <c r="EN7" s="20" t="str">
        <f t="shared" si="8"/>
        <v/>
      </c>
      <c r="EO7" s="20" t="str">
        <f t="shared" si="8"/>
        <v/>
      </c>
      <c r="EP7" s="20" t="str">
        <f t="shared" si="8"/>
        <v/>
      </c>
      <c r="EQ7" s="20" t="str">
        <f t="shared" si="8"/>
        <v/>
      </c>
      <c r="ER7" s="20" t="str">
        <f t="shared" si="8"/>
        <v/>
      </c>
      <c r="ES7" s="20" t="str">
        <f t="shared" si="8"/>
        <v/>
      </c>
      <c r="ET7" s="20" t="str">
        <f t="shared" si="8"/>
        <v/>
      </c>
      <c r="EU7" s="20" t="str">
        <f t="shared" si="8"/>
        <v/>
      </c>
      <c r="EV7" s="20" t="str">
        <f t="shared" si="8"/>
        <v/>
      </c>
      <c r="EW7" s="20" t="str">
        <f t="shared" si="8"/>
        <v/>
      </c>
      <c r="EX7" s="20" t="str">
        <f t="shared" si="8"/>
        <v/>
      </c>
      <c r="EY7" s="20" t="str">
        <f t="shared" si="8"/>
        <v/>
      </c>
      <c r="EZ7" s="20" t="str">
        <f t="shared" si="8"/>
        <v/>
      </c>
      <c r="FA7" s="20" t="str">
        <f t="shared" si="8"/>
        <v/>
      </c>
      <c r="FB7" s="20" t="str">
        <f t="shared" si="8"/>
        <v/>
      </c>
      <c r="FC7" s="20" t="str">
        <f t="shared" si="8"/>
        <v/>
      </c>
      <c r="FD7" s="20" t="str">
        <f t="shared" ref="FD7:HO7" si="9">IF(SUM(FD$8:FD$150), SUM(FD$8:FD$150), "")</f>
        <v/>
      </c>
      <c r="FE7" s="20" t="str">
        <f t="shared" si="9"/>
        <v/>
      </c>
      <c r="FF7" s="20" t="str">
        <f t="shared" si="9"/>
        <v/>
      </c>
      <c r="FG7" s="20" t="str">
        <f t="shared" si="9"/>
        <v/>
      </c>
      <c r="FH7" s="20" t="str">
        <f t="shared" si="9"/>
        <v/>
      </c>
      <c r="FI7" s="20" t="str">
        <f t="shared" si="9"/>
        <v/>
      </c>
      <c r="FJ7" s="20" t="str">
        <f t="shared" si="9"/>
        <v/>
      </c>
      <c r="FK7" s="20" t="str">
        <f t="shared" si="9"/>
        <v/>
      </c>
      <c r="FL7" s="20" t="str">
        <f t="shared" si="9"/>
        <v/>
      </c>
      <c r="FM7" s="20" t="str">
        <f t="shared" si="9"/>
        <v/>
      </c>
      <c r="FN7" s="20" t="str">
        <f t="shared" si="9"/>
        <v/>
      </c>
      <c r="FO7" s="20" t="str">
        <f t="shared" si="9"/>
        <v/>
      </c>
      <c r="FP7" s="20" t="str">
        <f t="shared" si="9"/>
        <v/>
      </c>
      <c r="FQ7" s="20" t="str">
        <f t="shared" si="9"/>
        <v/>
      </c>
      <c r="FR7" s="20" t="str">
        <f t="shared" si="9"/>
        <v/>
      </c>
      <c r="FS7" s="20" t="str">
        <f t="shared" si="9"/>
        <v/>
      </c>
      <c r="FT7" s="20" t="str">
        <f t="shared" si="9"/>
        <v/>
      </c>
      <c r="FU7" s="20" t="str">
        <f t="shared" si="9"/>
        <v/>
      </c>
      <c r="FV7" s="20" t="str">
        <f t="shared" si="9"/>
        <v/>
      </c>
      <c r="FW7" s="20" t="str">
        <f t="shared" si="9"/>
        <v/>
      </c>
      <c r="FX7" s="20" t="str">
        <f t="shared" si="9"/>
        <v/>
      </c>
      <c r="FY7" s="20" t="str">
        <f t="shared" si="9"/>
        <v/>
      </c>
      <c r="FZ7" s="20" t="str">
        <f t="shared" si="9"/>
        <v/>
      </c>
      <c r="GA7" s="20" t="str">
        <f t="shared" si="9"/>
        <v/>
      </c>
      <c r="GB7" s="20" t="str">
        <f t="shared" si="9"/>
        <v/>
      </c>
      <c r="GC7" s="20" t="str">
        <f t="shared" si="9"/>
        <v/>
      </c>
      <c r="GD7" s="20" t="str">
        <f t="shared" si="9"/>
        <v/>
      </c>
      <c r="GE7" s="20" t="str">
        <f t="shared" si="9"/>
        <v/>
      </c>
      <c r="GF7" s="20" t="str">
        <f t="shared" si="9"/>
        <v/>
      </c>
      <c r="GG7" s="20" t="str">
        <f t="shared" si="9"/>
        <v/>
      </c>
      <c r="GH7" s="20" t="str">
        <f t="shared" si="9"/>
        <v/>
      </c>
      <c r="GI7" s="20" t="str">
        <f t="shared" si="9"/>
        <v/>
      </c>
      <c r="GJ7" s="20" t="str">
        <f t="shared" si="9"/>
        <v/>
      </c>
      <c r="GK7" s="20" t="str">
        <f t="shared" si="9"/>
        <v/>
      </c>
      <c r="GL7" s="20" t="str">
        <f t="shared" si="9"/>
        <v/>
      </c>
      <c r="GM7" s="20" t="str">
        <f t="shared" si="9"/>
        <v/>
      </c>
      <c r="GN7" s="20" t="str">
        <f t="shared" si="9"/>
        <v/>
      </c>
      <c r="GO7" s="20" t="str">
        <f t="shared" si="9"/>
        <v/>
      </c>
      <c r="GP7" s="20" t="str">
        <f t="shared" si="9"/>
        <v/>
      </c>
      <c r="GQ7" s="20" t="str">
        <f t="shared" si="9"/>
        <v/>
      </c>
      <c r="GR7" s="20" t="str">
        <f t="shared" si="9"/>
        <v/>
      </c>
      <c r="GS7" s="20" t="str">
        <f t="shared" si="9"/>
        <v/>
      </c>
      <c r="GT7" s="20" t="str">
        <f t="shared" si="9"/>
        <v/>
      </c>
      <c r="GU7" s="20" t="str">
        <f t="shared" si="9"/>
        <v/>
      </c>
      <c r="GV7" s="20" t="str">
        <f t="shared" si="9"/>
        <v/>
      </c>
      <c r="GW7" s="20" t="str">
        <f t="shared" si="9"/>
        <v/>
      </c>
      <c r="GX7" s="20" t="str">
        <f t="shared" si="9"/>
        <v/>
      </c>
      <c r="GY7" s="20" t="str">
        <f t="shared" si="9"/>
        <v/>
      </c>
      <c r="GZ7" s="20" t="str">
        <f t="shared" si="9"/>
        <v/>
      </c>
      <c r="HA7" s="20" t="str">
        <f t="shared" si="9"/>
        <v/>
      </c>
      <c r="HB7" s="20" t="str">
        <f t="shared" si="9"/>
        <v/>
      </c>
      <c r="HC7" s="20" t="str">
        <f t="shared" si="9"/>
        <v/>
      </c>
      <c r="HD7" s="20" t="str">
        <f t="shared" si="9"/>
        <v/>
      </c>
      <c r="HE7" s="20" t="str">
        <f t="shared" si="9"/>
        <v/>
      </c>
      <c r="HF7" s="20" t="str">
        <f t="shared" si="9"/>
        <v/>
      </c>
      <c r="HG7" s="20" t="str">
        <f t="shared" si="9"/>
        <v/>
      </c>
      <c r="HH7" s="20" t="str">
        <f t="shared" si="9"/>
        <v/>
      </c>
      <c r="HI7" s="20" t="str">
        <f t="shared" si="9"/>
        <v/>
      </c>
      <c r="HJ7" s="20" t="str">
        <f t="shared" si="9"/>
        <v/>
      </c>
      <c r="HK7" s="20" t="str">
        <f t="shared" si="9"/>
        <v/>
      </c>
      <c r="HL7" s="20" t="str">
        <f t="shared" si="9"/>
        <v/>
      </c>
      <c r="HM7" s="20" t="str">
        <f t="shared" si="9"/>
        <v/>
      </c>
      <c r="HN7" s="20" t="str">
        <f t="shared" si="9"/>
        <v/>
      </c>
      <c r="HO7" s="20" t="str">
        <f t="shared" si="9"/>
        <v/>
      </c>
      <c r="HP7" s="20" t="str">
        <f t="shared" ref="HP7:KA7" si="10">IF(SUM(HP$8:HP$150), SUM(HP$8:HP$150), "")</f>
        <v/>
      </c>
      <c r="HQ7" s="20" t="str">
        <f t="shared" si="10"/>
        <v/>
      </c>
      <c r="HR7" s="20" t="str">
        <f t="shared" si="10"/>
        <v/>
      </c>
      <c r="HS7" s="20" t="str">
        <f t="shared" si="10"/>
        <v/>
      </c>
      <c r="HT7" s="20" t="str">
        <f t="shared" si="10"/>
        <v/>
      </c>
      <c r="HU7" s="20" t="str">
        <f t="shared" si="10"/>
        <v/>
      </c>
      <c r="HV7" s="20" t="str">
        <f t="shared" si="10"/>
        <v/>
      </c>
      <c r="HW7" s="20" t="str">
        <f t="shared" si="10"/>
        <v/>
      </c>
      <c r="HX7" s="20" t="str">
        <f t="shared" si="10"/>
        <v/>
      </c>
      <c r="HY7" s="20" t="str">
        <f t="shared" si="10"/>
        <v/>
      </c>
      <c r="HZ7" s="20" t="str">
        <f t="shared" si="10"/>
        <v/>
      </c>
      <c r="IA7" s="20" t="str">
        <f t="shared" si="10"/>
        <v/>
      </c>
      <c r="IB7" s="20" t="str">
        <f t="shared" si="10"/>
        <v/>
      </c>
      <c r="IC7" s="20" t="str">
        <f t="shared" si="10"/>
        <v/>
      </c>
      <c r="ID7" s="20" t="str">
        <f t="shared" si="10"/>
        <v/>
      </c>
      <c r="IE7" s="20" t="str">
        <f t="shared" si="10"/>
        <v/>
      </c>
      <c r="IF7" s="20" t="str">
        <f t="shared" si="10"/>
        <v/>
      </c>
      <c r="IG7" s="20" t="str">
        <f t="shared" si="10"/>
        <v/>
      </c>
      <c r="IH7" s="20" t="str">
        <f t="shared" si="10"/>
        <v/>
      </c>
      <c r="II7" s="20" t="str">
        <f t="shared" si="10"/>
        <v/>
      </c>
      <c r="IJ7" s="20" t="str">
        <f t="shared" si="10"/>
        <v/>
      </c>
      <c r="IK7" s="20" t="str">
        <f t="shared" si="10"/>
        <v/>
      </c>
      <c r="IL7" s="20" t="str">
        <f t="shared" si="10"/>
        <v/>
      </c>
      <c r="IM7" s="20" t="str">
        <f t="shared" si="10"/>
        <v/>
      </c>
      <c r="IN7" s="20" t="str">
        <f t="shared" si="10"/>
        <v/>
      </c>
      <c r="IO7" s="20" t="str">
        <f t="shared" si="10"/>
        <v/>
      </c>
      <c r="IP7" s="20" t="str">
        <f t="shared" si="10"/>
        <v/>
      </c>
      <c r="IQ7" s="20" t="str">
        <f t="shared" si="10"/>
        <v/>
      </c>
      <c r="IR7" s="20" t="str">
        <f t="shared" si="10"/>
        <v/>
      </c>
      <c r="IS7" s="20" t="str">
        <f t="shared" si="10"/>
        <v/>
      </c>
      <c r="IT7" s="20" t="str">
        <f t="shared" si="10"/>
        <v/>
      </c>
      <c r="IU7" s="20" t="str">
        <f t="shared" si="10"/>
        <v/>
      </c>
      <c r="IV7" s="20" t="str">
        <f t="shared" si="10"/>
        <v/>
      </c>
      <c r="IW7" s="20" t="str">
        <f t="shared" si="10"/>
        <v/>
      </c>
      <c r="IX7" s="20" t="str">
        <f t="shared" si="10"/>
        <v/>
      </c>
      <c r="IY7" s="20" t="str">
        <f t="shared" si="10"/>
        <v/>
      </c>
      <c r="IZ7" s="20" t="str">
        <f t="shared" si="10"/>
        <v/>
      </c>
      <c r="JA7" s="20" t="str">
        <f t="shared" si="10"/>
        <v/>
      </c>
      <c r="JB7" s="20" t="str">
        <f t="shared" si="10"/>
        <v/>
      </c>
      <c r="JC7" s="20" t="str">
        <f t="shared" si="10"/>
        <v/>
      </c>
      <c r="JD7" s="20" t="str">
        <f t="shared" si="10"/>
        <v/>
      </c>
      <c r="JE7" s="20" t="str">
        <f t="shared" si="10"/>
        <v/>
      </c>
      <c r="JF7" s="20" t="str">
        <f t="shared" si="10"/>
        <v/>
      </c>
      <c r="JG7" s="20" t="str">
        <f t="shared" si="10"/>
        <v/>
      </c>
      <c r="JH7" s="20" t="str">
        <f t="shared" si="10"/>
        <v/>
      </c>
      <c r="JI7" s="20" t="str">
        <f t="shared" si="10"/>
        <v/>
      </c>
      <c r="JJ7" s="20" t="str">
        <f t="shared" si="10"/>
        <v/>
      </c>
      <c r="JK7" s="20" t="str">
        <f t="shared" si="10"/>
        <v/>
      </c>
      <c r="JL7" s="20" t="str">
        <f t="shared" si="10"/>
        <v/>
      </c>
      <c r="JM7" s="20" t="str">
        <f t="shared" si="10"/>
        <v/>
      </c>
      <c r="JN7" s="20" t="str">
        <f t="shared" si="10"/>
        <v/>
      </c>
      <c r="JO7" s="20" t="str">
        <f t="shared" si="10"/>
        <v/>
      </c>
      <c r="JP7" s="20" t="str">
        <f t="shared" si="10"/>
        <v/>
      </c>
      <c r="JQ7" s="20" t="str">
        <f t="shared" si="10"/>
        <v/>
      </c>
      <c r="JR7" s="20" t="str">
        <f t="shared" si="10"/>
        <v/>
      </c>
      <c r="JS7" s="20" t="str">
        <f t="shared" si="10"/>
        <v/>
      </c>
      <c r="JT7" s="20" t="str">
        <f t="shared" si="10"/>
        <v/>
      </c>
      <c r="JU7" s="20" t="str">
        <f t="shared" si="10"/>
        <v/>
      </c>
      <c r="JV7" s="20" t="str">
        <f t="shared" si="10"/>
        <v/>
      </c>
      <c r="JW7" s="20" t="str">
        <f t="shared" si="10"/>
        <v/>
      </c>
      <c r="JX7" s="20" t="str">
        <f t="shared" si="10"/>
        <v/>
      </c>
      <c r="JY7" s="20" t="str">
        <f t="shared" si="10"/>
        <v/>
      </c>
      <c r="JZ7" s="20" t="str">
        <f t="shared" si="10"/>
        <v/>
      </c>
      <c r="KA7" s="20" t="str">
        <f t="shared" si="10"/>
        <v/>
      </c>
      <c r="KB7" s="20" t="str">
        <f t="shared" ref="KB7:MM7" si="11">IF(SUM(KB$8:KB$150), SUM(KB$8:KB$150), "")</f>
        <v/>
      </c>
      <c r="KC7" s="20" t="str">
        <f t="shared" si="11"/>
        <v/>
      </c>
      <c r="KD7" s="20" t="str">
        <f t="shared" si="11"/>
        <v/>
      </c>
      <c r="KE7" s="20" t="str">
        <f t="shared" si="11"/>
        <v/>
      </c>
      <c r="KF7" s="20" t="str">
        <f t="shared" si="11"/>
        <v/>
      </c>
      <c r="KG7" s="20" t="str">
        <f t="shared" si="11"/>
        <v/>
      </c>
      <c r="KH7" s="20" t="str">
        <f t="shared" si="11"/>
        <v/>
      </c>
      <c r="KI7" s="20" t="str">
        <f t="shared" si="11"/>
        <v/>
      </c>
      <c r="KJ7" s="20" t="str">
        <f t="shared" si="11"/>
        <v/>
      </c>
      <c r="KK7" s="20" t="str">
        <f t="shared" si="11"/>
        <v/>
      </c>
      <c r="KL7" s="20" t="str">
        <f t="shared" si="11"/>
        <v/>
      </c>
      <c r="KM7" s="20" t="str">
        <f t="shared" si="11"/>
        <v/>
      </c>
      <c r="KN7" s="20" t="str">
        <f t="shared" si="11"/>
        <v/>
      </c>
      <c r="KO7" s="20" t="str">
        <f t="shared" si="11"/>
        <v/>
      </c>
      <c r="KP7" s="20" t="str">
        <f t="shared" si="11"/>
        <v/>
      </c>
      <c r="KQ7" s="20" t="str">
        <f t="shared" si="11"/>
        <v/>
      </c>
      <c r="KR7" s="20" t="str">
        <f t="shared" si="11"/>
        <v/>
      </c>
      <c r="KS7" s="20" t="str">
        <f t="shared" si="11"/>
        <v/>
      </c>
      <c r="KT7" s="20" t="str">
        <f t="shared" si="11"/>
        <v/>
      </c>
      <c r="KU7" s="20" t="str">
        <f t="shared" si="11"/>
        <v/>
      </c>
      <c r="KV7" s="20" t="str">
        <f t="shared" si="11"/>
        <v/>
      </c>
      <c r="KW7" s="20" t="str">
        <f t="shared" si="11"/>
        <v/>
      </c>
      <c r="KX7" s="20" t="str">
        <f t="shared" si="11"/>
        <v/>
      </c>
      <c r="KY7" s="20" t="str">
        <f t="shared" si="11"/>
        <v/>
      </c>
      <c r="KZ7" s="20" t="str">
        <f t="shared" si="11"/>
        <v/>
      </c>
      <c r="LA7" s="20" t="str">
        <f t="shared" si="11"/>
        <v/>
      </c>
      <c r="LB7" s="20" t="str">
        <f t="shared" si="11"/>
        <v/>
      </c>
      <c r="LC7" s="20" t="str">
        <f t="shared" si="11"/>
        <v/>
      </c>
      <c r="LD7" s="20" t="str">
        <f t="shared" si="11"/>
        <v/>
      </c>
      <c r="LE7" s="20" t="str">
        <f t="shared" si="11"/>
        <v/>
      </c>
      <c r="LF7" s="20" t="str">
        <f t="shared" si="11"/>
        <v/>
      </c>
      <c r="LG7" s="20" t="str">
        <f t="shared" si="11"/>
        <v/>
      </c>
      <c r="LH7" s="20" t="str">
        <f t="shared" si="11"/>
        <v/>
      </c>
      <c r="LI7" s="20" t="str">
        <f t="shared" si="11"/>
        <v/>
      </c>
      <c r="LJ7" s="20" t="str">
        <f t="shared" si="11"/>
        <v/>
      </c>
      <c r="LK7" s="20" t="str">
        <f t="shared" si="11"/>
        <v/>
      </c>
      <c r="LL7" s="20" t="str">
        <f t="shared" si="11"/>
        <v/>
      </c>
      <c r="LM7" s="20" t="str">
        <f t="shared" si="11"/>
        <v/>
      </c>
      <c r="LN7" s="20" t="str">
        <f t="shared" si="11"/>
        <v/>
      </c>
      <c r="LO7" s="20" t="str">
        <f t="shared" si="11"/>
        <v/>
      </c>
      <c r="LP7" s="20" t="str">
        <f t="shared" si="11"/>
        <v/>
      </c>
      <c r="LQ7" s="20" t="str">
        <f t="shared" si="11"/>
        <v/>
      </c>
      <c r="LR7" s="20" t="str">
        <f t="shared" si="11"/>
        <v/>
      </c>
      <c r="LS7" s="20" t="str">
        <f t="shared" si="11"/>
        <v/>
      </c>
      <c r="LT7" s="20" t="str">
        <f t="shared" si="11"/>
        <v/>
      </c>
      <c r="LU7" s="20" t="str">
        <f t="shared" si="11"/>
        <v/>
      </c>
      <c r="LV7" s="20" t="str">
        <f t="shared" si="11"/>
        <v/>
      </c>
      <c r="LW7" s="20" t="str">
        <f t="shared" si="11"/>
        <v/>
      </c>
      <c r="LX7" s="20" t="str">
        <f t="shared" si="11"/>
        <v/>
      </c>
      <c r="LY7" s="20" t="str">
        <f t="shared" si="11"/>
        <v/>
      </c>
      <c r="LZ7" s="20" t="str">
        <f t="shared" si="11"/>
        <v/>
      </c>
      <c r="MA7" s="20" t="str">
        <f t="shared" si="11"/>
        <v/>
      </c>
      <c r="MB7" s="20" t="str">
        <f t="shared" si="11"/>
        <v/>
      </c>
      <c r="MC7" s="20" t="str">
        <f t="shared" si="11"/>
        <v/>
      </c>
      <c r="MD7" s="20" t="str">
        <f t="shared" si="11"/>
        <v/>
      </c>
      <c r="ME7" s="20" t="str">
        <f t="shared" si="11"/>
        <v/>
      </c>
      <c r="MF7" s="20" t="str">
        <f t="shared" si="11"/>
        <v/>
      </c>
      <c r="MG7" s="20" t="str">
        <f t="shared" si="11"/>
        <v/>
      </c>
      <c r="MH7" s="20" t="str">
        <f t="shared" si="11"/>
        <v/>
      </c>
      <c r="MI7" s="20" t="str">
        <f t="shared" si="11"/>
        <v/>
      </c>
      <c r="MJ7" s="20" t="str">
        <f t="shared" si="11"/>
        <v/>
      </c>
      <c r="MK7" s="20" t="str">
        <f t="shared" si="11"/>
        <v/>
      </c>
      <c r="ML7" s="20" t="str">
        <f t="shared" si="11"/>
        <v/>
      </c>
      <c r="MM7" s="20" t="str">
        <f t="shared" si="11"/>
        <v/>
      </c>
      <c r="MN7" s="20" t="str">
        <f t="shared" ref="MN7:OE7" si="12">IF(SUM(MN$8:MN$150), SUM(MN$8:MN$150), "")</f>
        <v/>
      </c>
      <c r="MO7" s="20" t="str">
        <f t="shared" si="12"/>
        <v/>
      </c>
      <c r="MP7" s="20" t="str">
        <f t="shared" si="12"/>
        <v/>
      </c>
      <c r="MQ7" s="20" t="str">
        <f t="shared" si="12"/>
        <v/>
      </c>
      <c r="MR7" s="20" t="str">
        <f t="shared" si="12"/>
        <v/>
      </c>
      <c r="MS7" s="20" t="str">
        <f t="shared" si="12"/>
        <v/>
      </c>
      <c r="MT7" s="20" t="str">
        <f t="shared" si="12"/>
        <v/>
      </c>
      <c r="MU7" s="20" t="str">
        <f t="shared" si="12"/>
        <v/>
      </c>
      <c r="MV7" s="20" t="str">
        <f t="shared" si="12"/>
        <v/>
      </c>
      <c r="MW7" s="20" t="str">
        <f t="shared" si="12"/>
        <v/>
      </c>
      <c r="MX7" s="20" t="str">
        <f t="shared" si="12"/>
        <v/>
      </c>
      <c r="MY7" s="20" t="str">
        <f t="shared" si="12"/>
        <v/>
      </c>
      <c r="MZ7" s="20" t="str">
        <f t="shared" si="12"/>
        <v/>
      </c>
      <c r="NA7" s="20" t="str">
        <f t="shared" si="12"/>
        <v/>
      </c>
      <c r="NB7" s="20" t="str">
        <f t="shared" si="12"/>
        <v/>
      </c>
      <c r="NC7" s="20" t="str">
        <f t="shared" si="12"/>
        <v/>
      </c>
      <c r="ND7" s="20" t="str">
        <f t="shared" si="12"/>
        <v/>
      </c>
      <c r="NE7" s="20" t="str">
        <f t="shared" si="12"/>
        <v/>
      </c>
      <c r="NF7" s="20" t="str">
        <f t="shared" si="12"/>
        <v/>
      </c>
      <c r="NG7" s="20" t="str">
        <f t="shared" si="12"/>
        <v/>
      </c>
      <c r="NH7" s="20" t="str">
        <f t="shared" si="12"/>
        <v/>
      </c>
      <c r="NI7" s="20" t="str">
        <f t="shared" si="12"/>
        <v/>
      </c>
      <c r="NJ7" s="20" t="str">
        <f t="shared" si="12"/>
        <v/>
      </c>
      <c r="NK7" s="20" t="str">
        <f t="shared" si="12"/>
        <v/>
      </c>
      <c r="NL7" s="20" t="str">
        <f t="shared" si="12"/>
        <v/>
      </c>
      <c r="NM7" s="20" t="str">
        <f t="shared" si="12"/>
        <v/>
      </c>
      <c r="NN7" s="20" t="str">
        <f t="shared" si="12"/>
        <v/>
      </c>
      <c r="NO7" s="20" t="str">
        <f t="shared" si="12"/>
        <v/>
      </c>
      <c r="NP7" s="20" t="str">
        <f t="shared" si="12"/>
        <v/>
      </c>
      <c r="NQ7" s="20" t="str">
        <f t="shared" si="12"/>
        <v/>
      </c>
      <c r="NR7" s="20" t="str">
        <f t="shared" si="12"/>
        <v/>
      </c>
      <c r="NS7" s="20" t="str">
        <f t="shared" si="12"/>
        <v/>
      </c>
      <c r="NT7" s="20" t="str">
        <f t="shared" si="12"/>
        <v/>
      </c>
      <c r="NU7" s="20" t="str">
        <f t="shared" si="12"/>
        <v/>
      </c>
      <c r="NV7" s="20" t="str">
        <f t="shared" si="12"/>
        <v/>
      </c>
      <c r="NW7" s="20" t="str">
        <f t="shared" si="12"/>
        <v/>
      </c>
      <c r="NX7" s="20" t="str">
        <f t="shared" si="12"/>
        <v/>
      </c>
      <c r="NY7" s="20" t="str">
        <f t="shared" si="12"/>
        <v/>
      </c>
      <c r="NZ7" s="20" t="str">
        <f t="shared" si="12"/>
        <v/>
      </c>
      <c r="OA7" s="20" t="str">
        <f t="shared" si="12"/>
        <v/>
      </c>
      <c r="OB7" s="20" t="str">
        <f t="shared" si="12"/>
        <v/>
      </c>
      <c r="OC7" s="20" t="str">
        <f t="shared" si="12"/>
        <v/>
      </c>
      <c r="OD7" s="20" t="str">
        <f t="shared" si="12"/>
        <v/>
      </c>
      <c r="OE7" s="117" t="str">
        <f t="shared" si="12"/>
        <v/>
      </c>
    </row>
    <row r="8" spans="1:395">
      <c r="A8" s="31" t="s">
        <v>76</v>
      </c>
      <c r="B8" s="14" t="s">
        <v>77</v>
      </c>
      <c r="C8" s="15"/>
      <c r="D8" s="22"/>
      <c r="E8" s="16" t="str">
        <f>IF(SUM($G8,$I8,$K8,$M8,$O8,$Q8,$S8,$U8,$W8,$Y8,$AA8,$AC8), SUM($G8,$I8,$K8,$M8,$O8,$Q8,$S8,$U8,$W8,$Y8,$AA8,$AC8), "")</f>
        <v/>
      </c>
      <c r="F8" s="16">
        <f>SUM($H8,$J8,$L8,$N8,$P8,$R8,$T8,$V8,$X8,$Z8,$AB8,$AD8)</f>
        <v>0</v>
      </c>
      <c r="G8" s="13"/>
      <c r="H8" s="13" cm="1">
        <f t="array" ref="H8">SUMPRODUCT((TEXT($AE$5:$OE$5, "mmm")=LOWER(G$3))*$AE8:$OE8)</f>
        <v>0</v>
      </c>
      <c r="I8" s="13"/>
      <c r="J8" s="13" cm="1">
        <f t="array" ref="J8">SUMPRODUCT((TEXT($AE$5:$OE$5, "mmm")=LOWER(I$3))*$AE8:$OE8)</f>
        <v>0</v>
      </c>
      <c r="K8" s="13"/>
      <c r="L8" s="13" cm="1">
        <f t="array" ref="L8">SUMPRODUCT((TEXT($AE$5:$OE$5, "mmm")=LOWER(K$3))*$AE8:$OE8)</f>
        <v>0</v>
      </c>
      <c r="M8" s="13"/>
      <c r="N8" s="13" cm="1">
        <f t="array" ref="N8">SUMPRODUCT((TEXT($AE$5:$OE$5, "mmm")=LOWER(M$3))*$AE8:$OE8)</f>
        <v>0</v>
      </c>
      <c r="O8" s="13"/>
      <c r="P8" s="13" cm="1">
        <f t="array" ref="P8">SUMPRODUCT((TEXT($AE$5:$OE$5, "mmm")=LOWER(O$3))*$AE8:$OE8)</f>
        <v>0</v>
      </c>
      <c r="Q8" s="13"/>
      <c r="R8" s="13" cm="1">
        <f t="array" ref="R8">SUMPRODUCT((TEXT($AE$5:$OE$5, "mmm")=LOWER(Q$3))*$AE8:$OE8)</f>
        <v>0</v>
      </c>
      <c r="S8" s="13"/>
      <c r="T8" s="13" cm="1">
        <f t="array" ref="T8">SUMPRODUCT((TEXT($AE$5:$OE$5, "mmm")=LOWER(S$3))*$AE8:$OE8)</f>
        <v>0</v>
      </c>
      <c r="U8" s="13"/>
      <c r="V8" s="13" cm="1">
        <f t="array" ref="V8">SUMPRODUCT((TEXT($AE$5:$OE$5, "mmm")=LOWER(U$3))*$AE8:$OE8)</f>
        <v>0</v>
      </c>
      <c r="W8" s="13"/>
      <c r="X8" s="13" cm="1">
        <f t="array" ref="X8">SUMPRODUCT((TEXT($AE$5:$OE$5, "mmm")=LOWER(W$3))*$AE8:$OE8)</f>
        <v>0</v>
      </c>
      <c r="Y8" s="13"/>
      <c r="Z8" s="13" cm="1">
        <f t="array" ref="Z8">SUMPRODUCT((TEXT($AE$5:$OE$5, "mmm")=LOWER(Y$3))*$AE8:$OE8)</f>
        <v>0</v>
      </c>
      <c r="AA8" s="13"/>
      <c r="AB8" s="13" cm="1">
        <f t="array" ref="AB8">SUMPRODUCT((TEXT($AE$5:$OE$5, "mmm")=LOWER(AA$3))*$AE8:$OE8)</f>
        <v>0</v>
      </c>
      <c r="AC8" s="13"/>
      <c r="AD8" s="17" cm="1">
        <f t="array" ref="AD8">SUMPRODUCT((TEXT($AE$5:$OE$5, "mmm")=LOWER(AC$3))*$AE8:$OE8)</f>
        <v>0</v>
      </c>
      <c r="AE8" s="23"/>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BX8" s="24"/>
      <c r="BY8" s="24"/>
      <c r="BZ8" s="24"/>
      <c r="CA8" s="24"/>
      <c r="CB8" s="24"/>
      <c r="CC8" s="24"/>
      <c r="CD8" s="24"/>
      <c r="CE8" s="24"/>
      <c r="CF8" s="24"/>
      <c r="CG8" s="24"/>
      <c r="CH8" s="24"/>
      <c r="CI8" s="24"/>
      <c r="CJ8" s="24"/>
      <c r="CK8" s="24"/>
      <c r="CL8" s="24"/>
      <c r="CM8" s="24"/>
      <c r="CN8" s="24"/>
      <c r="CO8" s="24"/>
      <c r="CP8" s="24"/>
      <c r="CQ8" s="24"/>
      <c r="CR8" s="24"/>
      <c r="CS8" s="24"/>
      <c r="CT8" s="24"/>
      <c r="CU8" s="24"/>
      <c r="CV8" s="24"/>
      <c r="CW8" s="24"/>
      <c r="CX8" s="24"/>
      <c r="CY8" s="24"/>
      <c r="CZ8" s="24"/>
      <c r="DA8" s="24"/>
      <c r="DB8" s="24"/>
      <c r="DC8" s="24"/>
      <c r="DD8" s="24"/>
      <c r="DE8" s="24"/>
      <c r="DF8" s="24"/>
      <c r="DG8" s="24"/>
      <c r="DH8" s="24"/>
      <c r="DI8" s="24"/>
      <c r="DJ8" s="24"/>
      <c r="DK8" s="24"/>
      <c r="DL8" s="24"/>
      <c r="DM8" s="24"/>
      <c r="DN8" s="24"/>
      <c r="DO8" s="24"/>
      <c r="DP8" s="24"/>
      <c r="DQ8" s="24"/>
      <c r="DR8" s="24"/>
      <c r="DS8" s="24"/>
      <c r="DT8" s="24"/>
      <c r="DU8" s="24"/>
      <c r="DV8" s="24"/>
      <c r="DW8" s="24"/>
      <c r="DX8" s="24"/>
      <c r="DY8" s="24"/>
      <c r="DZ8" s="24"/>
      <c r="EA8" s="24"/>
      <c r="EB8" s="24"/>
      <c r="EC8" s="24"/>
      <c r="ED8" s="24"/>
      <c r="EE8" s="24"/>
      <c r="EF8" s="24"/>
      <c r="EG8" s="24"/>
      <c r="EH8" s="24"/>
      <c r="EI8" s="24"/>
      <c r="EJ8" s="24"/>
      <c r="EK8" s="24"/>
      <c r="EL8" s="24"/>
      <c r="EM8" s="24"/>
      <c r="EN8" s="24"/>
      <c r="EO8" s="24"/>
      <c r="EP8" s="24"/>
      <c r="EQ8" s="24"/>
      <c r="ER8" s="24"/>
      <c r="ES8" s="24"/>
      <c r="ET8" s="24"/>
      <c r="EU8" s="24"/>
      <c r="EV8" s="24"/>
      <c r="EW8" s="24"/>
      <c r="EX8" s="24"/>
      <c r="EY8" s="24"/>
      <c r="EZ8" s="24"/>
      <c r="FA8" s="24"/>
      <c r="FB8" s="24"/>
      <c r="FC8" s="24"/>
      <c r="FD8" s="24"/>
      <c r="FE8" s="24"/>
      <c r="FF8" s="24"/>
      <c r="FG8" s="24"/>
      <c r="FH8" s="24"/>
      <c r="FI8" s="24"/>
      <c r="FJ8" s="24"/>
      <c r="FK8" s="24"/>
      <c r="FL8" s="24"/>
      <c r="FM8" s="24"/>
      <c r="FN8" s="24"/>
      <c r="FO8" s="24"/>
      <c r="FP8" s="24"/>
      <c r="FQ8" s="24"/>
      <c r="FR8" s="24"/>
      <c r="FS8" s="24"/>
      <c r="FT8" s="24"/>
      <c r="FU8" s="24"/>
      <c r="FV8" s="24"/>
      <c r="FW8" s="24"/>
      <c r="FX8" s="24"/>
      <c r="FY8" s="24"/>
      <c r="FZ8" s="24"/>
      <c r="GA8" s="24"/>
      <c r="GB8" s="24"/>
      <c r="GC8" s="24"/>
      <c r="GD8" s="24"/>
      <c r="GE8" s="24"/>
      <c r="GF8" s="24"/>
      <c r="GG8" s="24"/>
      <c r="GH8" s="24"/>
      <c r="GI8" s="24"/>
      <c r="GJ8" s="24"/>
      <c r="GK8" s="24"/>
      <c r="GL8" s="24"/>
      <c r="GM8" s="24"/>
      <c r="GN8" s="24"/>
      <c r="GO8" s="24"/>
      <c r="GP8" s="24"/>
      <c r="GQ8" s="24"/>
      <c r="GR8" s="24"/>
      <c r="GS8" s="24"/>
      <c r="GT8" s="24"/>
      <c r="GU8" s="24"/>
      <c r="GV8" s="24"/>
      <c r="GW8" s="24"/>
      <c r="GX8" s="24"/>
      <c r="GY8" s="24"/>
      <c r="GZ8" s="24"/>
      <c r="HA8" s="24"/>
      <c r="HB8" s="24"/>
      <c r="HC8" s="24"/>
      <c r="HD8" s="24"/>
      <c r="HE8" s="24"/>
      <c r="HF8" s="24"/>
      <c r="HG8" s="24"/>
      <c r="HH8" s="24"/>
      <c r="HI8" s="24"/>
      <c r="HJ8" s="24"/>
      <c r="HK8" s="24"/>
      <c r="HL8" s="24"/>
      <c r="HM8" s="24"/>
      <c r="HN8" s="24"/>
      <c r="HO8" s="24"/>
      <c r="HP8" s="24"/>
      <c r="HQ8" s="24"/>
      <c r="HR8" s="24"/>
      <c r="HS8" s="24"/>
      <c r="HT8" s="24"/>
      <c r="HU8" s="24"/>
      <c r="HV8" s="24"/>
      <c r="HW8" s="24"/>
      <c r="HX8" s="24"/>
      <c r="HY8" s="24"/>
      <c r="HZ8" s="24"/>
      <c r="IA8" s="24"/>
      <c r="IB8" s="24"/>
      <c r="IC8" s="24"/>
      <c r="ID8" s="24"/>
      <c r="IE8" s="24"/>
      <c r="IF8" s="24"/>
      <c r="IG8" s="24"/>
      <c r="IH8" s="24"/>
      <c r="II8" s="24"/>
      <c r="IJ8" s="24"/>
      <c r="IK8" s="24"/>
      <c r="IL8" s="24"/>
      <c r="IM8" s="24"/>
      <c r="IN8" s="24"/>
      <c r="IO8" s="24"/>
      <c r="IP8" s="24"/>
      <c r="IQ8" s="24"/>
      <c r="IR8" s="24"/>
      <c r="IS8" s="24"/>
      <c r="IT8" s="24"/>
      <c r="IU8" s="24"/>
      <c r="IV8" s="24"/>
      <c r="IW8" s="24"/>
      <c r="IX8" s="24"/>
      <c r="IY8" s="24"/>
      <c r="IZ8" s="24"/>
      <c r="JA8" s="24"/>
      <c r="JB8" s="24"/>
      <c r="JC8" s="24"/>
      <c r="JD8" s="24"/>
      <c r="JE8" s="24"/>
      <c r="JF8" s="24"/>
      <c r="JG8" s="24"/>
      <c r="JH8" s="24"/>
      <c r="JI8" s="24"/>
      <c r="JJ8" s="24"/>
      <c r="JK8" s="24"/>
      <c r="JL8" s="24"/>
      <c r="JM8" s="24"/>
      <c r="JN8" s="24"/>
      <c r="JO8" s="24"/>
      <c r="JP8" s="24"/>
      <c r="JQ8" s="24"/>
      <c r="JR8" s="24"/>
      <c r="JS8" s="24"/>
      <c r="JT8" s="24"/>
      <c r="JU8" s="24"/>
      <c r="JV8" s="24"/>
      <c r="JW8" s="24"/>
      <c r="JX8" s="24"/>
      <c r="JY8" s="24"/>
      <c r="JZ8" s="24"/>
      <c r="KA8" s="24"/>
      <c r="KB8" s="24"/>
      <c r="KC8" s="24"/>
      <c r="KD8" s="24"/>
      <c r="KE8" s="24"/>
      <c r="KF8" s="24"/>
      <c r="KG8" s="24"/>
      <c r="KH8" s="24"/>
      <c r="KI8" s="24"/>
      <c r="KJ8" s="24"/>
      <c r="KK8" s="24"/>
      <c r="KL8" s="24"/>
      <c r="KM8" s="24"/>
      <c r="KN8" s="24"/>
      <c r="KO8" s="24"/>
      <c r="KP8" s="24"/>
      <c r="KQ8" s="24"/>
      <c r="KR8" s="24"/>
      <c r="KS8" s="24"/>
      <c r="KT8" s="24"/>
      <c r="KU8" s="24"/>
      <c r="KV8" s="24"/>
      <c r="KW8" s="24"/>
      <c r="KX8" s="24"/>
      <c r="KY8" s="24"/>
      <c r="KZ8" s="24"/>
      <c r="LA8" s="24"/>
      <c r="LB8" s="24"/>
      <c r="LC8" s="24"/>
      <c r="LD8" s="24"/>
      <c r="LE8" s="24"/>
      <c r="LF8" s="24"/>
      <c r="LG8" s="24"/>
      <c r="LH8" s="24"/>
      <c r="LI8" s="24"/>
      <c r="LJ8" s="24"/>
      <c r="LK8" s="24"/>
      <c r="LL8" s="24"/>
      <c r="LM8" s="24"/>
      <c r="LN8" s="24"/>
      <c r="LO8" s="24"/>
      <c r="LP8" s="24"/>
      <c r="LQ8" s="24"/>
      <c r="LR8" s="24"/>
      <c r="LS8" s="24"/>
      <c r="LT8" s="24"/>
      <c r="LU8" s="24"/>
      <c r="LV8" s="24"/>
      <c r="LW8" s="24"/>
      <c r="LX8" s="24"/>
      <c r="LY8" s="24"/>
      <c r="LZ8" s="24"/>
      <c r="MA8" s="24"/>
      <c r="MB8" s="24"/>
      <c r="MC8" s="24"/>
      <c r="MD8" s="24"/>
      <c r="ME8" s="24"/>
      <c r="MF8" s="24"/>
      <c r="MG8" s="24"/>
      <c r="MH8" s="24"/>
      <c r="MI8" s="24"/>
      <c r="MJ8" s="24"/>
      <c r="MK8" s="24"/>
      <c r="ML8" s="24"/>
      <c r="MM8" s="24"/>
      <c r="MN8" s="24"/>
      <c r="MO8" s="24"/>
      <c r="MP8" s="24"/>
      <c r="MQ8" s="24"/>
      <c r="MR8" s="24"/>
      <c r="MS8" s="24"/>
      <c r="MT8" s="24"/>
      <c r="MU8" s="24"/>
      <c r="MV8" s="24"/>
      <c r="MW8" s="24"/>
      <c r="MX8" s="24"/>
      <c r="MY8" s="24"/>
      <c r="MZ8" s="24"/>
      <c r="NA8" s="24"/>
      <c r="NB8" s="24"/>
      <c r="NC8" s="24"/>
      <c r="ND8" s="24"/>
      <c r="NE8" s="24"/>
      <c r="NF8" s="24"/>
      <c r="NG8" s="24"/>
      <c r="NH8" s="24"/>
      <c r="NI8" s="24"/>
      <c r="NJ8" s="24"/>
      <c r="NK8" s="24"/>
      <c r="NL8" s="24"/>
      <c r="NM8" s="24"/>
      <c r="NN8" s="24"/>
      <c r="NO8" s="24"/>
      <c r="NP8" s="24"/>
      <c r="NQ8" s="24"/>
      <c r="NR8" s="24"/>
      <c r="NS8" s="24"/>
      <c r="NT8" s="24"/>
      <c r="NU8" s="24"/>
      <c r="NV8" s="24"/>
      <c r="NW8" s="24"/>
      <c r="NX8" s="24"/>
      <c r="NY8" s="24"/>
      <c r="NZ8" s="24"/>
      <c r="OA8" s="24"/>
      <c r="OB8" s="24"/>
      <c r="OC8" s="24"/>
      <c r="OD8" s="24"/>
      <c r="OE8" s="46"/>
    </row>
    <row r="9" spans="1:395">
      <c r="A9" s="31" t="s">
        <v>78</v>
      </c>
      <c r="B9" s="18" t="s">
        <v>79</v>
      </c>
      <c r="C9" s="19"/>
      <c r="D9" s="4"/>
      <c r="E9" s="16" t="str">
        <f t="shared" ref="E9:E13" si="13">IF(SUM($G9,$I9,$K9,$M9,$O9,$Q9,$S9,$U9,$W9,$Y9,$AA9,$AC9), SUM($G9,$I9,$K9,$M9,$O9,$Q9,$S9,$U9,$W9,$Y9,$AA9,$AC9), "")</f>
        <v/>
      </c>
      <c r="F9" s="16">
        <f t="shared" ref="F9:F15" si="14">SUM($H9,$J9,$L9,$N9,$P9,$R9,$T9,$V9,$X9,$Z9,$AB9,$AD9)</f>
        <v>0</v>
      </c>
      <c r="G9" s="13"/>
      <c r="H9" s="13" cm="1">
        <f t="array" ref="H9">SUMPRODUCT((TEXT($AE$5:$OE$5, "mmm")=LOWER(G$3))*$AE9:$OE9)</f>
        <v>0</v>
      </c>
      <c r="I9" s="13"/>
      <c r="J9" s="13" cm="1">
        <f t="array" ref="J9">SUMPRODUCT((TEXT($AE$5:$OE$5, "mmm")=LOWER(I$3))*$AE9:$OE9)</f>
        <v>0</v>
      </c>
      <c r="K9" s="13"/>
      <c r="L9" s="13" cm="1">
        <f t="array" ref="L9">SUMPRODUCT((TEXT($AE$5:$OE$5, "mmm")=LOWER(K$3))*$AE9:$OE9)</f>
        <v>0</v>
      </c>
      <c r="M9" s="13"/>
      <c r="N9" s="13" cm="1">
        <f t="array" ref="N9">SUMPRODUCT((TEXT($AE$5:$OE$5, "mmm")=LOWER(M$3))*$AE9:$OE9)</f>
        <v>0</v>
      </c>
      <c r="O9" s="13"/>
      <c r="P9" s="13" cm="1">
        <f t="array" ref="P9">SUMPRODUCT((TEXT($AE$5:$OE$5, "mmm")=LOWER(O$3))*$AE9:$OE9)</f>
        <v>0</v>
      </c>
      <c r="Q9" s="13"/>
      <c r="R9" s="13" cm="1">
        <f t="array" ref="R9">SUMPRODUCT((TEXT($AE$5:$OE$5, "mmm")=LOWER(Q$3))*$AE9:$OE9)</f>
        <v>0</v>
      </c>
      <c r="S9" s="13"/>
      <c r="T9" s="13" cm="1">
        <f t="array" ref="T9">SUMPRODUCT((TEXT($AE$5:$OE$5, "mmm")=LOWER(S$3))*$AE9:$OE9)</f>
        <v>0</v>
      </c>
      <c r="U9" s="13"/>
      <c r="V9" s="13" cm="1">
        <f t="array" ref="V9">SUMPRODUCT((TEXT($AE$5:$OE$5, "mmm")=LOWER(U$3))*$AE9:$OE9)</f>
        <v>0</v>
      </c>
      <c r="W9" s="13"/>
      <c r="X9" s="13" cm="1">
        <f t="array" ref="X9">SUMPRODUCT((TEXT($AE$5:$OE$5, "mmm")=LOWER(W$3))*$AE9:$OE9)</f>
        <v>0</v>
      </c>
      <c r="Y9" s="13"/>
      <c r="Z9" s="13" cm="1">
        <f t="array" ref="Z9">SUMPRODUCT((TEXT($AE$5:$OE$5, "mmm")=LOWER(Y$3))*$AE9:$OE9)</f>
        <v>0</v>
      </c>
      <c r="AA9" s="13"/>
      <c r="AB9" s="13" cm="1">
        <f t="array" ref="AB9">SUMPRODUCT((TEXT($AE$5:$OE$5, "mmm")=LOWER(AA$3))*$AE9:$OE9)</f>
        <v>0</v>
      </c>
      <c r="AC9" s="13"/>
      <c r="AD9" s="17" cm="1">
        <f t="array" ref="AD9">SUMPRODUCT((TEXT($AE$5:$OE$5, "mmm")=LOWER(AC$3))*$AE9:$OE9)</f>
        <v>0</v>
      </c>
      <c r="AE9" s="25"/>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c r="CA9" s="24"/>
      <c r="CB9" s="24"/>
      <c r="CC9" s="24"/>
      <c r="CD9" s="24"/>
      <c r="CE9" s="24"/>
      <c r="CF9" s="24"/>
      <c r="CG9" s="24"/>
      <c r="CH9" s="24"/>
      <c r="CI9" s="24"/>
      <c r="CJ9" s="24"/>
      <c r="CK9" s="24"/>
      <c r="CL9" s="24"/>
      <c r="CM9" s="24"/>
      <c r="CN9" s="24"/>
      <c r="CO9" s="24"/>
      <c r="CP9" s="24"/>
      <c r="CQ9" s="24"/>
      <c r="CR9" s="24"/>
      <c r="CS9" s="24"/>
      <c r="CT9" s="24"/>
      <c r="CU9" s="24"/>
      <c r="CV9" s="24"/>
      <c r="CW9" s="24"/>
      <c r="CX9" s="24"/>
      <c r="CY9" s="24"/>
      <c r="CZ9" s="24"/>
      <c r="DA9" s="24"/>
      <c r="DB9" s="24"/>
      <c r="DC9" s="24"/>
      <c r="DD9" s="24"/>
      <c r="DE9" s="24"/>
      <c r="DF9" s="24"/>
      <c r="DG9" s="24"/>
      <c r="DH9" s="24"/>
      <c r="DI9" s="24"/>
      <c r="DJ9" s="24"/>
      <c r="DK9" s="24"/>
      <c r="DL9" s="24"/>
      <c r="DM9" s="24"/>
      <c r="DN9" s="24"/>
      <c r="DO9" s="24"/>
      <c r="DP9" s="24"/>
      <c r="DQ9" s="24"/>
      <c r="DR9" s="24"/>
      <c r="DS9" s="24"/>
      <c r="DT9" s="24"/>
      <c r="DU9" s="24"/>
      <c r="DV9" s="24"/>
      <c r="DW9" s="24"/>
      <c r="DX9" s="24"/>
      <c r="DY9" s="24"/>
      <c r="DZ9" s="24"/>
      <c r="EA9" s="24"/>
      <c r="EB9" s="24"/>
      <c r="EC9" s="24"/>
      <c r="ED9" s="24"/>
      <c r="EE9" s="24"/>
      <c r="EF9" s="24"/>
      <c r="EG9" s="24"/>
      <c r="EH9" s="24"/>
      <c r="EI9" s="24"/>
      <c r="EJ9" s="24"/>
      <c r="EK9" s="24"/>
      <c r="EL9" s="24"/>
      <c r="EM9" s="24"/>
      <c r="EN9" s="24"/>
      <c r="EO9" s="24"/>
      <c r="EP9" s="24"/>
      <c r="EQ9" s="24"/>
      <c r="ER9" s="24"/>
      <c r="ES9" s="24"/>
      <c r="ET9" s="24"/>
      <c r="EU9" s="24"/>
      <c r="EV9" s="24"/>
      <c r="EW9" s="24"/>
      <c r="EX9" s="24"/>
      <c r="EY9" s="24"/>
      <c r="EZ9" s="24"/>
      <c r="FA9" s="24"/>
      <c r="FB9" s="24"/>
      <c r="FC9" s="24"/>
      <c r="FD9" s="24"/>
      <c r="FE9" s="24"/>
      <c r="FF9" s="24"/>
      <c r="FG9" s="24"/>
      <c r="FH9" s="24"/>
      <c r="FI9" s="24"/>
      <c r="FJ9" s="24"/>
      <c r="FK9" s="24"/>
      <c r="FL9" s="24"/>
      <c r="FM9" s="24"/>
      <c r="FN9" s="24"/>
      <c r="FO9" s="24"/>
      <c r="FP9" s="24"/>
      <c r="FQ9" s="24"/>
      <c r="FR9" s="24"/>
      <c r="FS9" s="24"/>
      <c r="FT9" s="24"/>
      <c r="FU9" s="24"/>
      <c r="FV9" s="24"/>
      <c r="FW9" s="24"/>
      <c r="FX9" s="24"/>
      <c r="FY9" s="24"/>
      <c r="FZ9" s="24"/>
      <c r="GA9" s="24"/>
      <c r="GB9" s="24"/>
      <c r="GC9" s="24"/>
      <c r="GD9" s="24"/>
      <c r="GE9" s="24"/>
      <c r="GF9" s="24"/>
      <c r="GG9" s="24"/>
      <c r="GH9" s="24"/>
      <c r="GI9" s="24"/>
      <c r="GJ9" s="24"/>
      <c r="GK9" s="24"/>
      <c r="GL9" s="24"/>
      <c r="GM9" s="24"/>
      <c r="GN9" s="24"/>
      <c r="GO9" s="24"/>
      <c r="GP9" s="24"/>
      <c r="GQ9" s="24"/>
      <c r="GR9" s="24"/>
      <c r="GS9" s="24"/>
      <c r="GT9" s="24"/>
      <c r="GU9" s="24"/>
      <c r="GV9" s="24"/>
      <c r="GW9" s="24"/>
      <c r="GX9" s="24"/>
      <c r="GY9" s="24"/>
      <c r="GZ9" s="24"/>
      <c r="HA9" s="24"/>
      <c r="HB9" s="24"/>
      <c r="HC9" s="24"/>
      <c r="HD9" s="24"/>
      <c r="HE9" s="24"/>
      <c r="HF9" s="24"/>
      <c r="HG9" s="24"/>
      <c r="HH9" s="24"/>
      <c r="HI9" s="24"/>
      <c r="HJ9" s="24"/>
      <c r="HK9" s="24"/>
      <c r="HL9" s="24"/>
      <c r="HM9" s="24"/>
      <c r="HN9" s="24"/>
      <c r="HO9" s="24"/>
      <c r="HP9" s="24"/>
      <c r="HQ9" s="24"/>
      <c r="HR9" s="24"/>
      <c r="HS9" s="24"/>
      <c r="HT9" s="24"/>
      <c r="HU9" s="24"/>
      <c r="HV9" s="24"/>
      <c r="HW9" s="24"/>
      <c r="HX9" s="24"/>
      <c r="HY9" s="24"/>
      <c r="HZ9" s="24"/>
      <c r="IA9" s="24"/>
      <c r="IB9" s="24"/>
      <c r="IC9" s="24"/>
      <c r="ID9" s="24"/>
      <c r="IE9" s="24"/>
      <c r="IF9" s="24"/>
      <c r="IG9" s="24"/>
      <c r="IH9" s="24"/>
      <c r="II9" s="24"/>
      <c r="IJ9" s="24"/>
      <c r="IK9" s="24"/>
      <c r="IL9" s="24"/>
      <c r="IM9" s="24"/>
      <c r="IN9" s="24"/>
      <c r="IO9" s="24"/>
      <c r="IP9" s="24"/>
      <c r="IQ9" s="24"/>
      <c r="IR9" s="24"/>
      <c r="IS9" s="24"/>
      <c r="IT9" s="24"/>
      <c r="IU9" s="24"/>
      <c r="IV9" s="24"/>
      <c r="IW9" s="24"/>
      <c r="IX9" s="24"/>
      <c r="IY9" s="24"/>
      <c r="IZ9" s="24"/>
      <c r="JA9" s="24"/>
      <c r="JB9" s="24"/>
      <c r="JC9" s="24"/>
      <c r="JD9" s="24"/>
      <c r="JE9" s="24"/>
      <c r="JF9" s="24"/>
      <c r="JG9" s="24"/>
      <c r="JH9" s="24"/>
      <c r="JI9" s="24"/>
      <c r="JJ9" s="24"/>
      <c r="JK9" s="24"/>
      <c r="JL9" s="24"/>
      <c r="JM9" s="24"/>
      <c r="JN9" s="24"/>
      <c r="JO9" s="24"/>
      <c r="JP9" s="24"/>
      <c r="JQ9" s="24"/>
      <c r="JR9" s="24"/>
      <c r="JS9" s="24"/>
      <c r="JT9" s="24"/>
      <c r="JU9" s="24"/>
      <c r="JV9" s="24"/>
      <c r="JW9" s="24"/>
      <c r="JX9" s="24"/>
      <c r="JY9" s="24"/>
      <c r="JZ9" s="24"/>
      <c r="KA9" s="24"/>
      <c r="KB9" s="24"/>
      <c r="KC9" s="24"/>
      <c r="KD9" s="24"/>
      <c r="KE9" s="24"/>
      <c r="KF9" s="24"/>
      <c r="KG9" s="24"/>
      <c r="KH9" s="24"/>
      <c r="KI9" s="24"/>
      <c r="KJ9" s="24"/>
      <c r="KK9" s="24"/>
      <c r="KL9" s="24"/>
      <c r="KM9" s="24"/>
      <c r="KN9" s="24"/>
      <c r="KO9" s="24"/>
      <c r="KP9" s="24"/>
      <c r="KQ9" s="24"/>
      <c r="KR9" s="24"/>
      <c r="KS9" s="24"/>
      <c r="KT9" s="24"/>
      <c r="KU9" s="24"/>
      <c r="KV9" s="24"/>
      <c r="KW9" s="24"/>
      <c r="KX9" s="24"/>
      <c r="KY9" s="24"/>
      <c r="KZ9" s="24"/>
      <c r="LA9" s="24"/>
      <c r="LB9" s="24"/>
      <c r="LC9" s="24"/>
      <c r="LD9" s="24"/>
      <c r="LE9" s="24"/>
      <c r="LF9" s="24"/>
      <c r="LG9" s="24"/>
      <c r="LH9" s="24"/>
      <c r="LI9" s="24"/>
      <c r="LJ9" s="24"/>
      <c r="LK9" s="24"/>
      <c r="LL9" s="24"/>
      <c r="LM9" s="24"/>
      <c r="LN9" s="24"/>
      <c r="LO9" s="24"/>
      <c r="LP9" s="24"/>
      <c r="LQ9" s="24"/>
      <c r="LR9" s="24"/>
      <c r="LS9" s="24"/>
      <c r="LT9" s="24"/>
      <c r="LU9" s="24"/>
      <c r="LV9" s="24"/>
      <c r="LW9" s="24"/>
      <c r="LX9" s="24"/>
      <c r="LY9" s="24"/>
      <c r="LZ9" s="24"/>
      <c r="MA9" s="24"/>
      <c r="MB9" s="24"/>
      <c r="MC9" s="24"/>
      <c r="MD9" s="24"/>
      <c r="ME9" s="24"/>
      <c r="MF9" s="24"/>
      <c r="MG9" s="24"/>
      <c r="MH9" s="24"/>
      <c r="MI9" s="24"/>
      <c r="MJ9" s="24"/>
      <c r="MK9" s="24"/>
      <c r="ML9" s="24"/>
      <c r="MM9" s="24"/>
      <c r="MN9" s="24"/>
      <c r="MO9" s="24"/>
      <c r="MP9" s="24"/>
      <c r="MQ9" s="24"/>
      <c r="MR9" s="24"/>
      <c r="MS9" s="24"/>
      <c r="MT9" s="24"/>
      <c r="MU9" s="24"/>
      <c r="MV9" s="24"/>
      <c r="MW9" s="24"/>
      <c r="MX9" s="24"/>
      <c r="MY9" s="24"/>
      <c r="MZ9" s="24"/>
      <c r="NA9" s="24"/>
      <c r="NB9" s="24"/>
      <c r="NC9" s="24"/>
      <c r="ND9" s="24"/>
      <c r="NE9" s="24"/>
      <c r="NF9" s="24"/>
      <c r="NG9" s="24"/>
      <c r="NH9" s="24"/>
      <c r="NI9" s="24"/>
      <c r="NJ9" s="24"/>
      <c r="NK9" s="24"/>
      <c r="NL9" s="24"/>
      <c r="NM9" s="24"/>
      <c r="NN9" s="24"/>
      <c r="NO9" s="24"/>
      <c r="NP9" s="24"/>
      <c r="NQ9" s="24"/>
      <c r="NR9" s="24"/>
      <c r="NS9" s="24"/>
      <c r="NT9" s="24"/>
      <c r="NU9" s="24"/>
      <c r="NV9" s="24"/>
      <c r="NW9" s="24"/>
      <c r="NX9" s="24"/>
      <c r="NY9" s="24"/>
      <c r="NZ9" s="24"/>
      <c r="OA9" s="24"/>
      <c r="OB9" s="24"/>
      <c r="OC9" s="24"/>
      <c r="OD9" s="24"/>
      <c r="OE9" s="46"/>
    </row>
    <row r="10" spans="1:395">
      <c r="A10" s="32" t="s">
        <v>80</v>
      </c>
      <c r="B10" s="18" t="s">
        <v>81</v>
      </c>
      <c r="C10" s="19"/>
      <c r="D10" s="4"/>
      <c r="E10" s="16" t="str">
        <f t="shared" si="13"/>
        <v/>
      </c>
      <c r="F10" s="16">
        <f t="shared" si="14"/>
        <v>0</v>
      </c>
      <c r="G10" s="13"/>
      <c r="H10" s="13" cm="1">
        <f t="array" ref="H10">SUMPRODUCT((TEXT($AE$5:$OE$5, "mmm")=LOWER(G$3))*$AE10:$OE10)</f>
        <v>0</v>
      </c>
      <c r="I10" s="13"/>
      <c r="J10" s="13" cm="1">
        <f t="array" ref="J10">SUMPRODUCT((TEXT($AE$5:$OE$5, "mmm")=LOWER(I$3))*$AE10:$OE10)</f>
        <v>0</v>
      </c>
      <c r="K10" s="13"/>
      <c r="L10" s="13" cm="1">
        <f t="array" ref="L10">SUMPRODUCT((TEXT($AE$5:$OE$5, "mmm")=LOWER(K$3))*$AE10:$OE10)</f>
        <v>0</v>
      </c>
      <c r="M10" s="13"/>
      <c r="N10" s="13" cm="1">
        <f t="array" ref="N10">SUMPRODUCT((TEXT($AE$5:$OE$5, "mmm")=LOWER(M$3))*$AE10:$OE10)</f>
        <v>0</v>
      </c>
      <c r="O10" s="13"/>
      <c r="P10" s="13" cm="1">
        <f t="array" ref="P10">SUMPRODUCT((TEXT($AE$5:$OE$5, "mmm")=LOWER(O$3))*$AE10:$OE10)</f>
        <v>0</v>
      </c>
      <c r="Q10" s="13"/>
      <c r="R10" s="13" cm="1">
        <f t="array" ref="R10">SUMPRODUCT((TEXT($AE$5:$OE$5, "mmm")=LOWER(Q$3))*$AE10:$OE10)</f>
        <v>0</v>
      </c>
      <c r="S10" s="13"/>
      <c r="T10" s="13" cm="1">
        <f t="array" ref="T10">SUMPRODUCT((TEXT($AE$5:$OE$5, "mmm")=LOWER(S$3))*$AE10:$OE10)</f>
        <v>0</v>
      </c>
      <c r="U10" s="13"/>
      <c r="V10" s="13" cm="1">
        <f t="array" ref="V10">SUMPRODUCT((TEXT($AE$5:$OE$5, "mmm")=LOWER(U$3))*$AE10:$OE10)</f>
        <v>0</v>
      </c>
      <c r="W10" s="13"/>
      <c r="X10" s="13" cm="1">
        <f t="array" ref="X10">SUMPRODUCT((TEXT($AE$5:$OE$5, "mmm")=LOWER(W$3))*$AE10:$OE10)</f>
        <v>0</v>
      </c>
      <c r="Y10" s="13"/>
      <c r="Z10" s="13" cm="1">
        <f t="array" ref="Z10">SUMPRODUCT((TEXT($AE$5:$OE$5, "mmm")=LOWER(Y$3))*$AE10:$OE10)</f>
        <v>0</v>
      </c>
      <c r="AA10" s="13"/>
      <c r="AB10" s="13" cm="1">
        <f t="array" ref="AB10">SUMPRODUCT((TEXT($AE$5:$OE$5, "mmm")=LOWER(AA$3))*$AE10:$OE10)</f>
        <v>0</v>
      </c>
      <c r="AC10" s="13"/>
      <c r="AD10" s="17" cm="1">
        <f t="array" ref="AD10">SUMPRODUCT((TEXT($AE$5:$OE$5, "mmm")=LOWER(AC$3))*$AE10:$OE10)</f>
        <v>0</v>
      </c>
      <c r="AE10" s="23"/>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BX10" s="24"/>
      <c r="BY10" s="24"/>
      <c r="BZ10" s="24"/>
      <c r="CA10" s="24"/>
      <c r="CB10" s="24"/>
      <c r="CC10" s="24"/>
      <c r="CD10" s="24"/>
      <c r="CE10" s="24"/>
      <c r="CF10" s="24"/>
      <c r="CG10" s="24"/>
      <c r="CH10" s="24"/>
      <c r="CI10" s="24"/>
      <c r="CJ10" s="24"/>
      <c r="CK10" s="24"/>
      <c r="CL10" s="24"/>
      <c r="CM10" s="24"/>
      <c r="CN10" s="24"/>
      <c r="CO10" s="24"/>
      <c r="CP10" s="24"/>
      <c r="CQ10" s="24"/>
      <c r="CR10" s="24"/>
      <c r="CS10" s="24"/>
      <c r="CT10" s="24"/>
      <c r="CU10" s="24"/>
      <c r="CV10" s="24"/>
      <c r="CW10" s="24"/>
      <c r="CX10" s="24"/>
      <c r="CY10" s="24"/>
      <c r="CZ10" s="24"/>
      <c r="DA10" s="24"/>
      <c r="DB10" s="24"/>
      <c r="DC10" s="24"/>
      <c r="DD10" s="24"/>
      <c r="DE10" s="24"/>
      <c r="DF10" s="24"/>
      <c r="DG10" s="24"/>
      <c r="DH10" s="24"/>
      <c r="DI10" s="24"/>
      <c r="DJ10" s="24"/>
      <c r="DK10" s="24"/>
      <c r="DL10" s="24"/>
      <c r="DM10" s="24"/>
      <c r="DN10" s="24"/>
      <c r="DO10" s="24"/>
      <c r="DP10" s="24"/>
      <c r="DQ10" s="24"/>
      <c r="DR10" s="24"/>
      <c r="DS10" s="24"/>
      <c r="DT10" s="24"/>
      <c r="DU10" s="24"/>
      <c r="DV10" s="24"/>
      <c r="DW10" s="24"/>
      <c r="DX10" s="24"/>
      <c r="DY10" s="24"/>
      <c r="DZ10" s="24"/>
      <c r="EA10" s="24"/>
      <c r="EB10" s="24"/>
      <c r="EC10" s="24"/>
      <c r="ED10" s="24"/>
      <c r="EE10" s="24"/>
      <c r="EF10" s="24"/>
      <c r="EG10" s="24"/>
      <c r="EH10" s="24"/>
      <c r="EI10" s="24"/>
      <c r="EJ10" s="24"/>
      <c r="EK10" s="24"/>
      <c r="EL10" s="24"/>
      <c r="EM10" s="24"/>
      <c r="EN10" s="24"/>
      <c r="EO10" s="24"/>
      <c r="EP10" s="24"/>
      <c r="EQ10" s="24"/>
      <c r="ER10" s="24"/>
      <c r="ES10" s="24"/>
      <c r="ET10" s="24"/>
      <c r="EU10" s="24"/>
      <c r="EV10" s="24"/>
      <c r="EW10" s="24"/>
      <c r="EX10" s="24"/>
      <c r="EY10" s="24"/>
      <c r="EZ10" s="24"/>
      <c r="FA10" s="24"/>
      <c r="FB10" s="24"/>
      <c r="FC10" s="24"/>
      <c r="FD10" s="24"/>
      <c r="FE10" s="24"/>
      <c r="FF10" s="24"/>
      <c r="FG10" s="24"/>
      <c r="FH10" s="24"/>
      <c r="FI10" s="24"/>
      <c r="FJ10" s="24"/>
      <c r="FK10" s="24"/>
      <c r="FL10" s="24"/>
      <c r="FM10" s="24"/>
      <c r="FN10" s="24"/>
      <c r="FO10" s="24"/>
      <c r="FP10" s="24"/>
      <c r="FQ10" s="24"/>
      <c r="FR10" s="24"/>
      <c r="FS10" s="24"/>
      <c r="FT10" s="24"/>
      <c r="FU10" s="24"/>
      <c r="FV10" s="24"/>
      <c r="FW10" s="24"/>
      <c r="FX10" s="24"/>
      <c r="FY10" s="24"/>
      <c r="FZ10" s="24"/>
      <c r="GA10" s="24"/>
      <c r="GB10" s="24"/>
      <c r="GC10" s="24"/>
      <c r="GD10" s="24"/>
      <c r="GE10" s="24"/>
      <c r="GF10" s="24"/>
      <c r="GG10" s="24"/>
      <c r="GH10" s="24"/>
      <c r="GI10" s="24"/>
      <c r="GJ10" s="24"/>
      <c r="GK10" s="24"/>
      <c r="GL10" s="24"/>
      <c r="GM10" s="24"/>
      <c r="GN10" s="24"/>
      <c r="GO10" s="24"/>
      <c r="GP10" s="24"/>
      <c r="GQ10" s="24"/>
      <c r="GR10" s="24"/>
      <c r="GS10" s="24"/>
      <c r="GT10" s="24"/>
      <c r="GU10" s="24"/>
      <c r="GV10" s="24"/>
      <c r="GW10" s="24"/>
      <c r="GX10" s="24"/>
      <c r="GY10" s="24"/>
      <c r="GZ10" s="24"/>
      <c r="HA10" s="24"/>
      <c r="HB10" s="24"/>
      <c r="HC10" s="24"/>
      <c r="HD10" s="24"/>
      <c r="HE10" s="24"/>
      <c r="HF10" s="24"/>
      <c r="HG10" s="24"/>
      <c r="HH10" s="24"/>
      <c r="HI10" s="24"/>
      <c r="HJ10" s="24"/>
      <c r="HK10" s="24"/>
      <c r="HL10" s="24"/>
      <c r="HM10" s="24"/>
      <c r="HN10" s="24"/>
      <c r="HO10" s="24"/>
      <c r="HP10" s="24"/>
      <c r="HQ10" s="24"/>
      <c r="HR10" s="24"/>
      <c r="HS10" s="24"/>
      <c r="HT10" s="24"/>
      <c r="HU10" s="24"/>
      <c r="HV10" s="24"/>
      <c r="HW10" s="24"/>
      <c r="HX10" s="24"/>
      <c r="HY10" s="24"/>
      <c r="HZ10" s="24"/>
      <c r="IA10" s="24"/>
      <c r="IB10" s="24"/>
      <c r="IC10" s="24"/>
      <c r="ID10" s="24"/>
      <c r="IE10" s="24"/>
      <c r="IF10" s="24"/>
      <c r="IG10" s="24"/>
      <c r="IH10" s="24"/>
      <c r="II10" s="24"/>
      <c r="IJ10" s="24"/>
      <c r="IK10" s="24"/>
      <c r="IL10" s="24"/>
      <c r="IM10" s="24"/>
      <c r="IN10" s="24"/>
      <c r="IO10" s="24"/>
      <c r="IP10" s="24"/>
      <c r="IQ10" s="24"/>
      <c r="IR10" s="24"/>
      <c r="IS10" s="24"/>
      <c r="IT10" s="24"/>
      <c r="IU10" s="24"/>
      <c r="IV10" s="24"/>
      <c r="IW10" s="24"/>
      <c r="IX10" s="24"/>
      <c r="IY10" s="24"/>
      <c r="IZ10" s="24"/>
      <c r="JA10" s="24"/>
      <c r="JB10" s="24"/>
      <c r="JC10" s="24"/>
      <c r="JD10" s="24"/>
      <c r="JE10" s="24"/>
      <c r="JF10" s="24"/>
      <c r="JG10" s="24"/>
      <c r="JH10" s="24"/>
      <c r="JI10" s="24"/>
      <c r="JJ10" s="24"/>
      <c r="JK10" s="24"/>
      <c r="JL10" s="24"/>
      <c r="JM10" s="24"/>
      <c r="JN10" s="24"/>
      <c r="JO10" s="24"/>
      <c r="JP10" s="24"/>
      <c r="JQ10" s="24"/>
      <c r="JR10" s="24"/>
      <c r="JS10" s="24"/>
      <c r="JT10" s="24"/>
      <c r="JU10" s="24"/>
      <c r="JV10" s="24"/>
      <c r="JW10" s="24"/>
      <c r="JX10" s="24"/>
      <c r="JY10" s="24"/>
      <c r="JZ10" s="24"/>
      <c r="KA10" s="24"/>
      <c r="KB10" s="24"/>
      <c r="KC10" s="24"/>
      <c r="KD10" s="24"/>
      <c r="KE10" s="24"/>
      <c r="KF10" s="24"/>
      <c r="KG10" s="24"/>
      <c r="KH10" s="24"/>
      <c r="KI10" s="24"/>
      <c r="KJ10" s="24"/>
      <c r="KK10" s="24"/>
      <c r="KL10" s="24"/>
      <c r="KM10" s="24"/>
      <c r="KN10" s="24"/>
      <c r="KO10" s="24"/>
      <c r="KP10" s="24"/>
      <c r="KQ10" s="24"/>
      <c r="KR10" s="24"/>
      <c r="KS10" s="24"/>
      <c r="KT10" s="24"/>
      <c r="KU10" s="24"/>
      <c r="KV10" s="24"/>
      <c r="KW10" s="24"/>
      <c r="KX10" s="24"/>
      <c r="KY10" s="24"/>
      <c r="KZ10" s="24"/>
      <c r="LA10" s="24"/>
      <c r="LB10" s="24"/>
      <c r="LC10" s="24"/>
      <c r="LD10" s="24"/>
      <c r="LE10" s="24"/>
      <c r="LF10" s="24"/>
      <c r="LG10" s="24"/>
      <c r="LH10" s="24"/>
      <c r="LI10" s="24"/>
      <c r="LJ10" s="24"/>
      <c r="LK10" s="24"/>
      <c r="LL10" s="24"/>
      <c r="LM10" s="24"/>
      <c r="LN10" s="24"/>
      <c r="LO10" s="24"/>
      <c r="LP10" s="24"/>
      <c r="LQ10" s="24"/>
      <c r="LR10" s="24"/>
      <c r="LS10" s="24"/>
      <c r="LT10" s="24"/>
      <c r="LU10" s="24"/>
      <c r="LV10" s="24"/>
      <c r="LW10" s="24"/>
      <c r="LX10" s="24"/>
      <c r="LY10" s="24"/>
      <c r="LZ10" s="24"/>
      <c r="MA10" s="24"/>
      <c r="MB10" s="24"/>
      <c r="MC10" s="24"/>
      <c r="MD10" s="24"/>
      <c r="ME10" s="24"/>
      <c r="MF10" s="24"/>
      <c r="MG10" s="24"/>
      <c r="MH10" s="24"/>
      <c r="MI10" s="24"/>
      <c r="MJ10" s="24"/>
      <c r="MK10" s="24"/>
      <c r="ML10" s="24"/>
      <c r="MM10" s="24"/>
      <c r="MN10" s="24"/>
      <c r="MO10" s="24"/>
      <c r="MP10" s="24"/>
      <c r="MQ10" s="24"/>
      <c r="MR10" s="24"/>
      <c r="MS10" s="24"/>
      <c r="MT10" s="24"/>
      <c r="MU10" s="24"/>
      <c r="MV10" s="24"/>
      <c r="MW10" s="24"/>
      <c r="MX10" s="24"/>
      <c r="MY10" s="24"/>
      <c r="MZ10" s="24"/>
      <c r="NA10" s="24"/>
      <c r="NB10" s="24"/>
      <c r="NC10" s="24"/>
      <c r="ND10" s="24"/>
      <c r="NE10" s="24"/>
      <c r="NF10" s="24"/>
      <c r="NG10" s="24"/>
      <c r="NH10" s="24"/>
      <c r="NI10" s="24"/>
      <c r="NJ10" s="24"/>
      <c r="NK10" s="24"/>
      <c r="NL10" s="24"/>
      <c r="NM10" s="24"/>
      <c r="NN10" s="24"/>
      <c r="NO10" s="24"/>
      <c r="NP10" s="24"/>
      <c r="NQ10" s="24"/>
      <c r="NR10" s="24"/>
      <c r="NS10" s="24"/>
      <c r="NT10" s="24"/>
      <c r="NU10" s="24"/>
      <c r="NV10" s="24"/>
      <c r="NW10" s="24"/>
      <c r="NX10" s="24"/>
      <c r="NY10" s="24"/>
      <c r="NZ10" s="24"/>
      <c r="OA10" s="24"/>
      <c r="OB10" s="24"/>
      <c r="OC10" s="24"/>
      <c r="OD10" s="24"/>
      <c r="OE10" s="46"/>
    </row>
    <row r="11" spans="1:395">
      <c r="A11" s="32" t="s">
        <v>82</v>
      </c>
      <c r="B11" s="18" t="s">
        <v>83</v>
      </c>
      <c r="C11" s="19"/>
      <c r="D11" s="4"/>
      <c r="E11" s="16" t="str">
        <f t="shared" si="13"/>
        <v/>
      </c>
      <c r="F11" s="16">
        <f t="shared" si="14"/>
        <v>0</v>
      </c>
      <c r="G11" s="13"/>
      <c r="H11" s="13" cm="1">
        <f t="array" ref="H11">SUMPRODUCT((TEXT($AE$5:$OE$5, "mmm")=LOWER(G$3))*$AE11:$OE11)</f>
        <v>0</v>
      </c>
      <c r="I11" s="13"/>
      <c r="J11" s="13" cm="1">
        <f t="array" ref="J11">SUMPRODUCT((TEXT($AE$5:$OE$5, "mmm")=LOWER(I$3))*$AE11:$OE11)</f>
        <v>0</v>
      </c>
      <c r="K11" s="13"/>
      <c r="L11" s="13" cm="1">
        <f t="array" ref="L11">SUMPRODUCT((TEXT($AE$5:$OE$5, "mmm")=LOWER(K$3))*$AE11:$OE11)</f>
        <v>0</v>
      </c>
      <c r="M11" s="13"/>
      <c r="N11" s="13" cm="1">
        <f t="array" ref="N11">SUMPRODUCT((TEXT($AE$5:$OE$5, "mmm")=LOWER(M$3))*$AE11:$OE11)</f>
        <v>0</v>
      </c>
      <c r="O11" s="13"/>
      <c r="P11" s="13" cm="1">
        <f t="array" ref="P11">SUMPRODUCT((TEXT($AE$5:$OE$5, "mmm")=LOWER(O$3))*$AE11:$OE11)</f>
        <v>0</v>
      </c>
      <c r="Q11" s="13"/>
      <c r="R11" s="13" cm="1">
        <f t="array" ref="R11">SUMPRODUCT((TEXT($AE$5:$OE$5, "mmm")=LOWER(Q$3))*$AE11:$OE11)</f>
        <v>0</v>
      </c>
      <c r="S11" s="13"/>
      <c r="T11" s="13" cm="1">
        <f t="array" ref="T11">SUMPRODUCT((TEXT($AE$5:$OE$5, "mmm")=LOWER(S$3))*$AE11:$OE11)</f>
        <v>0</v>
      </c>
      <c r="U11" s="13"/>
      <c r="V11" s="13" cm="1">
        <f t="array" ref="V11">SUMPRODUCT((TEXT($AE$5:$OE$5, "mmm")=LOWER(U$3))*$AE11:$OE11)</f>
        <v>0</v>
      </c>
      <c r="W11" s="13"/>
      <c r="X11" s="13" cm="1">
        <f t="array" ref="X11">SUMPRODUCT((TEXT($AE$5:$OE$5, "mmm")=LOWER(W$3))*$AE11:$OE11)</f>
        <v>0</v>
      </c>
      <c r="Y11" s="13"/>
      <c r="Z11" s="13" cm="1">
        <f t="array" ref="Z11">SUMPRODUCT((TEXT($AE$5:$OE$5, "mmm")=LOWER(Y$3))*$AE11:$OE11)</f>
        <v>0</v>
      </c>
      <c r="AA11" s="13"/>
      <c r="AB11" s="13" cm="1">
        <f t="array" ref="AB11">SUMPRODUCT((TEXT($AE$5:$OE$5, "mmm")=LOWER(AA$3))*$AE11:$OE11)</f>
        <v>0</v>
      </c>
      <c r="AC11" s="13"/>
      <c r="AD11" s="17" cm="1">
        <f t="array" ref="AD11">SUMPRODUCT((TEXT($AE$5:$OE$5, "mmm")=LOWER(AC$3))*$AE11:$OE11)</f>
        <v>0</v>
      </c>
      <c r="AE11" s="23"/>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46"/>
    </row>
    <row r="12" spans="1:395">
      <c r="A12" s="32" t="s">
        <v>84</v>
      </c>
      <c r="B12" s="18" t="s">
        <v>85</v>
      </c>
      <c r="C12" s="19"/>
      <c r="D12" s="4"/>
      <c r="E12" s="16">
        <v>19</v>
      </c>
      <c r="F12" s="16">
        <f t="shared" si="14"/>
        <v>19</v>
      </c>
      <c r="G12" s="13"/>
      <c r="H12" s="13" cm="1">
        <f t="array" ref="H12">SUMPRODUCT((TEXT($AE$5:$OE$5, "mmm")=LOWER(G$3))*$AE12:$OE12)</f>
        <v>0</v>
      </c>
      <c r="I12" s="13"/>
      <c r="J12" s="13" cm="1">
        <f t="array" ref="J12">SUMPRODUCT((TEXT($AE$5:$OE$5, "mmm")=LOWER(I$3))*$AE12:$OE12)</f>
        <v>0</v>
      </c>
      <c r="K12" s="13"/>
      <c r="L12" s="13" cm="1">
        <f t="array" ref="L12">SUMPRODUCT((TEXT($AE$5:$OE$5, "mmm")=LOWER(K$3))*$AE12:$OE12)</f>
        <v>19</v>
      </c>
      <c r="M12" s="13"/>
      <c r="N12" s="13" cm="1">
        <f t="array" ref="N12">SUMPRODUCT((TEXT($AE$5:$OE$5, "mmm")=LOWER(M$3))*$AE12:$OE12)</f>
        <v>0</v>
      </c>
      <c r="O12" s="13"/>
      <c r="P12" s="13" cm="1">
        <f t="array" ref="P12">SUMPRODUCT((TEXT($AE$5:$OE$5, "mmm")=LOWER(O$3))*$AE12:$OE12)</f>
        <v>0</v>
      </c>
      <c r="Q12" s="13"/>
      <c r="R12" s="13" cm="1">
        <f t="array" ref="R12">SUMPRODUCT((TEXT($AE$5:$OE$5, "mmm")=LOWER(Q$3))*$AE12:$OE12)</f>
        <v>0</v>
      </c>
      <c r="S12" s="13"/>
      <c r="T12" s="13" cm="1">
        <f t="array" ref="T12">SUMPRODUCT((TEXT($AE$5:$OE$5, "mmm")=LOWER(S$3))*$AE12:$OE12)</f>
        <v>0</v>
      </c>
      <c r="U12" s="13"/>
      <c r="V12" s="13" cm="1">
        <f t="array" ref="V12">SUMPRODUCT((TEXT($AE$5:$OE$5, "mmm")=LOWER(U$3))*$AE12:$OE12)</f>
        <v>0</v>
      </c>
      <c r="W12" s="13"/>
      <c r="X12" s="13" cm="1">
        <f t="array" ref="X12">SUMPRODUCT((TEXT($AE$5:$OE$5, "mmm")=LOWER(W$3))*$AE12:$OE12)</f>
        <v>0</v>
      </c>
      <c r="Y12" s="13"/>
      <c r="Z12" s="13" cm="1">
        <f t="array" ref="Z12">SUMPRODUCT((TEXT($AE$5:$OE$5, "mmm")=LOWER(Y$3))*$AE12:$OE12)</f>
        <v>0</v>
      </c>
      <c r="AA12" s="13"/>
      <c r="AB12" s="13" cm="1">
        <f t="array" ref="AB12">SUMPRODUCT((TEXT($AE$5:$OE$5, "mmm")=LOWER(AA$3))*$AE12:$OE12)</f>
        <v>0</v>
      </c>
      <c r="AC12" s="13"/>
      <c r="AD12" s="17" cm="1">
        <f t="array" ref="AD12">SUMPRODUCT((TEXT($AE$5:$OE$5, "mmm")=LOWER(AC$3))*$AE12:$OE12)</f>
        <v>0</v>
      </c>
      <c r="AE12" s="23"/>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c r="CD12" s="24"/>
      <c r="CE12" s="24"/>
      <c r="CF12" s="24"/>
      <c r="CG12" s="24"/>
      <c r="CH12" s="24"/>
      <c r="CI12" s="24"/>
      <c r="CJ12" s="24"/>
      <c r="CK12" s="24"/>
      <c r="CL12" s="24"/>
      <c r="CM12" s="24"/>
      <c r="CN12" s="24"/>
      <c r="CO12" s="24">
        <v>2</v>
      </c>
      <c r="CP12" s="24"/>
      <c r="CQ12" s="24"/>
      <c r="CR12" s="24"/>
      <c r="CS12" s="24"/>
      <c r="CT12" s="24">
        <v>2</v>
      </c>
      <c r="CU12" s="24">
        <v>1</v>
      </c>
      <c r="CV12" s="24">
        <v>3.5</v>
      </c>
      <c r="CW12" s="24">
        <v>3</v>
      </c>
      <c r="CX12" s="24">
        <v>3</v>
      </c>
      <c r="CY12" s="24"/>
      <c r="CZ12" s="24"/>
      <c r="DA12" s="24">
        <v>3</v>
      </c>
      <c r="DB12" s="24"/>
      <c r="DC12" s="24">
        <v>1.5</v>
      </c>
      <c r="DD12" s="24"/>
      <c r="DE12" s="24"/>
      <c r="DF12" s="24"/>
      <c r="DG12" s="24"/>
      <c r="DH12" s="24"/>
      <c r="DI12" s="24"/>
      <c r="DJ12" s="24"/>
      <c r="DK12" s="24"/>
      <c r="DL12" s="24"/>
      <c r="DM12" s="24"/>
      <c r="DN12" s="24"/>
      <c r="DO12" s="24"/>
      <c r="DP12" s="24"/>
      <c r="DQ12" s="24"/>
      <c r="DR12" s="24"/>
      <c r="DS12" s="24"/>
      <c r="DT12" s="24"/>
      <c r="DU12" s="24"/>
      <c r="DV12" s="24"/>
      <c r="DW12" s="24"/>
      <c r="DX12" s="24"/>
      <c r="DY12" s="24"/>
      <c r="DZ12" s="24"/>
      <c r="EA12" s="24"/>
      <c r="EB12" s="24"/>
      <c r="EC12" s="24"/>
      <c r="ED12" s="24"/>
      <c r="EE12" s="24"/>
      <c r="EF12" s="24"/>
      <c r="EG12" s="24"/>
      <c r="EH12" s="24"/>
      <c r="EI12" s="24"/>
      <c r="EJ12" s="24"/>
      <c r="EK12" s="24"/>
      <c r="EL12" s="24"/>
      <c r="EM12" s="24"/>
      <c r="EN12" s="24"/>
      <c r="EO12" s="24"/>
      <c r="EP12" s="24"/>
      <c r="EQ12" s="24"/>
      <c r="ER12" s="24"/>
      <c r="ES12" s="24"/>
      <c r="ET12" s="24"/>
      <c r="EU12" s="24"/>
      <c r="EV12" s="24"/>
      <c r="EW12" s="24"/>
      <c r="EX12" s="24"/>
      <c r="EY12" s="24"/>
      <c r="EZ12" s="24"/>
      <c r="FA12" s="24"/>
      <c r="FB12" s="24"/>
      <c r="FC12" s="24"/>
      <c r="FD12" s="24"/>
      <c r="FE12" s="24"/>
      <c r="FF12" s="24"/>
      <c r="FG12" s="24"/>
      <c r="FH12" s="24"/>
      <c r="FI12" s="24"/>
      <c r="FJ12" s="24"/>
      <c r="FK12" s="24"/>
      <c r="FL12" s="24"/>
      <c r="FM12" s="24"/>
      <c r="FN12" s="24"/>
      <c r="FO12" s="24"/>
      <c r="FP12" s="24"/>
      <c r="FQ12" s="24"/>
      <c r="FR12" s="24"/>
      <c r="FS12" s="24"/>
      <c r="FT12" s="24"/>
      <c r="FU12" s="24"/>
      <c r="FV12" s="24"/>
      <c r="FW12" s="24"/>
      <c r="FX12" s="24"/>
      <c r="FY12" s="24"/>
      <c r="FZ12" s="24"/>
      <c r="GA12" s="24"/>
      <c r="GB12" s="24"/>
      <c r="GC12" s="24"/>
      <c r="GD12" s="24"/>
      <c r="GE12" s="24"/>
      <c r="GF12" s="24"/>
      <c r="GG12" s="24"/>
      <c r="GH12" s="24"/>
      <c r="GI12" s="24"/>
      <c r="GJ12" s="24"/>
      <c r="GK12" s="24"/>
      <c r="GL12" s="24"/>
      <c r="GM12" s="24"/>
      <c r="GN12" s="24"/>
      <c r="GO12" s="24"/>
      <c r="GP12" s="24"/>
      <c r="GQ12" s="24"/>
      <c r="GR12" s="24"/>
      <c r="GS12" s="24"/>
      <c r="GT12" s="24"/>
      <c r="GU12" s="24"/>
      <c r="GV12" s="24"/>
      <c r="GW12" s="24"/>
      <c r="GX12" s="24"/>
      <c r="GY12" s="24"/>
      <c r="GZ12" s="24"/>
      <c r="HA12" s="24"/>
      <c r="HB12" s="24"/>
      <c r="HC12" s="24"/>
      <c r="HD12" s="24"/>
      <c r="HE12" s="24"/>
      <c r="HF12" s="24"/>
      <c r="HG12" s="24"/>
      <c r="HH12" s="24"/>
      <c r="HI12" s="24"/>
      <c r="HJ12" s="24"/>
      <c r="HK12" s="24"/>
      <c r="HL12" s="24"/>
      <c r="HM12" s="24"/>
      <c r="HN12" s="24"/>
      <c r="HO12" s="24"/>
      <c r="HP12" s="24"/>
      <c r="HQ12" s="24"/>
      <c r="HR12" s="24"/>
      <c r="HS12" s="24"/>
      <c r="HT12" s="24"/>
      <c r="HU12" s="24"/>
      <c r="HV12" s="24"/>
      <c r="HW12" s="24"/>
      <c r="HX12" s="24"/>
      <c r="HY12" s="24"/>
      <c r="HZ12" s="24"/>
      <c r="IA12" s="24"/>
      <c r="IB12" s="24"/>
      <c r="IC12" s="24"/>
      <c r="ID12" s="24"/>
      <c r="IE12" s="24"/>
      <c r="IF12" s="24"/>
      <c r="IG12" s="24"/>
      <c r="IH12" s="24"/>
      <c r="II12" s="24"/>
      <c r="IJ12" s="24"/>
      <c r="IK12" s="24"/>
      <c r="IL12" s="24"/>
      <c r="IM12" s="24"/>
      <c r="IN12" s="24"/>
      <c r="IO12" s="24"/>
      <c r="IP12" s="24"/>
      <c r="IQ12" s="24"/>
      <c r="IR12" s="24"/>
      <c r="IS12" s="24"/>
      <c r="IT12" s="24"/>
      <c r="IU12" s="24"/>
      <c r="IV12" s="24"/>
      <c r="IW12" s="24"/>
      <c r="IX12" s="24"/>
      <c r="IY12" s="24"/>
      <c r="IZ12" s="24"/>
      <c r="JA12" s="24"/>
      <c r="JB12" s="24"/>
      <c r="JC12" s="24"/>
      <c r="JD12" s="24"/>
      <c r="JE12" s="24"/>
      <c r="JF12" s="24"/>
      <c r="JG12" s="24"/>
      <c r="JH12" s="24"/>
      <c r="JI12" s="24"/>
      <c r="JJ12" s="24"/>
      <c r="JK12" s="24"/>
      <c r="JL12" s="24"/>
      <c r="JM12" s="24"/>
      <c r="JN12" s="24"/>
      <c r="JO12" s="24"/>
      <c r="JP12" s="24"/>
      <c r="JQ12" s="24"/>
      <c r="JR12" s="24"/>
      <c r="JS12" s="24"/>
      <c r="JT12" s="24"/>
      <c r="JU12" s="24"/>
      <c r="JV12" s="24"/>
      <c r="JW12" s="24"/>
      <c r="JX12" s="24"/>
      <c r="JY12" s="24"/>
      <c r="JZ12" s="24"/>
      <c r="KA12" s="24"/>
      <c r="KB12" s="24"/>
      <c r="KC12" s="24"/>
      <c r="KD12" s="24"/>
      <c r="KE12" s="24"/>
      <c r="KF12" s="24"/>
      <c r="KG12" s="24"/>
      <c r="KH12" s="24"/>
      <c r="KI12" s="24"/>
      <c r="KJ12" s="24"/>
      <c r="KK12" s="24"/>
      <c r="KL12" s="24"/>
      <c r="KM12" s="24"/>
      <c r="KN12" s="24"/>
      <c r="KO12" s="24"/>
      <c r="KP12" s="24"/>
      <c r="KQ12" s="24"/>
      <c r="KR12" s="24"/>
      <c r="KS12" s="24"/>
      <c r="KT12" s="24"/>
      <c r="KU12" s="24"/>
      <c r="KV12" s="24"/>
      <c r="KW12" s="24"/>
      <c r="KX12" s="24"/>
      <c r="KY12" s="24"/>
      <c r="KZ12" s="24"/>
      <c r="LA12" s="24"/>
      <c r="LB12" s="24"/>
      <c r="LC12" s="24"/>
      <c r="LD12" s="24"/>
      <c r="LE12" s="24"/>
      <c r="LF12" s="24"/>
      <c r="LG12" s="24"/>
      <c r="LH12" s="24"/>
      <c r="LI12" s="24"/>
      <c r="LJ12" s="24"/>
      <c r="LK12" s="24"/>
      <c r="LL12" s="24"/>
      <c r="LM12" s="24"/>
      <c r="LN12" s="24"/>
      <c r="LO12" s="24"/>
      <c r="LP12" s="24"/>
      <c r="LQ12" s="24"/>
      <c r="LR12" s="24"/>
      <c r="LS12" s="24"/>
      <c r="LT12" s="24"/>
      <c r="LU12" s="24"/>
      <c r="LV12" s="24"/>
      <c r="LW12" s="24"/>
      <c r="LX12" s="24"/>
      <c r="LY12" s="24"/>
      <c r="LZ12" s="24"/>
      <c r="MA12" s="24"/>
      <c r="MB12" s="24"/>
      <c r="MC12" s="24"/>
      <c r="MD12" s="24"/>
      <c r="ME12" s="24"/>
      <c r="MF12" s="24"/>
      <c r="MG12" s="24"/>
      <c r="MH12" s="24"/>
      <c r="MI12" s="24"/>
      <c r="MJ12" s="24"/>
      <c r="MK12" s="24"/>
      <c r="ML12" s="24"/>
      <c r="MM12" s="24"/>
      <c r="MN12" s="24"/>
      <c r="MO12" s="24"/>
      <c r="MP12" s="24"/>
      <c r="MQ12" s="24"/>
      <c r="MR12" s="24"/>
      <c r="MS12" s="24"/>
      <c r="MT12" s="24"/>
      <c r="MU12" s="24"/>
      <c r="MV12" s="24"/>
      <c r="MW12" s="24"/>
      <c r="MX12" s="24"/>
      <c r="MY12" s="24"/>
      <c r="MZ12" s="24"/>
      <c r="NA12" s="24"/>
      <c r="NB12" s="24"/>
      <c r="NC12" s="24"/>
      <c r="ND12" s="24"/>
      <c r="NE12" s="24"/>
      <c r="NF12" s="24"/>
      <c r="NG12" s="24"/>
      <c r="NH12" s="24"/>
      <c r="NI12" s="24"/>
      <c r="NJ12" s="24"/>
      <c r="NK12" s="24"/>
      <c r="NL12" s="24"/>
      <c r="NM12" s="24"/>
      <c r="NN12" s="24"/>
      <c r="NO12" s="24"/>
      <c r="NP12" s="24"/>
      <c r="NQ12" s="24"/>
      <c r="NR12" s="24"/>
      <c r="NS12" s="24"/>
      <c r="NT12" s="24"/>
      <c r="NU12" s="24"/>
      <c r="NV12" s="24"/>
      <c r="NW12" s="24"/>
      <c r="NX12" s="24"/>
      <c r="NY12" s="24"/>
      <c r="NZ12" s="24"/>
      <c r="OA12" s="24"/>
      <c r="OB12" s="24"/>
      <c r="OC12" s="24"/>
      <c r="OD12" s="24"/>
      <c r="OE12" s="46"/>
    </row>
    <row r="13" spans="1:395">
      <c r="A13" s="32" t="s">
        <v>80</v>
      </c>
      <c r="B13" s="18" t="s">
        <v>86</v>
      </c>
      <c r="C13" s="19"/>
      <c r="D13" s="4"/>
      <c r="E13" s="16" t="str">
        <f t="shared" si="13"/>
        <v/>
      </c>
      <c r="F13" s="16">
        <f t="shared" si="14"/>
        <v>2.5</v>
      </c>
      <c r="G13" s="13"/>
      <c r="H13" s="13" cm="1">
        <f t="array" ref="H13">SUMPRODUCT((TEXT($AE$5:$OE$5, "mmm")=LOWER(G$3))*$AE13:$OE13)</f>
        <v>0</v>
      </c>
      <c r="I13" s="13"/>
      <c r="J13" s="13" cm="1">
        <f t="array" ref="J13">SUMPRODUCT((TEXT($AE$5:$OE$5, "mmm")=LOWER(I$3))*$AE13:$OE13)</f>
        <v>0</v>
      </c>
      <c r="K13" s="13"/>
      <c r="L13" s="13" cm="1">
        <f t="array" ref="L13">SUMPRODUCT((TEXT($AE$5:$OE$5, "mmm")=LOWER(K$3))*$AE13:$OE13)</f>
        <v>2.5</v>
      </c>
      <c r="M13" s="13"/>
      <c r="N13" s="13" cm="1">
        <f t="array" ref="N13">SUMPRODUCT((TEXT($AE$5:$OE$5, "mmm")=LOWER(M$3))*$AE13:$OE13)</f>
        <v>0</v>
      </c>
      <c r="O13" s="13"/>
      <c r="P13" s="13" cm="1">
        <f t="array" ref="P13">SUMPRODUCT((TEXT($AE$5:$OE$5, "mmm")=LOWER(O$3))*$AE13:$OE13)</f>
        <v>0</v>
      </c>
      <c r="Q13" s="13"/>
      <c r="R13" s="13" cm="1">
        <f t="array" ref="R13">SUMPRODUCT((TEXT($AE$5:$OE$5, "mmm")=LOWER(Q$3))*$AE13:$OE13)</f>
        <v>0</v>
      </c>
      <c r="S13" s="13"/>
      <c r="T13" s="13" cm="1">
        <f t="array" ref="T13">SUMPRODUCT((TEXT($AE$5:$OE$5, "mmm")=LOWER(S$3))*$AE13:$OE13)</f>
        <v>0</v>
      </c>
      <c r="U13" s="13"/>
      <c r="V13" s="13" cm="1">
        <f t="array" ref="V13">SUMPRODUCT((TEXT($AE$5:$OE$5, "mmm")=LOWER(U$3))*$AE13:$OE13)</f>
        <v>0</v>
      </c>
      <c r="W13" s="13"/>
      <c r="X13" s="13" cm="1">
        <f t="array" ref="X13">SUMPRODUCT((TEXT($AE$5:$OE$5, "mmm")=LOWER(W$3))*$AE13:$OE13)</f>
        <v>0</v>
      </c>
      <c r="Y13" s="13"/>
      <c r="Z13" s="13" cm="1">
        <f t="array" ref="Z13">SUMPRODUCT((TEXT($AE$5:$OE$5, "mmm")=LOWER(Y$3))*$AE13:$OE13)</f>
        <v>0</v>
      </c>
      <c r="AA13" s="13"/>
      <c r="AB13" s="13" cm="1">
        <f t="array" ref="AB13">SUMPRODUCT((TEXT($AE$5:$OE$5, "mmm")=LOWER(AA$3))*$AE13:$OE13)</f>
        <v>0</v>
      </c>
      <c r="AC13" s="13"/>
      <c r="AD13" s="17" cm="1">
        <f t="array" ref="AD13">SUMPRODUCT((TEXT($AE$5:$OE$5, "mmm")=LOWER(AC$3))*$AE13:$OE13)</f>
        <v>0</v>
      </c>
      <c r="AE13" s="23"/>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c r="CD13" s="24"/>
      <c r="CE13" s="24"/>
      <c r="CF13" s="24"/>
      <c r="CG13" s="24"/>
      <c r="CH13" s="24"/>
      <c r="CI13" s="24"/>
      <c r="CJ13" s="24"/>
      <c r="CK13" s="24"/>
      <c r="CL13" s="24"/>
      <c r="CM13" s="24"/>
      <c r="CN13" s="24"/>
      <c r="CO13" s="24"/>
      <c r="CP13" s="24"/>
      <c r="CQ13" s="24"/>
      <c r="CR13" s="24"/>
      <c r="CS13" s="24"/>
      <c r="CT13" s="24"/>
      <c r="CU13" s="24"/>
      <c r="CV13" s="24"/>
      <c r="CW13" s="24"/>
      <c r="CX13" s="24"/>
      <c r="CY13" s="24"/>
      <c r="CZ13" s="24"/>
      <c r="DA13" s="24"/>
      <c r="DB13" s="24"/>
      <c r="DC13" s="24"/>
      <c r="DD13" s="24"/>
      <c r="DE13" s="24"/>
      <c r="DF13" s="24"/>
      <c r="DG13" s="24"/>
      <c r="DH13" s="24"/>
      <c r="DI13" s="24"/>
      <c r="DJ13" s="24"/>
      <c r="DK13" s="24"/>
      <c r="DL13" s="24">
        <v>1</v>
      </c>
      <c r="DM13" s="24"/>
      <c r="DN13" s="24"/>
      <c r="DO13" s="24">
        <v>1.5</v>
      </c>
      <c r="DP13" s="24"/>
      <c r="DQ13" s="24"/>
      <c r="DR13" s="24"/>
      <c r="DS13" s="24"/>
      <c r="DT13" s="24"/>
      <c r="DU13" s="24"/>
      <c r="DV13" s="24"/>
      <c r="DW13" s="24"/>
      <c r="DX13" s="24"/>
      <c r="DY13" s="24"/>
      <c r="DZ13" s="24"/>
      <c r="EA13" s="24"/>
      <c r="EB13" s="24"/>
      <c r="EC13" s="24"/>
      <c r="ED13" s="24"/>
      <c r="EE13" s="24"/>
      <c r="EF13" s="24"/>
      <c r="EG13" s="24"/>
      <c r="EH13" s="24"/>
      <c r="EI13" s="24"/>
      <c r="EJ13" s="24"/>
      <c r="EK13" s="24"/>
      <c r="EL13" s="24"/>
      <c r="EM13" s="24"/>
      <c r="EN13" s="24"/>
      <c r="EO13" s="24"/>
      <c r="EP13" s="24"/>
      <c r="EQ13" s="24"/>
      <c r="ER13" s="24"/>
      <c r="ES13" s="24"/>
      <c r="ET13" s="24"/>
      <c r="EU13" s="24"/>
      <c r="EV13" s="24"/>
      <c r="EW13" s="24"/>
      <c r="EX13" s="24"/>
      <c r="EY13" s="24"/>
      <c r="EZ13" s="24"/>
      <c r="FA13" s="24"/>
      <c r="FB13" s="24"/>
      <c r="FC13" s="24"/>
      <c r="FD13" s="24"/>
      <c r="FE13" s="24"/>
      <c r="FF13" s="24"/>
      <c r="FG13" s="24"/>
      <c r="FH13" s="24"/>
      <c r="FI13" s="24"/>
      <c r="FJ13" s="24"/>
      <c r="FK13" s="24"/>
      <c r="FL13" s="24"/>
      <c r="FM13" s="24"/>
      <c r="FN13" s="24"/>
      <c r="FO13" s="24"/>
      <c r="FP13" s="24"/>
      <c r="FQ13" s="24"/>
      <c r="FR13" s="24"/>
      <c r="FS13" s="24"/>
      <c r="FT13" s="24"/>
      <c r="FU13" s="24"/>
      <c r="FV13" s="24"/>
      <c r="FW13" s="24"/>
      <c r="FX13" s="24"/>
      <c r="FY13" s="24"/>
      <c r="FZ13" s="24"/>
      <c r="GA13" s="24"/>
      <c r="GB13" s="24"/>
      <c r="GC13" s="24"/>
      <c r="GD13" s="24"/>
      <c r="GE13" s="24"/>
      <c r="GF13" s="24"/>
      <c r="GG13" s="24"/>
      <c r="GH13" s="24"/>
      <c r="GI13" s="24"/>
      <c r="GJ13" s="24"/>
      <c r="GK13" s="24"/>
      <c r="GL13" s="24"/>
      <c r="GM13" s="24"/>
      <c r="GN13" s="24"/>
      <c r="GO13" s="24"/>
      <c r="GP13" s="24"/>
      <c r="GQ13" s="24"/>
      <c r="GR13" s="24"/>
      <c r="GS13" s="24"/>
      <c r="GT13" s="24"/>
      <c r="GU13" s="24"/>
      <c r="GV13" s="24"/>
      <c r="GW13" s="24"/>
      <c r="GX13" s="24"/>
      <c r="GY13" s="24"/>
      <c r="GZ13" s="24"/>
      <c r="HA13" s="24"/>
      <c r="HB13" s="24"/>
      <c r="HC13" s="24"/>
      <c r="HD13" s="24"/>
      <c r="HE13" s="24"/>
      <c r="HF13" s="24"/>
      <c r="HG13" s="24"/>
      <c r="HH13" s="24"/>
      <c r="HI13" s="24"/>
      <c r="HJ13" s="24"/>
      <c r="HK13" s="24"/>
      <c r="HL13" s="24"/>
      <c r="HM13" s="24"/>
      <c r="HN13" s="24"/>
      <c r="HO13" s="24"/>
      <c r="HP13" s="24"/>
      <c r="HQ13" s="24"/>
      <c r="HR13" s="24"/>
      <c r="HS13" s="24"/>
      <c r="HT13" s="24"/>
      <c r="HU13" s="24"/>
      <c r="HV13" s="24"/>
      <c r="HW13" s="24"/>
      <c r="HX13" s="24"/>
      <c r="HY13" s="24"/>
      <c r="HZ13" s="24"/>
      <c r="IA13" s="24"/>
      <c r="IB13" s="24"/>
      <c r="IC13" s="24"/>
      <c r="ID13" s="24"/>
      <c r="IE13" s="24"/>
      <c r="IF13" s="24"/>
      <c r="IG13" s="24"/>
      <c r="IH13" s="24"/>
      <c r="II13" s="24"/>
      <c r="IJ13" s="24"/>
      <c r="IK13" s="24"/>
      <c r="IL13" s="24"/>
      <c r="IM13" s="24"/>
      <c r="IN13" s="24"/>
      <c r="IO13" s="24"/>
      <c r="IP13" s="24"/>
      <c r="IQ13" s="24"/>
      <c r="IR13" s="24"/>
      <c r="IS13" s="24"/>
      <c r="IT13" s="24"/>
      <c r="IU13" s="24"/>
      <c r="IV13" s="24"/>
      <c r="IW13" s="24"/>
      <c r="IX13" s="24"/>
      <c r="IY13" s="24"/>
      <c r="IZ13" s="24"/>
      <c r="JA13" s="24"/>
      <c r="JB13" s="24"/>
      <c r="JC13" s="24"/>
      <c r="JD13" s="24"/>
      <c r="JE13" s="24"/>
      <c r="JF13" s="24"/>
      <c r="JG13" s="24"/>
      <c r="JH13" s="24"/>
      <c r="JI13" s="24"/>
      <c r="JJ13" s="24"/>
      <c r="JK13" s="24"/>
      <c r="JL13" s="24"/>
      <c r="JM13" s="24"/>
      <c r="JN13" s="24"/>
      <c r="JO13" s="24"/>
      <c r="JP13" s="24"/>
      <c r="JQ13" s="24"/>
      <c r="JR13" s="24"/>
      <c r="JS13" s="24"/>
      <c r="JT13" s="24"/>
      <c r="JU13" s="24"/>
      <c r="JV13" s="24"/>
      <c r="JW13" s="24"/>
      <c r="JX13" s="24"/>
      <c r="JY13" s="24"/>
      <c r="JZ13" s="24"/>
      <c r="KA13" s="24"/>
      <c r="KB13" s="24"/>
      <c r="KC13" s="24"/>
      <c r="KD13" s="24"/>
      <c r="KE13" s="24"/>
      <c r="KF13" s="24"/>
      <c r="KG13" s="24"/>
      <c r="KH13" s="24"/>
      <c r="KI13" s="24"/>
      <c r="KJ13" s="24"/>
      <c r="KK13" s="24"/>
      <c r="KL13" s="24"/>
      <c r="KM13" s="24"/>
      <c r="KN13" s="24"/>
      <c r="KO13" s="24"/>
      <c r="KP13" s="24"/>
      <c r="KQ13" s="24"/>
      <c r="KR13" s="24"/>
      <c r="KS13" s="24"/>
      <c r="KT13" s="24"/>
      <c r="KU13" s="24"/>
      <c r="KV13" s="24"/>
      <c r="KW13" s="24"/>
      <c r="KX13" s="24"/>
      <c r="KY13" s="24"/>
      <c r="KZ13" s="24"/>
      <c r="LA13" s="24"/>
      <c r="LB13" s="24"/>
      <c r="LC13" s="24"/>
      <c r="LD13" s="24"/>
      <c r="LE13" s="24"/>
      <c r="LF13" s="24"/>
      <c r="LG13" s="24"/>
      <c r="LH13" s="24"/>
      <c r="LI13" s="24"/>
      <c r="LJ13" s="24"/>
      <c r="LK13" s="24"/>
      <c r="LL13" s="24"/>
      <c r="LM13" s="24"/>
      <c r="LN13" s="24"/>
      <c r="LO13" s="24"/>
      <c r="LP13" s="24"/>
      <c r="LQ13" s="24"/>
      <c r="LR13" s="24"/>
      <c r="LS13" s="24"/>
      <c r="LT13" s="24"/>
      <c r="LU13" s="24"/>
      <c r="LV13" s="24"/>
      <c r="LW13" s="24"/>
      <c r="LX13" s="24"/>
      <c r="LY13" s="24"/>
      <c r="LZ13" s="24"/>
      <c r="MA13" s="24"/>
      <c r="MB13" s="24"/>
      <c r="MC13" s="24"/>
      <c r="MD13" s="24"/>
      <c r="ME13" s="24"/>
      <c r="MF13" s="24"/>
      <c r="MG13" s="24"/>
      <c r="MH13" s="24"/>
      <c r="MI13" s="24"/>
      <c r="MJ13" s="24"/>
      <c r="MK13" s="24"/>
      <c r="ML13" s="24"/>
      <c r="MM13" s="24"/>
      <c r="MN13" s="24"/>
      <c r="MO13" s="24"/>
      <c r="MP13" s="24"/>
      <c r="MQ13" s="24"/>
      <c r="MR13" s="24"/>
      <c r="MS13" s="24"/>
      <c r="MT13" s="24"/>
      <c r="MU13" s="24"/>
      <c r="MV13" s="24"/>
      <c r="MW13" s="24"/>
      <c r="MX13" s="24"/>
      <c r="MY13" s="24"/>
      <c r="MZ13" s="24"/>
      <c r="NA13" s="24"/>
      <c r="NB13" s="24"/>
      <c r="NC13" s="24"/>
      <c r="ND13" s="24"/>
      <c r="NE13" s="24"/>
      <c r="NF13" s="24"/>
      <c r="NG13" s="24"/>
      <c r="NH13" s="24"/>
      <c r="NI13" s="24"/>
      <c r="NJ13" s="24"/>
      <c r="NK13" s="24"/>
      <c r="NL13" s="24"/>
      <c r="NM13" s="24"/>
      <c r="NN13" s="24"/>
      <c r="NO13" s="24"/>
      <c r="NP13" s="24"/>
      <c r="NQ13" s="24"/>
      <c r="NR13" s="24"/>
      <c r="NS13" s="24"/>
      <c r="NT13" s="24"/>
      <c r="NU13" s="24"/>
      <c r="NV13" s="24"/>
      <c r="NW13" s="24"/>
      <c r="NX13" s="24"/>
      <c r="NY13" s="24"/>
      <c r="NZ13" s="24"/>
      <c r="OA13" s="24"/>
      <c r="OB13" s="24"/>
      <c r="OC13" s="24"/>
      <c r="OD13" s="24"/>
      <c r="OE13" s="46"/>
    </row>
    <row r="14" spans="1:395" s="1" customFormat="1" ht="39" customHeight="1">
      <c r="A14" s="187">
        <v>1</v>
      </c>
      <c r="B14" s="188" t="s">
        <v>24</v>
      </c>
      <c r="C14" s="189" t="str">
        <f>IF(ISBLANK($B14),"",_xlfn.XLOOKUP($B14,Task_No,Project!$C$3:$C$144,"INVALID TASK"))</f>
        <v>Setup FPGA design &amp; development framework</v>
      </c>
      <c r="D14" s="27" t="s">
        <v>88</v>
      </c>
      <c r="E14" s="7">
        <v>28</v>
      </c>
      <c r="F14" s="16">
        <f t="shared" si="14"/>
        <v>29</v>
      </c>
      <c r="G14" s="34"/>
      <c r="H14" s="34" cm="1">
        <f t="array" ref="H14">IF($C14="","",SUMPRODUCT((TEXT($AE$5:$OE$5, "mmm")=LOWER(G$3))*$AE14:$OE14))</f>
        <v>0</v>
      </c>
      <c r="I14" s="34"/>
      <c r="J14" s="34" cm="1">
        <f t="array" ref="J14">IF($C14="","",SUMPRODUCT((TEXT($AE$5:$OE$5, "mmm")=LOWER(I$3))*$AE14:$OE14))</f>
        <v>0</v>
      </c>
      <c r="K14" s="34">
        <v>51</v>
      </c>
      <c r="L14" s="34" cm="1">
        <f t="array" ref="L14">IF($C14="","",SUMPRODUCT((TEXT($AE$5:$OE$5, "mmm")=LOWER(K$3))*$AE14:$OE14))</f>
        <v>25</v>
      </c>
      <c r="M14" s="34"/>
      <c r="N14" s="34" cm="1">
        <f t="array" ref="N14">IF($C14="","",SUMPRODUCT((TEXT($AE$5:$OE$5, "mmm")=LOWER(M$3))*$AE14:$OE14))</f>
        <v>4</v>
      </c>
      <c r="O14" s="34"/>
      <c r="P14" s="34" cm="1">
        <f t="array" ref="P14">IF($C14="","",SUMPRODUCT((TEXT($AE$5:$OE$5, "mmm")=LOWER(O$3))*$AE14:$OE14))</f>
        <v>0</v>
      </c>
      <c r="Q14" s="34"/>
      <c r="R14" s="34" cm="1">
        <f t="array" ref="R14">IF($C14="","",SUMPRODUCT((TEXT($AE$5:$OE$5, "mmm")=LOWER(Q$3))*$AE14:$OE14))</f>
        <v>0</v>
      </c>
      <c r="S14" s="34"/>
      <c r="T14" s="34" cm="1">
        <f t="array" ref="T14">IF($C14="","",SUMPRODUCT((TEXT($AE$5:$OE$5, "mmm")=LOWER(S$3))*$AE14:$OE14))</f>
        <v>0</v>
      </c>
      <c r="U14" s="34"/>
      <c r="V14" s="34" cm="1">
        <f t="array" ref="V14">IF($C14="","",SUMPRODUCT((TEXT($AE$5:$OE$5, "mmm")=LOWER(U$3))*$AE14:$OE14))</f>
        <v>0</v>
      </c>
      <c r="W14" s="34"/>
      <c r="X14" s="34" cm="1">
        <f t="array" ref="X14">IF($C14="","",SUMPRODUCT((TEXT($AE$5:$OE$5, "mmm")=LOWER(W$3))*$AE14:$OE14))</f>
        <v>0</v>
      </c>
      <c r="Y14" s="34"/>
      <c r="Z14" s="34" cm="1">
        <f t="array" ref="Z14">IF($C14="","",SUMPRODUCT((TEXT($AE$5:$OE$5, "mmm")=LOWER(Y$3))*$AE14:$OE14))</f>
        <v>0</v>
      </c>
      <c r="AA14" s="34"/>
      <c r="AB14" s="34" cm="1">
        <f t="array" ref="AB14">IF($C14="","",SUMPRODUCT((TEXT($AE$5:$OE$5, "mmm")=LOWER(AA$3))*$AE14:$OE14))</f>
        <v>0</v>
      </c>
      <c r="AC14" s="34"/>
      <c r="AD14" s="34" cm="1">
        <f t="array" ref="AD14">IF($C14="","",SUMPRODUCT((TEXT($AE$5:$OE$5, "mmm")=LOWER(AC$3))*$AE14:$OE14))</f>
        <v>0</v>
      </c>
      <c r="AE14" s="47"/>
      <c r="AF14" s="47"/>
      <c r="AG14" s="47"/>
      <c r="AH14" s="47"/>
      <c r="AI14" s="47"/>
      <c r="AJ14" s="47"/>
      <c r="AK14" s="47"/>
      <c r="AL14" s="47"/>
      <c r="AM14" s="47"/>
      <c r="AN14" s="47"/>
      <c r="AO14" s="47"/>
      <c r="AP14" s="47"/>
      <c r="AQ14" s="47"/>
      <c r="AR14" s="47"/>
      <c r="AS14" s="47"/>
      <c r="AT14" s="47"/>
      <c r="AU14" s="47"/>
      <c r="AV14" s="47"/>
      <c r="AW14" s="47"/>
      <c r="AX14" s="47"/>
      <c r="AY14" s="47"/>
      <c r="AZ14" s="47"/>
      <c r="BA14" s="47"/>
      <c r="BB14" s="47"/>
      <c r="BC14" s="47"/>
      <c r="BD14" s="47"/>
      <c r="BE14" s="47"/>
      <c r="BF14" s="47"/>
      <c r="BG14" s="47"/>
      <c r="BH14" s="47"/>
      <c r="BI14" s="47"/>
      <c r="BJ14" s="47"/>
      <c r="BK14" s="47"/>
      <c r="BL14" s="47"/>
      <c r="BM14" s="47"/>
      <c r="BN14" s="47"/>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v>7</v>
      </c>
      <c r="CP14" s="47">
        <v>2</v>
      </c>
      <c r="CQ14" s="47">
        <v>3</v>
      </c>
      <c r="CR14" s="47"/>
      <c r="CS14" s="47"/>
      <c r="CT14" s="47">
        <v>2</v>
      </c>
      <c r="CU14" s="47">
        <v>3</v>
      </c>
      <c r="CV14" s="47">
        <v>2</v>
      </c>
      <c r="CW14" s="47"/>
      <c r="CX14" s="47"/>
      <c r="CY14" s="47"/>
      <c r="CZ14" s="47"/>
      <c r="DA14" s="47"/>
      <c r="DB14" s="47"/>
      <c r="DC14" s="47"/>
      <c r="DD14" s="47"/>
      <c r="DE14" s="47"/>
      <c r="DF14" s="47"/>
      <c r="DG14" s="47"/>
      <c r="DH14" s="47"/>
      <c r="DI14" s="47">
        <v>3</v>
      </c>
      <c r="DJ14" s="47">
        <v>1</v>
      </c>
      <c r="DK14" s="47">
        <v>1</v>
      </c>
      <c r="DL14" s="47">
        <v>1</v>
      </c>
      <c r="DM14" s="47"/>
      <c r="DN14" s="47"/>
      <c r="DO14" s="47"/>
      <c r="DP14" s="47"/>
      <c r="DQ14" s="47">
        <v>3</v>
      </c>
      <c r="DR14" s="47">
        <v>1</v>
      </c>
      <c r="DS14" s="47"/>
      <c r="DT14" s="47"/>
      <c r="DU14" s="47"/>
      <c r="DV14" s="47"/>
      <c r="DW14" s="47"/>
      <c r="DX14" s="47"/>
      <c r="DY14" s="47"/>
      <c r="DZ14" s="47"/>
      <c r="EA14" s="47"/>
      <c r="EB14" s="47"/>
      <c r="EC14" s="47"/>
      <c r="ED14" s="47"/>
      <c r="EE14" s="47"/>
      <c r="EF14" s="47"/>
      <c r="EG14" s="47"/>
      <c r="EH14" s="47"/>
      <c r="EI14" s="47"/>
      <c r="EJ14" s="47"/>
      <c r="EK14" s="47"/>
      <c r="EL14" s="47"/>
      <c r="EM14" s="47"/>
      <c r="EN14" s="47"/>
      <c r="EO14" s="47"/>
      <c r="EP14" s="47"/>
      <c r="EQ14" s="47"/>
      <c r="ER14" s="47"/>
      <c r="ES14" s="47"/>
      <c r="ET14" s="47"/>
      <c r="EU14" s="47"/>
      <c r="EV14" s="47"/>
      <c r="EW14" s="47"/>
      <c r="EX14" s="47"/>
      <c r="EY14" s="47"/>
      <c r="EZ14" s="47"/>
      <c r="FA14" s="47"/>
      <c r="FB14" s="47"/>
      <c r="FC14" s="47"/>
      <c r="FD14" s="47"/>
      <c r="FE14" s="47"/>
      <c r="FF14" s="47"/>
      <c r="FG14" s="47"/>
      <c r="FH14" s="47"/>
      <c r="FI14" s="47"/>
      <c r="FJ14" s="47"/>
      <c r="FK14" s="47"/>
      <c r="FL14" s="47"/>
      <c r="FM14" s="47"/>
      <c r="FN14" s="47"/>
      <c r="FO14" s="47"/>
      <c r="FP14" s="47"/>
      <c r="FQ14" s="47"/>
      <c r="FR14" s="47"/>
      <c r="FS14" s="47"/>
      <c r="FT14" s="47"/>
      <c r="FU14" s="47"/>
      <c r="FV14" s="47"/>
      <c r="FW14" s="47"/>
      <c r="FX14" s="47"/>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HZ14" s="47"/>
      <c r="IA14" s="47"/>
      <c r="IB14" s="47"/>
      <c r="IC14" s="47"/>
      <c r="ID14" s="47"/>
      <c r="IE14" s="47"/>
      <c r="IF14" s="47"/>
      <c r="IG14" s="47"/>
      <c r="IH14" s="47"/>
      <c r="II14" s="47"/>
      <c r="IJ14" s="47"/>
      <c r="IK14" s="47"/>
      <c r="IL14" s="47"/>
      <c r="IM14" s="47"/>
      <c r="IN14" s="47"/>
      <c r="IO14" s="47"/>
      <c r="IP14" s="47"/>
      <c r="IQ14" s="47"/>
      <c r="IR14" s="47"/>
      <c r="IS14" s="47"/>
      <c r="IT14" s="47"/>
      <c r="IU14" s="47"/>
      <c r="IV14" s="47"/>
      <c r="IW14" s="47"/>
      <c r="IX14" s="47"/>
      <c r="IY14" s="47"/>
      <c r="IZ14" s="47"/>
      <c r="JA14" s="47"/>
      <c r="JB14" s="47"/>
      <c r="JC14" s="47"/>
      <c r="JD14" s="47"/>
      <c r="JE14" s="47"/>
      <c r="JF14" s="47"/>
      <c r="JG14" s="47"/>
      <c r="JH14" s="47"/>
      <c r="JI14" s="47"/>
      <c r="JJ14" s="47"/>
      <c r="JK14" s="47"/>
      <c r="JL14" s="47"/>
      <c r="JM14" s="47"/>
      <c r="JN14" s="47"/>
      <c r="JO14" s="47"/>
      <c r="JP14" s="47"/>
      <c r="JQ14" s="47"/>
      <c r="JR14" s="47"/>
      <c r="JS14" s="47"/>
      <c r="JT14" s="47"/>
      <c r="JU14" s="47"/>
      <c r="JV14" s="47"/>
      <c r="JW14" s="47"/>
      <c r="JX14" s="47"/>
      <c r="JY14" s="47"/>
      <c r="JZ14" s="47"/>
      <c r="KA14" s="47"/>
      <c r="KB14" s="47"/>
      <c r="KC14" s="47"/>
      <c r="KD14" s="47"/>
      <c r="KE14" s="47"/>
      <c r="KF14" s="47"/>
      <c r="KG14" s="47"/>
      <c r="KH14" s="47"/>
      <c r="KI14" s="47"/>
      <c r="KJ14" s="47"/>
      <c r="KK14" s="47"/>
      <c r="KL14" s="47"/>
      <c r="KM14" s="47"/>
      <c r="KN14" s="47"/>
      <c r="KO14" s="47"/>
      <c r="KP14" s="47"/>
      <c r="KQ14" s="47"/>
      <c r="KR14" s="47"/>
      <c r="KS14" s="47"/>
      <c r="KT14" s="47"/>
      <c r="KU14" s="47"/>
      <c r="KV14" s="47"/>
      <c r="KW14" s="47"/>
      <c r="KX14" s="47"/>
      <c r="KY14" s="47"/>
      <c r="KZ14" s="47"/>
      <c r="LA14" s="47"/>
      <c r="LB14" s="47"/>
      <c r="LC14" s="47"/>
      <c r="LD14" s="47"/>
      <c r="LE14" s="47"/>
      <c r="LF14" s="47"/>
      <c r="LG14" s="47"/>
      <c r="LH14" s="47"/>
      <c r="LI14" s="47"/>
      <c r="LJ14" s="47"/>
      <c r="LK14" s="47"/>
      <c r="LL14" s="47"/>
      <c r="LM14" s="47"/>
      <c r="LN14" s="47"/>
      <c r="LO14" s="47"/>
      <c r="LP14" s="47"/>
      <c r="LQ14" s="47"/>
      <c r="LR14" s="47"/>
      <c r="LS14" s="47"/>
      <c r="LT14" s="47"/>
      <c r="LU14" s="47"/>
      <c r="LV14" s="47"/>
      <c r="LW14" s="47"/>
      <c r="LX14" s="47"/>
      <c r="LY14" s="47"/>
      <c r="LZ14" s="47"/>
      <c r="MA14" s="47"/>
      <c r="MB14" s="47"/>
      <c r="MC14" s="47"/>
      <c r="MD14" s="47"/>
      <c r="ME14" s="47"/>
      <c r="MF14" s="47"/>
      <c r="MG14" s="47"/>
      <c r="MH14" s="47"/>
      <c r="MI14" s="47"/>
      <c r="MJ14" s="47"/>
      <c r="MK14" s="47"/>
      <c r="ML14" s="47"/>
      <c r="MM14" s="47"/>
      <c r="MN14" s="47"/>
      <c r="MO14" s="47"/>
      <c r="MP14" s="47"/>
      <c r="MQ14" s="47"/>
      <c r="MR14" s="47"/>
      <c r="MS14" s="47"/>
      <c r="MT14" s="47"/>
      <c r="MU14" s="47"/>
      <c r="MV14" s="47"/>
      <c r="MW14" s="47"/>
      <c r="MX14" s="47"/>
      <c r="MY14" s="47"/>
      <c r="MZ14" s="47"/>
      <c r="NA14" s="47"/>
      <c r="NB14" s="47"/>
      <c r="NC14" s="47"/>
      <c r="ND14" s="47"/>
      <c r="NE14" s="47"/>
      <c r="NF14" s="47"/>
      <c r="NG14" s="47"/>
      <c r="NH14" s="47"/>
      <c r="NI14" s="47"/>
      <c r="NJ14" s="47"/>
      <c r="NK14" s="47"/>
      <c r="NL14" s="47"/>
      <c r="NM14" s="47"/>
      <c r="NN14" s="47"/>
      <c r="NO14" s="47"/>
      <c r="NP14" s="47"/>
      <c r="NQ14" s="47"/>
      <c r="NR14" s="47"/>
      <c r="NS14" s="47"/>
      <c r="NT14" s="47"/>
      <c r="NU14" s="47"/>
      <c r="NV14" s="47"/>
      <c r="NW14" s="47"/>
      <c r="NX14" s="47"/>
      <c r="NY14" s="47"/>
      <c r="NZ14" s="47"/>
      <c r="OA14" s="47"/>
      <c r="OB14" s="47"/>
      <c r="OC14" s="47"/>
      <c r="OD14" s="47"/>
      <c r="OE14" s="48"/>
    </row>
    <row r="15" spans="1:395">
      <c r="A15" s="187">
        <f t="shared" ref="A15:A47" si="15">IF(NOT(ISBLANK(B15)),A14+1, "")</f>
        <v>2</v>
      </c>
      <c r="B15" s="188" t="s">
        <v>35</v>
      </c>
      <c r="C15" s="189" t="str">
        <f>IF(ISBLANK($B15),"",_xlfn.XLOOKUP($B15,Task_No,Project!$C$3:$C$144,"INVALID TASK"))</f>
        <v>Apollo - Digital printer</v>
      </c>
      <c r="D15" s="27" t="s">
        <v>88</v>
      </c>
      <c r="E15" s="7">
        <v>34</v>
      </c>
      <c r="F15" s="16">
        <f t="shared" si="14"/>
        <v>35.5</v>
      </c>
      <c r="G15" s="34"/>
      <c r="H15" s="34" cm="1">
        <f t="array" ref="H15">IF($C15="","",SUMPRODUCT((TEXT($AE$5:$OE$5, "mmm")=LOWER(G$3))*$AE15:$OE15))</f>
        <v>0</v>
      </c>
      <c r="I15" s="34"/>
      <c r="J15" s="34" cm="1">
        <f t="array" ref="J15">IF($C15="","",SUMPRODUCT((TEXT($AE$5:$OE$5, "mmm")=LOWER(I$3))*$AE15:$OE15))</f>
        <v>0</v>
      </c>
      <c r="K15" s="34">
        <v>34</v>
      </c>
      <c r="L15" s="34" cm="1">
        <f t="array" ref="L15">IF($C15="","",SUMPRODUCT((TEXT($AE$5:$OE$5, "mmm")=LOWER(K$3))*$AE15:$OE15))</f>
        <v>35.5</v>
      </c>
      <c r="M15" s="34"/>
      <c r="N15" s="34" cm="1">
        <f t="array" ref="N15">IF($C15="","",SUMPRODUCT((TEXT($AE$5:$OE$5, "mmm")=LOWER(M$3))*$AE15:$OE15))</f>
        <v>0</v>
      </c>
      <c r="O15" s="34"/>
      <c r="P15" s="34" cm="1">
        <f t="array" ref="P15">IF($C15="","",SUMPRODUCT((TEXT($AE$5:$OE$5, "mmm")=LOWER(O$3))*$AE15:$OE15))</f>
        <v>0</v>
      </c>
      <c r="Q15" s="34"/>
      <c r="R15" s="34" cm="1">
        <f t="array" ref="R15">IF($C15="","",SUMPRODUCT((TEXT($AE$5:$OE$5, "mmm")=LOWER(Q$3))*$AE15:$OE15))</f>
        <v>0</v>
      </c>
      <c r="S15" s="34"/>
      <c r="T15" s="34" cm="1">
        <f t="array" ref="T15">IF($C15="","",SUMPRODUCT((TEXT($AE$5:$OE$5, "mmm")=LOWER(S$3))*$AE15:$OE15))</f>
        <v>0</v>
      </c>
      <c r="U15" s="34"/>
      <c r="V15" s="34" cm="1">
        <f t="array" ref="V15">IF($C15="","",SUMPRODUCT((TEXT($AE$5:$OE$5, "mmm")=LOWER(U$3))*$AE15:$OE15))</f>
        <v>0</v>
      </c>
      <c r="W15" s="34"/>
      <c r="X15" s="34" cm="1">
        <f t="array" ref="X15">IF($C15="","",SUMPRODUCT((TEXT($AE$5:$OE$5, "mmm")=LOWER(W$3))*$AE15:$OE15))</f>
        <v>0</v>
      </c>
      <c r="Y15" s="34"/>
      <c r="Z15" s="34" cm="1">
        <f t="array" ref="Z15">IF($C15="","",SUMPRODUCT((TEXT($AE$5:$OE$5, "mmm")=LOWER(Y$3))*$AE15:$OE15))</f>
        <v>0</v>
      </c>
      <c r="AA15" s="34"/>
      <c r="AB15" s="34" cm="1">
        <f t="array" ref="AB15">IF($C15="","",SUMPRODUCT((TEXT($AE$5:$OE$5, "mmm")=LOWER(AA$3))*$AE15:$OE15))</f>
        <v>0</v>
      </c>
      <c r="AC15" s="34"/>
      <c r="AD15" s="34" cm="1">
        <f t="array" ref="AD15">IF($C15="","",SUMPRODUCT((TEXT($AE$5:$OE$5, "mmm")=LOWER(AC$3))*$AE15:$OE15))</f>
        <v>0</v>
      </c>
      <c r="AE15" s="47"/>
      <c r="AF15" s="47"/>
      <c r="AG15" s="47"/>
      <c r="AH15" s="47"/>
      <c r="AI15" s="47"/>
      <c r="AJ15" s="47"/>
      <c r="AK15" s="47"/>
      <c r="AL15" s="47"/>
      <c r="AM15" s="47"/>
      <c r="AN15" s="47"/>
      <c r="AO15" s="47"/>
      <c r="AP15" s="47"/>
      <c r="AQ15" s="47"/>
      <c r="AR15" s="47"/>
      <c r="AS15" s="47"/>
      <c r="AT15" s="47"/>
      <c r="AU15" s="47"/>
      <c r="AV15" s="47"/>
      <c r="AW15" s="47"/>
      <c r="AX15" s="47"/>
      <c r="AY15" s="47"/>
      <c r="AZ15" s="47"/>
      <c r="BA15" s="47"/>
      <c r="BB15" s="47"/>
      <c r="BC15" s="47"/>
      <c r="BD15" s="47"/>
      <c r="BE15" s="47"/>
      <c r="BF15" s="47"/>
      <c r="BG15" s="47"/>
      <c r="BH15" s="47"/>
      <c r="BI15" s="47"/>
      <c r="BJ15" s="47"/>
      <c r="BK15" s="47"/>
      <c r="BL15" s="47"/>
      <c r="BM15" s="47"/>
      <c r="BN15" s="47"/>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v>7</v>
      </c>
      <c r="CQ15" s="47">
        <v>6</v>
      </c>
      <c r="CR15" s="47"/>
      <c r="CS15" s="47"/>
      <c r="CT15" s="47">
        <v>5</v>
      </c>
      <c r="CU15" s="47">
        <v>5</v>
      </c>
      <c r="CV15" s="47">
        <v>4.5</v>
      </c>
      <c r="CW15" s="47">
        <v>2</v>
      </c>
      <c r="CX15" s="47">
        <v>1</v>
      </c>
      <c r="CY15" s="47"/>
      <c r="CZ15" s="47"/>
      <c r="DA15" s="47">
        <v>1</v>
      </c>
      <c r="DB15" s="47">
        <v>1</v>
      </c>
      <c r="DC15" s="47">
        <v>1</v>
      </c>
      <c r="DD15" s="47"/>
      <c r="DE15" s="47"/>
      <c r="DF15" s="47"/>
      <c r="DG15" s="47"/>
      <c r="DH15" s="47"/>
      <c r="DI15" s="47"/>
      <c r="DJ15" s="47">
        <v>2</v>
      </c>
      <c r="DK15" s="47"/>
      <c r="DL15" s="47"/>
      <c r="DM15" s="47"/>
      <c r="DN15" s="47"/>
      <c r="DO15" s="47"/>
      <c r="DP15" s="47"/>
      <c r="DQ15" s="47"/>
      <c r="DR15" s="47"/>
      <c r="DS15" s="47"/>
      <c r="DT15" s="47"/>
      <c r="DU15" s="47"/>
      <c r="DV15" s="47"/>
      <c r="DW15" s="47"/>
      <c r="DX15" s="47"/>
      <c r="DY15" s="47"/>
      <c r="DZ15" s="47"/>
      <c r="EA15" s="47"/>
      <c r="EB15" s="47"/>
      <c r="EC15" s="47"/>
      <c r="ED15" s="47"/>
      <c r="EE15" s="47"/>
      <c r="EF15" s="47"/>
      <c r="EG15" s="47"/>
      <c r="EH15" s="47"/>
      <c r="EI15" s="47"/>
      <c r="EJ15" s="47"/>
      <c r="EK15" s="47"/>
      <c r="EL15" s="47"/>
      <c r="EM15" s="47"/>
      <c r="EN15" s="47"/>
      <c r="EO15" s="47"/>
      <c r="EP15" s="47"/>
      <c r="EQ15" s="47"/>
      <c r="ER15" s="47"/>
      <c r="ES15" s="47"/>
      <c r="ET15" s="47"/>
      <c r="EU15" s="47"/>
      <c r="EV15" s="47"/>
      <c r="EW15" s="47"/>
      <c r="EX15" s="47"/>
      <c r="EY15" s="47"/>
      <c r="EZ15" s="47"/>
      <c r="FA15" s="47"/>
      <c r="FB15" s="47"/>
      <c r="FC15" s="47"/>
      <c r="FD15" s="47"/>
      <c r="FE15" s="47"/>
      <c r="FF15" s="47"/>
      <c r="FG15" s="47"/>
      <c r="FH15" s="47"/>
      <c r="FI15" s="47"/>
      <c r="FJ15" s="47"/>
      <c r="FK15" s="47"/>
      <c r="FL15" s="47"/>
      <c r="FM15" s="47"/>
      <c r="FN15" s="47"/>
      <c r="FO15" s="47"/>
      <c r="FP15" s="47"/>
      <c r="FQ15" s="47"/>
      <c r="FR15" s="47"/>
      <c r="FS15" s="47"/>
      <c r="FT15" s="47"/>
      <c r="FU15" s="47"/>
      <c r="FV15" s="47"/>
      <c r="FW15" s="47"/>
      <c r="FX15" s="47"/>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HZ15" s="47"/>
      <c r="IA15" s="47"/>
      <c r="IB15" s="47"/>
      <c r="IC15" s="47"/>
      <c r="ID15" s="47"/>
      <c r="IE15" s="47"/>
      <c r="IF15" s="47"/>
      <c r="IG15" s="47"/>
      <c r="IH15" s="47"/>
      <c r="II15" s="47"/>
      <c r="IJ15" s="47"/>
      <c r="IK15" s="47"/>
      <c r="IL15" s="47"/>
      <c r="IM15" s="47"/>
      <c r="IN15" s="47"/>
      <c r="IO15" s="47"/>
      <c r="IP15" s="47"/>
      <c r="IQ15" s="47"/>
      <c r="IR15" s="47"/>
      <c r="IS15" s="47"/>
      <c r="IT15" s="47"/>
      <c r="IU15" s="47"/>
      <c r="IV15" s="47"/>
      <c r="IW15" s="47"/>
      <c r="IX15" s="47"/>
      <c r="IY15" s="47"/>
      <c r="IZ15" s="47"/>
      <c r="JA15" s="47"/>
      <c r="JB15" s="47"/>
      <c r="JC15" s="47"/>
      <c r="JD15" s="47"/>
      <c r="JE15" s="47"/>
      <c r="JF15" s="47"/>
      <c r="JG15" s="47"/>
      <c r="JH15" s="47"/>
      <c r="JI15" s="47"/>
      <c r="JJ15" s="47"/>
      <c r="JK15" s="47"/>
      <c r="JL15" s="47"/>
      <c r="JM15" s="47"/>
      <c r="JN15" s="47"/>
      <c r="JO15" s="47"/>
      <c r="JP15" s="47"/>
      <c r="JQ15" s="47"/>
      <c r="JR15" s="47"/>
      <c r="JS15" s="47"/>
      <c r="JT15" s="47"/>
      <c r="JU15" s="47"/>
      <c r="JV15" s="47"/>
      <c r="JW15" s="47"/>
      <c r="JX15" s="47"/>
      <c r="JY15" s="47"/>
      <c r="JZ15" s="47"/>
      <c r="KA15" s="47"/>
      <c r="KB15" s="47"/>
      <c r="KC15" s="47"/>
      <c r="KD15" s="47"/>
      <c r="KE15" s="47"/>
      <c r="KF15" s="47"/>
      <c r="KG15" s="47"/>
      <c r="KH15" s="47"/>
      <c r="KI15" s="47"/>
      <c r="KJ15" s="47"/>
      <c r="KK15" s="47"/>
      <c r="KL15" s="47"/>
      <c r="KM15" s="47"/>
      <c r="KN15" s="47"/>
      <c r="KO15" s="47"/>
      <c r="KP15" s="47"/>
      <c r="KQ15" s="47"/>
      <c r="KR15" s="47"/>
      <c r="KS15" s="47"/>
      <c r="KT15" s="47"/>
      <c r="KU15" s="47"/>
      <c r="KV15" s="47"/>
      <c r="KW15" s="47"/>
      <c r="KX15" s="47"/>
      <c r="KY15" s="47"/>
      <c r="KZ15" s="47"/>
      <c r="LA15" s="47"/>
      <c r="LB15" s="47"/>
      <c r="LC15" s="47"/>
      <c r="LD15" s="47"/>
      <c r="LE15" s="47"/>
      <c r="LF15" s="47"/>
      <c r="LG15" s="47"/>
      <c r="LH15" s="47"/>
      <c r="LI15" s="47"/>
      <c r="LJ15" s="47"/>
      <c r="LK15" s="47"/>
      <c r="LL15" s="47"/>
      <c r="LM15" s="47"/>
      <c r="LN15" s="47"/>
      <c r="LO15" s="47"/>
      <c r="LP15" s="47"/>
      <c r="LQ15" s="47"/>
      <c r="LR15" s="47"/>
      <c r="LS15" s="47"/>
      <c r="LT15" s="47"/>
      <c r="LU15" s="47"/>
      <c r="LV15" s="47"/>
      <c r="LW15" s="47"/>
      <c r="LX15" s="47"/>
      <c r="LY15" s="47"/>
      <c r="LZ15" s="47"/>
      <c r="MA15" s="47"/>
      <c r="MB15" s="47"/>
      <c r="MC15" s="47"/>
      <c r="MD15" s="47"/>
      <c r="ME15" s="47"/>
      <c r="MF15" s="47"/>
      <c r="MG15" s="47"/>
      <c r="MH15" s="47"/>
      <c r="MI15" s="47"/>
      <c r="MJ15" s="47"/>
      <c r="MK15" s="47"/>
      <c r="ML15" s="47"/>
      <c r="MM15" s="47"/>
      <c r="MN15" s="47"/>
      <c r="MO15" s="47"/>
      <c r="MP15" s="47"/>
      <c r="MQ15" s="47"/>
      <c r="MR15" s="47"/>
      <c r="MS15" s="47"/>
      <c r="MT15" s="47"/>
      <c r="MU15" s="47"/>
      <c r="MV15" s="47"/>
      <c r="MW15" s="47"/>
      <c r="MX15" s="47"/>
      <c r="MY15" s="47"/>
      <c r="MZ15" s="47"/>
      <c r="NA15" s="47"/>
      <c r="NB15" s="47"/>
      <c r="NC15" s="47"/>
      <c r="ND15" s="47"/>
      <c r="NE15" s="47"/>
      <c r="NF15" s="47"/>
      <c r="NG15" s="47"/>
      <c r="NH15" s="47"/>
      <c r="NI15" s="47"/>
      <c r="NJ15" s="47"/>
      <c r="NK15" s="47"/>
      <c r="NL15" s="47"/>
      <c r="NM15" s="47"/>
      <c r="NN15" s="47"/>
      <c r="NO15" s="47"/>
      <c r="NP15" s="47"/>
      <c r="NQ15" s="47"/>
      <c r="NR15" s="47"/>
      <c r="NS15" s="47"/>
      <c r="NT15" s="47"/>
      <c r="NU15" s="47"/>
      <c r="NV15" s="47"/>
      <c r="NW15" s="47"/>
      <c r="NX15" s="47"/>
      <c r="NY15" s="47"/>
      <c r="NZ15" s="47"/>
      <c r="OA15" s="47"/>
      <c r="OB15" s="47"/>
      <c r="OC15" s="47"/>
      <c r="OD15" s="47"/>
      <c r="OE15" s="48"/>
    </row>
    <row r="16" spans="1:395">
      <c r="A16" s="187">
        <f t="shared" si="15"/>
        <v>3</v>
      </c>
      <c r="B16" s="190" t="s">
        <v>38</v>
      </c>
      <c r="C16" s="189" t="str">
        <f>IF(ISBLANK($B16),"",_xlfn.XLOOKUP($B16,Task_No,Project!$C$3:$C$144,"INVALID TASK"))</f>
        <v>Apollo - Debug message optimization</v>
      </c>
      <c r="D16" s="27" t="s">
        <v>89</v>
      </c>
      <c r="E16" s="7">
        <v>136</v>
      </c>
      <c r="F16" s="7">
        <f t="shared" ref="F16" si="16">IF(C16 = "", "", SUM($H16,$J16,$L16,$N16,$P16,$R16,$T16,$V16,$X16,$Z16,$AB16,$AD16))</f>
        <v>86</v>
      </c>
      <c r="G16" s="34"/>
      <c r="H16" s="34" cm="1">
        <f t="array" ref="H16">IF($C16="","",SUMPRODUCT((TEXT($AE$5:$OE$5, "mmm")=LOWER(G$3))*$AE16:$OE16))</f>
        <v>0</v>
      </c>
      <c r="I16" s="34"/>
      <c r="J16" s="34" cm="1">
        <f t="array" ref="J16">IF($C16="","",SUMPRODUCT((TEXT($AE$5:$OE$5, "mmm")=LOWER(I$3))*$AE16:$OE16))</f>
        <v>0</v>
      </c>
      <c r="K16" s="34"/>
      <c r="L16" s="34" cm="1">
        <f t="array" ref="L16">IF($C16="","",SUMPRODUCT((TEXT($AE$5:$OE$5, "mmm")=LOWER(K$3))*$AE16:$OE16))</f>
        <v>80.5</v>
      </c>
      <c r="M16" s="34"/>
      <c r="N16" s="34" cm="1">
        <f t="array" ref="N16">IF($C16="","",SUMPRODUCT((TEXT($AE$5:$OE$5, "mmm")=LOWER(M$3))*$AE16:$OE16))</f>
        <v>5.5</v>
      </c>
      <c r="O16" s="34"/>
      <c r="P16" s="34" cm="1">
        <f t="array" ref="P16">IF($C16="","",SUMPRODUCT((TEXT($AE$5:$OE$5, "mmm")=LOWER(O$3))*$AE16:$OE16))</f>
        <v>0</v>
      </c>
      <c r="Q16" s="34"/>
      <c r="R16" s="34" cm="1">
        <f t="array" ref="R16">IF($C16="","",SUMPRODUCT((TEXT($AE$5:$OE$5, "mmm")=LOWER(Q$3))*$AE16:$OE16))</f>
        <v>0</v>
      </c>
      <c r="S16" s="34"/>
      <c r="T16" s="34" cm="1">
        <f t="array" ref="T16">IF($C16="","",SUMPRODUCT((TEXT($AE$5:$OE$5, "mmm")=LOWER(S$3))*$AE16:$OE16))</f>
        <v>0</v>
      </c>
      <c r="U16" s="34"/>
      <c r="V16" s="34" cm="1">
        <f t="array" ref="V16">IF($C16="","",SUMPRODUCT((TEXT($AE$5:$OE$5, "mmm")=LOWER(U$3))*$AE16:$OE16))</f>
        <v>0</v>
      </c>
      <c r="W16" s="34"/>
      <c r="X16" s="34" cm="1">
        <f t="array" ref="X16">IF($C16="","",SUMPRODUCT((TEXT($AE$5:$OE$5, "mmm")=LOWER(W$3))*$AE16:$OE16))</f>
        <v>0</v>
      </c>
      <c r="Y16" s="34"/>
      <c r="Z16" s="34" cm="1">
        <f t="array" ref="Z16">IF($C16="","",SUMPRODUCT((TEXT($AE$5:$OE$5, "mmm")=LOWER(Y$3))*$AE16:$OE16))</f>
        <v>0</v>
      </c>
      <c r="AA16" s="34"/>
      <c r="AB16" s="34" cm="1">
        <f t="array" ref="AB16">IF($C16="","",SUMPRODUCT((TEXT($AE$5:$OE$5, "mmm")=LOWER(AA$3))*$AE16:$OE16))</f>
        <v>0</v>
      </c>
      <c r="AC16" s="34"/>
      <c r="AD16" s="34" cm="1">
        <f t="array" ref="AD16">IF($C16="","",SUMPRODUCT((TEXT($AE$5:$OE$5, "mmm")=LOWER(AC$3))*$AE16:$OE16))</f>
        <v>0</v>
      </c>
      <c r="AE16" s="47"/>
      <c r="AF16" s="47"/>
      <c r="AG16" s="47"/>
      <c r="AH16" s="47"/>
      <c r="AI16" s="47"/>
      <c r="AJ16" s="47"/>
      <c r="AK16" s="47"/>
      <c r="AL16" s="47"/>
      <c r="AM16" s="47"/>
      <c r="AN16" s="47"/>
      <c r="AO16" s="47"/>
      <c r="AP16" s="47"/>
      <c r="AQ16" s="47"/>
      <c r="AR16" s="47"/>
      <c r="AS16" s="47"/>
      <c r="AT16" s="47"/>
      <c r="AU16" s="47"/>
      <c r="AV16" s="47"/>
      <c r="AW16" s="47"/>
      <c r="AX16" s="47"/>
      <c r="AY16" s="47"/>
      <c r="AZ16" s="47"/>
      <c r="BA16" s="47"/>
      <c r="BB16" s="47"/>
      <c r="BC16" s="47"/>
      <c r="BD16" s="47"/>
      <c r="BE16" s="47"/>
      <c r="BF16" s="47"/>
      <c r="BG16" s="47"/>
      <c r="BH16" s="47"/>
      <c r="BI16" s="47"/>
      <c r="BJ16" s="47"/>
      <c r="BK16" s="47"/>
      <c r="BL16" s="47"/>
      <c r="BM16" s="47"/>
      <c r="BN16" s="47"/>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47"/>
      <c r="CR16" s="47"/>
      <c r="CS16" s="47"/>
      <c r="CT16" s="47"/>
      <c r="CU16" s="47"/>
      <c r="CV16" s="47"/>
      <c r="CW16" s="47">
        <v>4.5</v>
      </c>
      <c r="CX16" s="47">
        <v>5.5</v>
      </c>
      <c r="CY16" s="47"/>
      <c r="CZ16" s="47"/>
      <c r="DA16" s="47">
        <v>5.5</v>
      </c>
      <c r="DB16" s="47">
        <v>8</v>
      </c>
      <c r="DC16" s="47">
        <v>7</v>
      </c>
      <c r="DD16" s="47"/>
      <c r="DE16" s="47"/>
      <c r="DF16" s="47"/>
      <c r="DG16" s="47"/>
      <c r="DH16" s="47">
        <v>8.5</v>
      </c>
      <c r="DI16" s="47">
        <v>6.5</v>
      </c>
      <c r="DJ16" s="47">
        <v>5.5</v>
      </c>
      <c r="DK16" s="47">
        <v>7.5</v>
      </c>
      <c r="DL16" s="47">
        <v>6.5</v>
      </c>
      <c r="DM16" s="47"/>
      <c r="DN16" s="47"/>
      <c r="DO16" s="47">
        <v>7</v>
      </c>
      <c r="DP16" s="47">
        <v>8.5</v>
      </c>
      <c r="DQ16" s="47">
        <v>5.5</v>
      </c>
      <c r="DR16" s="47"/>
      <c r="DS16" s="47"/>
      <c r="DT16" s="47"/>
      <c r="DU16" s="47"/>
      <c r="DV16" s="47"/>
      <c r="DW16" s="47"/>
      <c r="DX16" s="47"/>
      <c r="DY16" s="47"/>
      <c r="DZ16" s="47"/>
      <c r="EA16" s="47"/>
      <c r="EB16" s="47"/>
      <c r="EC16" s="47"/>
      <c r="ED16" s="47"/>
      <c r="EE16" s="47"/>
      <c r="EF16" s="47"/>
      <c r="EG16" s="47"/>
      <c r="EH16" s="47"/>
      <c r="EI16" s="47"/>
      <c r="EJ16" s="47"/>
      <c r="EK16" s="47"/>
      <c r="EL16" s="47"/>
      <c r="EM16" s="47"/>
      <c r="EN16" s="47"/>
      <c r="EO16" s="47"/>
      <c r="EP16" s="47"/>
      <c r="EQ16" s="47"/>
      <c r="ER16" s="47"/>
      <c r="ES16" s="47"/>
      <c r="ET16" s="47"/>
      <c r="EU16" s="47"/>
      <c r="EV16" s="47"/>
      <c r="EW16" s="47"/>
      <c r="EX16" s="47"/>
      <c r="EY16" s="47"/>
      <c r="EZ16" s="47"/>
      <c r="FA16" s="47"/>
      <c r="FB16" s="47"/>
      <c r="FC16" s="47"/>
      <c r="FD16" s="47"/>
      <c r="FE16" s="47"/>
      <c r="FF16" s="47"/>
      <c r="FG16" s="47"/>
      <c r="FH16" s="47"/>
      <c r="FI16" s="47"/>
      <c r="FJ16" s="47"/>
      <c r="FK16" s="47"/>
      <c r="FL16" s="47"/>
      <c r="FM16" s="47"/>
      <c r="FN16" s="47"/>
      <c r="FO16" s="47"/>
      <c r="FP16" s="47"/>
      <c r="FQ16" s="47"/>
      <c r="FR16" s="47"/>
      <c r="FS16" s="47"/>
      <c r="FT16" s="47"/>
      <c r="FU16" s="47"/>
      <c r="FV16" s="47"/>
      <c r="FW16" s="47"/>
      <c r="FX16" s="47"/>
      <c r="FY16" s="47"/>
      <c r="FZ16" s="47"/>
      <c r="GA16" s="47"/>
      <c r="GB16" s="47"/>
      <c r="GC16" s="47"/>
      <c r="GD16" s="47"/>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HZ16" s="47"/>
      <c r="IA16" s="47"/>
      <c r="IB16" s="47"/>
      <c r="IC16" s="47"/>
      <c r="ID16" s="47"/>
      <c r="IE16" s="47"/>
      <c r="IF16" s="47"/>
      <c r="IG16" s="47"/>
      <c r="IH16" s="47"/>
      <c r="II16" s="47"/>
      <c r="IJ16" s="47"/>
      <c r="IK16" s="47"/>
      <c r="IL16" s="47"/>
      <c r="IM16" s="47"/>
      <c r="IN16" s="47"/>
      <c r="IO16" s="47"/>
      <c r="IP16" s="47"/>
      <c r="IQ16" s="47"/>
      <c r="IR16" s="47"/>
      <c r="IS16" s="47"/>
      <c r="IT16" s="47"/>
      <c r="IU16" s="47"/>
      <c r="IV16" s="47"/>
      <c r="IW16" s="47"/>
      <c r="IX16" s="47"/>
      <c r="IY16" s="47"/>
      <c r="IZ16" s="47"/>
      <c r="JA16" s="47"/>
      <c r="JB16" s="47"/>
      <c r="JC16" s="47"/>
      <c r="JD16" s="47"/>
      <c r="JE16" s="47"/>
      <c r="JF16" s="47"/>
      <c r="JG16" s="47"/>
      <c r="JH16" s="47"/>
      <c r="JI16" s="47"/>
      <c r="JJ16" s="47"/>
      <c r="JK16" s="47"/>
      <c r="JL16" s="47"/>
      <c r="JM16" s="47"/>
      <c r="JN16" s="47"/>
      <c r="JO16" s="47"/>
      <c r="JP16" s="47"/>
      <c r="JQ16" s="47"/>
      <c r="JR16" s="47"/>
      <c r="JS16" s="47"/>
      <c r="JT16" s="47"/>
      <c r="JU16" s="47"/>
      <c r="JV16" s="47"/>
      <c r="JW16" s="47"/>
      <c r="JX16" s="47"/>
      <c r="JY16" s="47"/>
      <c r="JZ16" s="47"/>
      <c r="KA16" s="47"/>
      <c r="KB16" s="47"/>
      <c r="KC16" s="47"/>
      <c r="KD16" s="47"/>
      <c r="KE16" s="47"/>
      <c r="KF16" s="47"/>
      <c r="KG16" s="47"/>
      <c r="KH16" s="47"/>
      <c r="KI16" s="47"/>
      <c r="KJ16" s="47"/>
      <c r="KK16" s="47"/>
      <c r="KL16" s="47"/>
      <c r="KM16" s="47"/>
      <c r="KN16" s="47"/>
      <c r="KO16" s="47"/>
      <c r="KP16" s="47"/>
      <c r="KQ16" s="47"/>
      <c r="KR16" s="47"/>
      <c r="KS16" s="47"/>
      <c r="KT16" s="47"/>
      <c r="KU16" s="47"/>
      <c r="KV16" s="47"/>
      <c r="KW16" s="47"/>
      <c r="KX16" s="47"/>
      <c r="KY16" s="47"/>
      <c r="KZ16" s="47"/>
      <c r="LA16" s="47"/>
      <c r="LB16" s="47"/>
      <c r="LC16" s="47"/>
      <c r="LD16" s="47"/>
      <c r="LE16" s="47"/>
      <c r="LF16" s="47"/>
      <c r="LG16" s="47"/>
      <c r="LH16" s="47"/>
      <c r="LI16" s="47"/>
      <c r="LJ16" s="47"/>
      <c r="LK16" s="47"/>
      <c r="LL16" s="47"/>
      <c r="LM16" s="47"/>
      <c r="LN16" s="47"/>
      <c r="LO16" s="47"/>
      <c r="LP16" s="47"/>
      <c r="LQ16" s="47"/>
      <c r="LR16" s="47"/>
      <c r="LS16" s="47"/>
      <c r="LT16" s="47"/>
      <c r="LU16" s="47"/>
      <c r="LV16" s="47"/>
      <c r="LW16" s="47"/>
      <c r="LX16" s="47"/>
      <c r="LY16" s="47"/>
      <c r="LZ16" s="47"/>
      <c r="MA16" s="47"/>
      <c r="MB16" s="47"/>
      <c r="MC16" s="47"/>
      <c r="MD16" s="47"/>
      <c r="ME16" s="47"/>
      <c r="MF16" s="47"/>
      <c r="MG16" s="47"/>
      <c r="MH16" s="47"/>
      <c r="MI16" s="47"/>
      <c r="MJ16" s="47"/>
      <c r="MK16" s="47"/>
      <c r="ML16" s="47"/>
      <c r="MM16" s="47"/>
      <c r="MN16" s="47"/>
      <c r="MO16" s="47"/>
      <c r="MP16" s="47"/>
      <c r="MQ16" s="47"/>
      <c r="MR16" s="47"/>
      <c r="MS16" s="47"/>
      <c r="MT16" s="47"/>
      <c r="MU16" s="47"/>
      <c r="MV16" s="47"/>
      <c r="MW16" s="47"/>
      <c r="MX16" s="47"/>
      <c r="MY16" s="47"/>
      <c r="MZ16" s="47"/>
      <c r="NA16" s="47"/>
      <c r="NB16" s="47"/>
      <c r="NC16" s="47"/>
      <c r="ND16" s="47"/>
      <c r="NE16" s="47"/>
      <c r="NF16" s="47"/>
      <c r="NG16" s="47"/>
      <c r="NH16" s="47"/>
      <c r="NI16" s="47"/>
      <c r="NJ16" s="47"/>
      <c r="NK16" s="47"/>
      <c r="NL16" s="47"/>
      <c r="NM16" s="47"/>
      <c r="NN16" s="47"/>
      <c r="NO16" s="47"/>
      <c r="NP16" s="47"/>
      <c r="NQ16" s="47"/>
      <c r="NR16" s="47"/>
      <c r="NS16" s="47"/>
      <c r="NT16" s="47"/>
      <c r="NU16" s="47"/>
      <c r="NV16" s="47"/>
      <c r="NW16" s="47"/>
      <c r="NX16" s="47"/>
      <c r="NY16" s="47"/>
      <c r="NZ16" s="47"/>
      <c r="OA16" s="47"/>
      <c r="OB16" s="47"/>
      <c r="OC16" s="47"/>
      <c r="OD16" s="47"/>
      <c r="OE16" s="48"/>
    </row>
    <row r="17" spans="1:395" ht="29.25">
      <c r="A17" s="187">
        <v>4</v>
      </c>
      <c r="B17" s="202" t="s">
        <v>50</v>
      </c>
      <c r="C17" s="189" t="str">
        <f>IF(ISBLANK($B17),"",_xlfn.XLOOKUP($B17,Task_No,Project!$C$3:$C$144,"INVALID TASK"))</f>
        <v>Documentation of the Splitter module in Programmable Logic</v>
      </c>
      <c r="D17" s="27" t="s">
        <v>87</v>
      </c>
      <c r="E17" s="7">
        <f>16*9.5</f>
        <v>152</v>
      </c>
      <c r="F17" s="7">
        <f>IF(C17 = "", "", SUM($H17,$J17,$L17,$N17,$P17,$R17,$T17,$V17,$X17,$Z17,$AB17,$AD17))</f>
        <v>94</v>
      </c>
      <c r="G17" s="34"/>
      <c r="H17" s="34" cm="1">
        <f t="array" ref="H17">IF($C17="","",SUMPRODUCT((TEXT($AE$5:$OE$5, "mmm")=LOWER(G$3))*$AE17:$OE17))</f>
        <v>0</v>
      </c>
      <c r="I17" s="34"/>
      <c r="J17" s="34" cm="1">
        <f t="array" ref="J17">IF($C17="","",SUMPRODUCT((TEXT($AE$5:$OE$5, "mmm")=LOWER(I$3))*$AE17:$OE17))</f>
        <v>0</v>
      </c>
      <c r="K17" s="34"/>
      <c r="L17" s="34" cm="1">
        <f t="array" ref="L17">IF($C17="","",SUMPRODUCT((TEXT($AE$5:$OE$5, "mmm")=LOWER(K$3))*$AE17:$OE17))</f>
        <v>0</v>
      </c>
      <c r="M17" s="34"/>
      <c r="N17" s="34" cm="1">
        <f t="array" ref="N17">IF($C17="","",SUMPRODUCT((TEXT($AE$5:$OE$5, "mmm")=LOWER(M$3))*$AE17:$OE17))</f>
        <v>94</v>
      </c>
      <c r="O17" s="34"/>
      <c r="P17" s="34" cm="1">
        <f t="array" ref="P17">IF($C17="","",SUMPRODUCT((TEXT($AE$5:$OE$5, "mmm")=LOWER(O$3))*$AE17:$OE17))</f>
        <v>0</v>
      </c>
      <c r="Q17" s="34"/>
      <c r="R17" s="34" cm="1">
        <f t="array" ref="R17">IF($C17="","",SUMPRODUCT((TEXT($AE$5:$OE$5, "mmm")=LOWER(Q$3))*$AE17:$OE17))</f>
        <v>0</v>
      </c>
      <c r="S17" s="34"/>
      <c r="T17" s="34" cm="1">
        <f t="array" ref="T17">IF($C17="","",SUMPRODUCT((TEXT($AE$5:$OE$5, "mmm")=LOWER(S$3))*$AE17:$OE17))</f>
        <v>0</v>
      </c>
      <c r="U17" s="34"/>
      <c r="V17" s="34" cm="1">
        <f t="array" ref="V17">IF($C17="","",SUMPRODUCT((TEXT($AE$5:$OE$5, "mmm")=LOWER(U$3))*$AE17:$OE17))</f>
        <v>0</v>
      </c>
      <c r="W17" s="34"/>
      <c r="X17" s="34" cm="1">
        <f t="array" ref="X17">IF($C17="","",SUMPRODUCT((TEXT($AE$5:$OE$5, "mmm")=LOWER(W$3))*$AE17:$OE17))</f>
        <v>0</v>
      </c>
      <c r="Y17" s="34"/>
      <c r="Z17" s="34" cm="1">
        <f t="array" ref="Z17">IF($C17="","",SUMPRODUCT((TEXT($AE$5:$OE$5, "mmm")=LOWER(Y$3))*$AE17:$OE17))</f>
        <v>0</v>
      </c>
      <c r="AA17" s="34"/>
      <c r="AB17" s="34" cm="1">
        <f t="array" ref="AB17">IF($C17="","",SUMPRODUCT((TEXT($AE$5:$OE$5, "mmm")=LOWER(AA$3))*$AE17:$OE17))</f>
        <v>0</v>
      </c>
      <c r="AC17" s="34"/>
      <c r="AD17" s="34" cm="1">
        <f t="array" ref="AD17">IF($C17="","",SUMPRODUCT((TEXT($AE$5:$OE$5, "mmm")=LOWER(AC$3))*$AE17:$OE17))</f>
        <v>0</v>
      </c>
      <c r="AE17" s="47"/>
      <c r="AF17" s="47"/>
      <c r="AG17" s="47"/>
      <c r="AH17" s="47"/>
      <c r="AI17" s="47"/>
      <c r="AJ17" s="47"/>
      <c r="AK17" s="47"/>
      <c r="AL17" s="47"/>
      <c r="AM17" s="47"/>
      <c r="AN17" s="47"/>
      <c r="AO17" s="47"/>
      <c r="AP17" s="47"/>
      <c r="AQ17" s="47"/>
      <c r="AR17" s="47"/>
      <c r="AS17" s="47"/>
      <c r="AT17" s="47"/>
      <c r="AU17" s="47"/>
      <c r="AV17" s="47"/>
      <c r="AW17" s="47"/>
      <c r="AX17" s="47"/>
      <c r="AY17" s="47"/>
      <c r="AZ17" s="47"/>
      <c r="BA17" s="47"/>
      <c r="BB17" s="47"/>
      <c r="BC17" s="47"/>
      <c r="BD17" s="47"/>
      <c r="BE17" s="47"/>
      <c r="BF17" s="47"/>
      <c r="BG17" s="47"/>
      <c r="BH17" s="47"/>
      <c r="BI17" s="47"/>
      <c r="BJ17" s="47"/>
      <c r="BK17" s="47"/>
      <c r="BL17" s="47"/>
      <c r="BM17" s="47"/>
      <c r="BN17" s="47"/>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47"/>
      <c r="CR17" s="47"/>
      <c r="CS17" s="47"/>
      <c r="CT17" s="47"/>
      <c r="CU17" s="47"/>
      <c r="CV17" s="47"/>
      <c r="CW17" s="47"/>
      <c r="CX17" s="47"/>
      <c r="CY17" s="47"/>
      <c r="CZ17" s="47"/>
      <c r="DA17" s="47"/>
      <c r="DB17" s="47"/>
      <c r="DC17" s="47"/>
      <c r="DD17" s="47"/>
      <c r="DE17" s="47"/>
      <c r="DF17" s="47"/>
      <c r="DG17" s="47"/>
      <c r="DH17" s="47"/>
      <c r="DI17" s="47"/>
      <c r="DJ17" s="47"/>
      <c r="DK17" s="47"/>
      <c r="DL17" s="47"/>
      <c r="DM17" s="47"/>
      <c r="DN17" s="47"/>
      <c r="DO17" s="47"/>
      <c r="DP17" s="47"/>
      <c r="DQ17" s="47"/>
      <c r="DR17" s="47">
        <v>8.5</v>
      </c>
      <c r="DS17" s="47">
        <v>9.5</v>
      </c>
      <c r="DT17" s="47"/>
      <c r="DU17" s="47"/>
      <c r="DV17" s="47">
        <v>9.5</v>
      </c>
      <c r="DW17" s="47">
        <v>9.5</v>
      </c>
      <c r="DX17" s="47">
        <v>9.5</v>
      </c>
      <c r="DY17" s="47">
        <v>9.5</v>
      </c>
      <c r="DZ17" s="47">
        <v>9.5</v>
      </c>
      <c r="EA17" s="47"/>
      <c r="EB17" s="47"/>
      <c r="EC17" s="47">
        <v>9.5</v>
      </c>
      <c r="ED17" s="47"/>
      <c r="EE17" s="47">
        <v>9.5</v>
      </c>
      <c r="EF17" s="47">
        <v>9.5</v>
      </c>
      <c r="EG17" s="47"/>
      <c r="EH17" s="47"/>
      <c r="EI17" s="47"/>
      <c r="EJ17" s="47"/>
      <c r="EK17" s="47"/>
      <c r="EL17" s="47"/>
      <c r="EM17" s="47"/>
      <c r="EN17" s="47"/>
      <c r="EO17" s="47"/>
      <c r="EP17" s="47"/>
      <c r="EQ17" s="47"/>
      <c r="ER17" s="47"/>
      <c r="ES17" s="47"/>
      <c r="ET17" s="47"/>
      <c r="EU17" s="47"/>
      <c r="EV17" s="47"/>
      <c r="EW17" s="47"/>
      <c r="EX17" s="47"/>
      <c r="EY17" s="47"/>
      <c r="EZ17" s="47"/>
      <c r="FA17" s="47"/>
      <c r="FB17" s="47"/>
      <c r="FC17" s="47"/>
      <c r="FD17" s="47"/>
      <c r="FE17" s="47"/>
      <c r="FF17" s="47"/>
      <c r="FG17" s="47"/>
      <c r="FH17" s="47"/>
      <c r="FI17" s="47"/>
      <c r="FJ17" s="47"/>
      <c r="FK17" s="47"/>
      <c r="FL17" s="47"/>
      <c r="FM17" s="47"/>
      <c r="FN17" s="47"/>
      <c r="FO17" s="47"/>
      <c r="FP17" s="47"/>
      <c r="FQ17" s="47"/>
      <c r="FR17" s="47"/>
      <c r="FS17" s="47"/>
      <c r="FT17" s="47"/>
      <c r="FU17" s="47"/>
      <c r="FV17" s="47"/>
      <c r="FW17" s="47"/>
      <c r="FX17" s="47"/>
      <c r="FY17" s="47"/>
      <c r="FZ17" s="47"/>
      <c r="GA17" s="47"/>
      <c r="GB17" s="47"/>
      <c r="GC17" s="47"/>
      <c r="GD17" s="47"/>
      <c r="GE17" s="47"/>
      <c r="GF17" s="47"/>
      <c r="GG17" s="47"/>
      <c r="GH17" s="47"/>
      <c r="GI17" s="47"/>
      <c r="GJ17" s="47"/>
      <c r="GK17" s="47"/>
      <c r="GL17" s="47"/>
      <c r="GM17" s="47"/>
      <c r="GN17" s="47"/>
      <c r="GO17" s="47"/>
      <c r="GP17" s="47"/>
      <c r="GQ17" s="47"/>
      <c r="GR17" s="47"/>
      <c r="GS17" s="47"/>
      <c r="GT17" s="47"/>
      <c r="GU17" s="47"/>
      <c r="GV17" s="47"/>
      <c r="GW17" s="47"/>
      <c r="GX17" s="47"/>
      <c r="GY17" s="47"/>
      <c r="GZ17" s="47"/>
      <c r="HA17" s="47"/>
      <c r="HB17" s="47"/>
      <c r="HC17" s="47"/>
      <c r="HD17" s="47"/>
      <c r="HE17" s="47"/>
      <c r="HF17" s="47"/>
      <c r="HG17" s="47"/>
      <c r="HH17" s="47"/>
      <c r="HI17" s="47"/>
      <c r="HJ17" s="47"/>
      <c r="HK17" s="47"/>
      <c r="HL17" s="47"/>
      <c r="HM17" s="47"/>
      <c r="HN17" s="47"/>
      <c r="HO17" s="47"/>
      <c r="HP17" s="47"/>
      <c r="HQ17" s="47"/>
      <c r="HR17" s="47"/>
      <c r="HS17" s="47"/>
      <c r="HT17" s="47"/>
      <c r="HU17" s="47"/>
      <c r="HV17" s="47"/>
      <c r="HW17" s="47"/>
      <c r="HX17" s="47"/>
      <c r="HY17" s="47"/>
      <c r="HZ17" s="47"/>
      <c r="IA17" s="47"/>
      <c r="IB17" s="47"/>
      <c r="IC17" s="47"/>
      <c r="ID17" s="47"/>
      <c r="IE17" s="47"/>
      <c r="IF17" s="47"/>
      <c r="IG17" s="47"/>
      <c r="IH17" s="47"/>
      <c r="II17" s="47"/>
      <c r="IJ17" s="47"/>
      <c r="IK17" s="47"/>
      <c r="IL17" s="47"/>
      <c r="IM17" s="47"/>
      <c r="IN17" s="47"/>
      <c r="IO17" s="47"/>
      <c r="IP17" s="47"/>
      <c r="IQ17" s="47"/>
      <c r="IR17" s="47"/>
      <c r="IS17" s="47"/>
      <c r="IT17" s="47"/>
      <c r="IU17" s="47"/>
      <c r="IV17" s="47"/>
      <c r="IW17" s="47"/>
      <c r="IX17" s="47"/>
      <c r="IY17" s="47"/>
      <c r="IZ17" s="47"/>
      <c r="JA17" s="47"/>
      <c r="JB17" s="47"/>
      <c r="JC17" s="47"/>
      <c r="JD17" s="47"/>
      <c r="JE17" s="47"/>
      <c r="JF17" s="47"/>
      <c r="JG17" s="47"/>
      <c r="JH17" s="47"/>
      <c r="JI17" s="47"/>
      <c r="JJ17" s="47"/>
      <c r="JK17" s="47"/>
      <c r="JL17" s="47"/>
      <c r="JM17" s="47"/>
      <c r="JN17" s="47"/>
      <c r="JO17" s="47"/>
      <c r="JP17" s="47"/>
      <c r="JQ17" s="47"/>
      <c r="JR17" s="47"/>
      <c r="JS17" s="47"/>
      <c r="JT17" s="47"/>
      <c r="JU17" s="47"/>
      <c r="JV17" s="47"/>
      <c r="JW17" s="47"/>
      <c r="JX17" s="47"/>
      <c r="JY17" s="47"/>
      <c r="JZ17" s="47"/>
      <c r="KA17" s="47"/>
      <c r="KB17" s="47"/>
      <c r="KC17" s="47"/>
      <c r="KD17" s="47"/>
      <c r="KE17" s="47"/>
      <c r="KF17" s="47"/>
      <c r="KG17" s="47"/>
      <c r="KH17" s="47"/>
      <c r="KI17" s="47"/>
      <c r="KJ17" s="47"/>
      <c r="KK17" s="47"/>
      <c r="KL17" s="47"/>
      <c r="KM17" s="47"/>
      <c r="KN17" s="47"/>
      <c r="KO17" s="47"/>
      <c r="KP17" s="47"/>
      <c r="KQ17" s="47"/>
      <c r="KR17" s="47"/>
      <c r="KS17" s="47"/>
      <c r="KT17" s="47"/>
      <c r="KU17" s="47"/>
      <c r="KV17" s="47"/>
      <c r="KW17" s="47"/>
      <c r="KX17" s="47"/>
      <c r="KY17" s="47"/>
      <c r="KZ17" s="47"/>
      <c r="LA17" s="47"/>
      <c r="LB17" s="47"/>
      <c r="LC17" s="47"/>
      <c r="LD17" s="47"/>
      <c r="LE17" s="47"/>
      <c r="LF17" s="47"/>
      <c r="LG17" s="47"/>
      <c r="LH17" s="47"/>
      <c r="LI17" s="47"/>
      <c r="LJ17" s="47"/>
      <c r="LK17" s="47"/>
      <c r="LL17" s="47"/>
      <c r="LM17" s="47"/>
      <c r="LN17" s="47"/>
      <c r="LO17" s="47"/>
      <c r="LP17" s="47"/>
      <c r="LQ17" s="47"/>
      <c r="LR17" s="47"/>
      <c r="LS17" s="47"/>
      <c r="LT17" s="47"/>
      <c r="LU17" s="47"/>
      <c r="LV17" s="47"/>
      <c r="LW17" s="47"/>
      <c r="LX17" s="47"/>
      <c r="LY17" s="47"/>
      <c r="LZ17" s="47"/>
      <c r="MA17" s="47"/>
      <c r="MB17" s="47"/>
      <c r="MC17" s="47"/>
      <c r="MD17" s="47"/>
      <c r="ME17" s="47"/>
      <c r="MF17" s="47"/>
      <c r="MG17" s="47"/>
      <c r="MH17" s="47"/>
      <c r="MI17" s="47"/>
      <c r="MJ17" s="47"/>
      <c r="MK17" s="47"/>
      <c r="ML17" s="47"/>
      <c r="MM17" s="47"/>
      <c r="MN17" s="47"/>
      <c r="MO17" s="47"/>
      <c r="MP17" s="47"/>
      <c r="MQ17" s="47"/>
      <c r="MR17" s="47"/>
      <c r="MS17" s="47"/>
      <c r="MT17" s="47"/>
      <c r="MU17" s="47"/>
      <c r="MV17" s="47"/>
      <c r="MW17" s="47"/>
      <c r="MX17" s="47"/>
      <c r="MY17" s="47"/>
      <c r="MZ17" s="47"/>
      <c r="NA17" s="47"/>
      <c r="NB17" s="47"/>
      <c r="NC17" s="47"/>
      <c r="ND17" s="47"/>
      <c r="NE17" s="47"/>
      <c r="NF17" s="47"/>
      <c r="NG17" s="47"/>
      <c r="NH17" s="47"/>
      <c r="NI17" s="47"/>
      <c r="NJ17" s="47"/>
      <c r="NK17" s="47"/>
      <c r="NL17" s="47"/>
      <c r="NM17" s="47"/>
      <c r="NN17" s="47"/>
      <c r="NO17" s="47"/>
      <c r="NP17" s="47"/>
      <c r="NQ17" s="47"/>
      <c r="NR17" s="47"/>
      <c r="NS17" s="47"/>
      <c r="NT17" s="47"/>
      <c r="NU17" s="47"/>
      <c r="NV17" s="47"/>
      <c r="NW17" s="47"/>
      <c r="NX17" s="47"/>
      <c r="NY17" s="47"/>
      <c r="NZ17" s="47"/>
      <c r="OA17" s="47"/>
      <c r="OB17" s="47"/>
      <c r="OC17" s="47"/>
      <c r="OD17" s="47"/>
      <c r="OE17" s="48"/>
    </row>
    <row r="18" spans="1:395">
      <c r="A18" s="33" t="str">
        <f t="shared" si="15"/>
        <v/>
      </c>
      <c r="C18" s="2" t="str">
        <f>IF(ISBLANK($B18),"",_xlfn.XLOOKUP($B18,Task_No,Project!$C$3:$C$144,"INVALID TASK"))</f>
        <v/>
      </c>
      <c r="D18" s="27"/>
      <c r="E18" s="7" t="str">
        <f t="shared" ref="E18:E81" si="17">IF(C18="","",SUM($G18,$I18,$K18,$M18,$O18,$Q18,$S18,$U18,$W18,$Y18,$AA18,$AC18))</f>
        <v/>
      </c>
      <c r="F18" s="7" t="str">
        <f t="shared" ref="F18:F81" si="18">IF(C18 = "", "", SUM($H18,$J18,$L18,$N18,$P18,$R18,$T18,$V18,$X18,$Z18,$AB18,$AD18))</f>
        <v/>
      </c>
      <c r="G18" s="34"/>
      <c r="H18" s="34" t="str" cm="1">
        <f t="array" ref="H18">IF($C18="","",SUMPRODUCT((TEXT($AE$5:$OE$5, "mmm")=LOWER(G$3))*$AE18:$OE18))</f>
        <v/>
      </c>
      <c r="I18" s="34"/>
      <c r="J18" s="34" t="str" cm="1">
        <f t="array" ref="J18">IF($C18="","",SUMPRODUCT((TEXT($AE$5:$OE$5, "mmm")=LOWER(I$3))*$AE18:$OE18))</f>
        <v/>
      </c>
      <c r="K18" s="34"/>
      <c r="L18" s="34" t="str" cm="1">
        <f t="array" ref="L18">IF($C18="","",SUMPRODUCT((TEXT($AE$5:$OE$5, "mmm")=LOWER(K$3))*$AE18:$OE18))</f>
        <v/>
      </c>
      <c r="M18" s="34"/>
      <c r="N18" s="34" t="str" cm="1">
        <f t="array" ref="N18">IF($C18="","",SUMPRODUCT((TEXT($AE$5:$OE$5, "mmm")=LOWER(M$3))*$AE18:$OE18))</f>
        <v/>
      </c>
      <c r="O18" s="34"/>
      <c r="P18" s="34" t="str" cm="1">
        <f t="array" ref="P18">IF($C18="","",SUMPRODUCT((TEXT($AE$5:$OE$5, "mmm")=LOWER(O$3))*$AE18:$OE18))</f>
        <v/>
      </c>
      <c r="Q18" s="34"/>
      <c r="R18" s="34" t="str" cm="1">
        <f t="array" ref="R18">IF($C18="","",SUMPRODUCT((TEXT($AE$5:$OE$5, "mmm")=LOWER(Q$3))*$AE18:$OE18))</f>
        <v/>
      </c>
      <c r="S18" s="34"/>
      <c r="T18" s="34" t="str" cm="1">
        <f t="array" ref="T18">IF($C18="","",SUMPRODUCT((TEXT($AE$5:$OE$5, "mmm")=LOWER(S$3))*$AE18:$OE18))</f>
        <v/>
      </c>
      <c r="U18" s="34"/>
      <c r="V18" s="34" t="str" cm="1">
        <f t="array" ref="V18">IF($C18="","",SUMPRODUCT((TEXT($AE$5:$OE$5, "mmm")=LOWER(U$3))*$AE18:$OE18))</f>
        <v/>
      </c>
      <c r="W18" s="34"/>
      <c r="X18" s="34" t="str" cm="1">
        <f t="array" ref="X18">IF($C18="","",SUMPRODUCT((TEXT($AE$5:$OE$5, "mmm")=LOWER(W$3))*$AE18:$OE18))</f>
        <v/>
      </c>
      <c r="Y18" s="34"/>
      <c r="Z18" s="34" t="str" cm="1">
        <f t="array" ref="Z18">IF($C18="","",SUMPRODUCT((TEXT($AE$5:$OE$5, "mmm")=LOWER(Y$3))*$AE18:$OE18))</f>
        <v/>
      </c>
      <c r="AA18" s="34"/>
      <c r="AB18" s="34" t="str" cm="1">
        <f t="array" ref="AB18">IF($C18="","",SUMPRODUCT((TEXT($AE$5:$OE$5, "mmm")=LOWER(AA$3))*$AE18:$OE18))</f>
        <v/>
      </c>
      <c r="AC18" s="34"/>
      <c r="AD18" s="34" t="str" cm="1">
        <f t="array" ref="AD18">IF($C18="","",SUMPRODUCT((TEXT($AE$5:$OE$5, "mmm")=LOWER(AC$3))*$AE18:$OE18))</f>
        <v/>
      </c>
      <c r="AE18" s="47"/>
      <c r="AF18" s="47"/>
      <c r="AG18" s="47"/>
      <c r="AH18" s="47"/>
      <c r="AI18" s="47"/>
      <c r="AJ18" s="47"/>
      <c r="AK18" s="47"/>
      <c r="AL18" s="47"/>
      <c r="AM18" s="47"/>
      <c r="AN18" s="47"/>
      <c r="AO18" s="47"/>
      <c r="AP18" s="47"/>
      <c r="AQ18" s="47"/>
      <c r="AR18" s="47"/>
      <c r="AS18" s="47"/>
      <c r="AT18" s="47"/>
      <c r="AU18" s="47"/>
      <c r="AV18" s="47"/>
      <c r="AW18" s="47"/>
      <c r="AX18" s="47"/>
      <c r="AY18" s="47"/>
      <c r="AZ18" s="47"/>
      <c r="BA18" s="47"/>
      <c r="BB18" s="47"/>
      <c r="BC18" s="47"/>
      <c r="BD18" s="47"/>
      <c r="BE18" s="47"/>
      <c r="BF18" s="47"/>
      <c r="BG18" s="47"/>
      <c r="BH18" s="47"/>
      <c r="BI18" s="47"/>
      <c r="BJ18" s="47"/>
      <c r="BK18" s="47"/>
      <c r="BL18" s="47"/>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47"/>
      <c r="CR18" s="47"/>
      <c r="CS18" s="47"/>
      <c r="CT18" s="47"/>
      <c r="CU18" s="47"/>
      <c r="CV18" s="47"/>
      <c r="CW18" s="47"/>
      <c r="CX18" s="47"/>
      <c r="CY18" s="47"/>
      <c r="CZ18" s="47"/>
      <c r="DA18" s="47"/>
      <c r="DB18" s="47"/>
      <c r="DC18" s="47"/>
      <c r="DD18" s="47"/>
      <c r="DE18" s="47"/>
      <c r="DF18" s="47"/>
      <c r="DG18" s="47"/>
      <c r="DH18" s="47"/>
      <c r="DI18" s="47"/>
      <c r="DJ18" s="47"/>
      <c r="DK18" s="47"/>
      <c r="DL18" s="47"/>
      <c r="DM18" s="47"/>
      <c r="DN18" s="47"/>
      <c r="DO18" s="47"/>
      <c r="DP18" s="47"/>
      <c r="DQ18" s="47"/>
      <c r="DR18" s="47"/>
      <c r="DS18" s="47"/>
      <c r="DT18" s="47"/>
      <c r="DU18" s="47"/>
      <c r="DV18" s="47"/>
      <c r="DW18" s="47"/>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47"/>
      <c r="FB18" s="47"/>
      <c r="FC18" s="47"/>
      <c r="FD18" s="47"/>
      <c r="FE18" s="47"/>
      <c r="FF18" s="47"/>
      <c r="FG18" s="47"/>
      <c r="FH18" s="47"/>
      <c r="FI18" s="47"/>
      <c r="FJ18" s="47"/>
      <c r="FK18" s="47"/>
      <c r="FL18" s="47"/>
      <c r="FM18" s="47"/>
      <c r="FN18" s="47"/>
      <c r="FO18" s="47"/>
      <c r="FP18" s="47"/>
      <c r="FQ18" s="47"/>
      <c r="FR18" s="47"/>
      <c r="FS18" s="47"/>
      <c r="FT18" s="47"/>
      <c r="FU18" s="47"/>
      <c r="FV18" s="47"/>
      <c r="FW18" s="47"/>
      <c r="FX18" s="47"/>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HZ18" s="47"/>
      <c r="IA18" s="47"/>
      <c r="IB18" s="47"/>
      <c r="IC18" s="47"/>
      <c r="ID18" s="47"/>
      <c r="IE18" s="47"/>
      <c r="IF18" s="47"/>
      <c r="IG18" s="47"/>
      <c r="IH18" s="47"/>
      <c r="II18" s="47"/>
      <c r="IJ18" s="47"/>
      <c r="IK18" s="47"/>
      <c r="IL18" s="47"/>
      <c r="IM18" s="47"/>
      <c r="IN18" s="47"/>
      <c r="IO18" s="47"/>
      <c r="IP18" s="47"/>
      <c r="IQ18" s="47"/>
      <c r="IR18" s="47"/>
      <c r="IS18" s="47"/>
      <c r="IT18" s="47"/>
      <c r="IU18" s="47"/>
      <c r="IV18" s="47"/>
      <c r="IW18" s="47"/>
      <c r="IX18" s="47"/>
      <c r="IY18" s="47"/>
      <c r="IZ18" s="47"/>
      <c r="JA18" s="47"/>
      <c r="JB18" s="47"/>
      <c r="JC18" s="47"/>
      <c r="JD18" s="47"/>
      <c r="JE18" s="47"/>
      <c r="JF18" s="47"/>
      <c r="JG18" s="47"/>
      <c r="JH18" s="47"/>
      <c r="JI18" s="47"/>
      <c r="JJ18" s="47"/>
      <c r="JK18" s="47"/>
      <c r="JL18" s="47"/>
      <c r="JM18" s="47"/>
      <c r="JN18" s="47"/>
      <c r="JO18" s="47"/>
      <c r="JP18" s="47"/>
      <c r="JQ18" s="47"/>
      <c r="JR18" s="47"/>
      <c r="JS18" s="47"/>
      <c r="JT18" s="47"/>
      <c r="JU18" s="47"/>
      <c r="JV18" s="47"/>
      <c r="JW18" s="47"/>
      <c r="JX18" s="47"/>
      <c r="JY18" s="47"/>
      <c r="JZ18" s="47"/>
      <c r="KA18" s="47"/>
      <c r="KB18" s="47"/>
      <c r="KC18" s="47"/>
      <c r="KD18" s="47"/>
      <c r="KE18" s="47"/>
      <c r="KF18" s="47"/>
      <c r="KG18" s="47"/>
      <c r="KH18" s="47"/>
      <c r="KI18" s="47"/>
      <c r="KJ18" s="47"/>
      <c r="KK18" s="47"/>
      <c r="KL18" s="47"/>
      <c r="KM18" s="47"/>
      <c r="KN18" s="47"/>
      <c r="KO18" s="47"/>
      <c r="KP18" s="47"/>
      <c r="KQ18" s="47"/>
      <c r="KR18" s="47"/>
      <c r="KS18" s="47"/>
      <c r="KT18" s="47"/>
      <c r="KU18" s="47"/>
      <c r="KV18" s="47"/>
      <c r="KW18" s="47"/>
      <c r="KX18" s="47"/>
      <c r="KY18" s="47"/>
      <c r="KZ18" s="47"/>
      <c r="LA18" s="47"/>
      <c r="LB18" s="47"/>
      <c r="LC18" s="47"/>
      <c r="LD18" s="47"/>
      <c r="LE18" s="47"/>
      <c r="LF18" s="47"/>
      <c r="LG18" s="47"/>
      <c r="LH18" s="47"/>
      <c r="LI18" s="47"/>
      <c r="LJ18" s="47"/>
      <c r="LK18" s="47"/>
      <c r="LL18" s="47"/>
      <c r="LM18" s="47"/>
      <c r="LN18" s="47"/>
      <c r="LO18" s="47"/>
      <c r="LP18" s="47"/>
      <c r="LQ18" s="47"/>
      <c r="LR18" s="47"/>
      <c r="LS18" s="47"/>
      <c r="LT18" s="47"/>
      <c r="LU18" s="47"/>
      <c r="LV18" s="47"/>
      <c r="LW18" s="47"/>
      <c r="LX18" s="47"/>
      <c r="LY18" s="47"/>
      <c r="LZ18" s="47"/>
      <c r="MA18" s="47"/>
      <c r="MB18" s="47"/>
      <c r="MC18" s="47"/>
      <c r="MD18" s="47"/>
      <c r="ME18" s="47"/>
      <c r="MF18" s="47"/>
      <c r="MG18" s="47"/>
      <c r="MH18" s="47"/>
      <c r="MI18" s="47"/>
      <c r="MJ18" s="47"/>
      <c r="MK18" s="47"/>
      <c r="ML18" s="47"/>
      <c r="MM18" s="47"/>
      <c r="MN18" s="47"/>
      <c r="MO18" s="47"/>
      <c r="MP18" s="47"/>
      <c r="MQ18" s="47"/>
      <c r="MR18" s="47"/>
      <c r="MS18" s="47"/>
      <c r="MT18" s="47"/>
      <c r="MU18" s="47"/>
      <c r="MV18" s="47"/>
      <c r="MW18" s="47"/>
      <c r="MX18" s="47"/>
      <c r="MY18" s="47"/>
      <c r="MZ18" s="47"/>
      <c r="NA18" s="47"/>
      <c r="NB18" s="47"/>
      <c r="NC18" s="47"/>
      <c r="ND18" s="47"/>
      <c r="NE18" s="47"/>
      <c r="NF18" s="47"/>
      <c r="NG18" s="47"/>
      <c r="NH18" s="47"/>
      <c r="NI18" s="47"/>
      <c r="NJ18" s="47"/>
      <c r="NK18" s="47"/>
      <c r="NL18" s="47"/>
      <c r="NM18" s="47"/>
      <c r="NN18" s="47"/>
      <c r="NO18" s="47"/>
      <c r="NP18" s="47"/>
      <c r="NQ18" s="47"/>
      <c r="NR18" s="47"/>
      <c r="NS18" s="47"/>
      <c r="NT18" s="47"/>
      <c r="NU18" s="47"/>
      <c r="NV18" s="47"/>
      <c r="NW18" s="47"/>
      <c r="NX18" s="47"/>
      <c r="NY18" s="47"/>
      <c r="NZ18" s="47"/>
      <c r="OA18" s="47"/>
      <c r="OB18" s="47"/>
      <c r="OC18" s="47"/>
      <c r="OD18" s="47"/>
      <c r="OE18" s="48"/>
    </row>
    <row r="19" spans="1:395">
      <c r="A19" s="33" t="str">
        <f t="shared" si="15"/>
        <v/>
      </c>
      <c r="C19" s="2" t="str">
        <f>IF(ISBLANK($B19),"",_xlfn.XLOOKUP($B19,Task_No,Project!$C$3:$C$144,"INVALID TASK"))</f>
        <v/>
      </c>
      <c r="D19" s="27"/>
      <c r="E19" s="7" t="str">
        <f t="shared" si="17"/>
        <v/>
      </c>
      <c r="F19" s="7" t="str">
        <f t="shared" si="18"/>
        <v/>
      </c>
      <c r="G19" s="34"/>
      <c r="H19" s="34" t="str" cm="1">
        <f t="array" ref="H19">IF($C19="","",SUMPRODUCT((TEXT($AE$5:$OE$5, "mmm")=LOWER(G$3))*$AE19:$OE19))</f>
        <v/>
      </c>
      <c r="I19" s="34"/>
      <c r="J19" s="34" t="str" cm="1">
        <f t="array" ref="J19">IF($C19="","",SUMPRODUCT((TEXT($AE$5:$OE$5, "mmm")=LOWER(I$3))*$AE19:$OE19))</f>
        <v/>
      </c>
      <c r="K19" s="34"/>
      <c r="L19" s="34" t="str" cm="1">
        <f t="array" ref="L19">IF($C19="","",SUMPRODUCT((TEXT($AE$5:$OE$5, "mmm")=LOWER(K$3))*$AE19:$OE19))</f>
        <v/>
      </c>
      <c r="M19" s="34"/>
      <c r="N19" s="34" t="str" cm="1">
        <f t="array" ref="N19">IF($C19="","",SUMPRODUCT((TEXT($AE$5:$OE$5, "mmm")=LOWER(M$3))*$AE19:$OE19))</f>
        <v/>
      </c>
      <c r="O19" s="34"/>
      <c r="P19" s="34" t="str" cm="1">
        <f t="array" ref="P19">IF($C19="","",SUMPRODUCT((TEXT($AE$5:$OE$5, "mmm")=LOWER(O$3))*$AE19:$OE19))</f>
        <v/>
      </c>
      <c r="Q19" s="34"/>
      <c r="R19" s="34" t="str" cm="1">
        <f t="array" ref="R19">IF($C19="","",SUMPRODUCT((TEXT($AE$5:$OE$5, "mmm")=LOWER(Q$3))*$AE19:$OE19))</f>
        <v/>
      </c>
      <c r="S19" s="34"/>
      <c r="T19" s="34" t="str" cm="1">
        <f t="array" ref="T19">IF($C19="","",SUMPRODUCT((TEXT($AE$5:$OE$5, "mmm")=LOWER(S$3))*$AE19:$OE19))</f>
        <v/>
      </c>
      <c r="U19" s="34"/>
      <c r="V19" s="34" t="str" cm="1">
        <f t="array" ref="V19">IF($C19="","",SUMPRODUCT((TEXT($AE$5:$OE$5, "mmm")=LOWER(U$3))*$AE19:$OE19))</f>
        <v/>
      </c>
      <c r="W19" s="34"/>
      <c r="X19" s="34" t="str" cm="1">
        <f t="array" ref="X19">IF($C19="","",SUMPRODUCT((TEXT($AE$5:$OE$5, "mmm")=LOWER(W$3))*$AE19:$OE19))</f>
        <v/>
      </c>
      <c r="Y19" s="34"/>
      <c r="Z19" s="34" t="str" cm="1">
        <f t="array" ref="Z19">IF($C19="","",SUMPRODUCT((TEXT($AE$5:$OE$5, "mmm")=LOWER(Y$3))*$AE19:$OE19))</f>
        <v/>
      </c>
      <c r="AA19" s="34"/>
      <c r="AB19" s="34" t="str" cm="1">
        <f t="array" ref="AB19">IF($C19="","",SUMPRODUCT((TEXT($AE$5:$OE$5, "mmm")=LOWER(AA$3))*$AE19:$OE19))</f>
        <v/>
      </c>
      <c r="AC19" s="34"/>
      <c r="AD19" s="34" t="str" cm="1">
        <f t="array" ref="AD19">IF($C19="","",SUMPRODUCT((TEXT($AE$5:$OE$5, "mmm")=LOWER(AC$3))*$AE19:$OE19))</f>
        <v/>
      </c>
      <c r="AE19" s="47"/>
      <c r="AF19" s="47"/>
      <c r="AG19" s="47"/>
      <c r="AH19" s="47"/>
      <c r="AI19" s="47"/>
      <c r="AJ19" s="47"/>
      <c r="AK19" s="47"/>
      <c r="AL19" s="47"/>
      <c r="AM19" s="47"/>
      <c r="AN19" s="47"/>
      <c r="AO19" s="47"/>
      <c r="AP19" s="47"/>
      <c r="AQ19" s="47"/>
      <c r="AR19" s="47"/>
      <c r="AS19" s="47"/>
      <c r="AT19" s="47"/>
      <c r="AU19" s="47"/>
      <c r="AV19" s="47"/>
      <c r="AW19" s="47"/>
      <c r="AX19" s="47"/>
      <c r="AY19" s="47"/>
      <c r="AZ19" s="47"/>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47"/>
      <c r="CR19" s="47"/>
      <c r="CS19" s="47"/>
      <c r="CT19" s="47"/>
      <c r="CU19" s="47"/>
      <c r="CV19" s="47"/>
      <c r="CW19" s="47"/>
      <c r="CX19" s="47"/>
      <c r="CY19" s="47"/>
      <c r="CZ19" s="47"/>
      <c r="DA19" s="47"/>
      <c r="DB19" s="47"/>
      <c r="DC19" s="47"/>
      <c r="DD19" s="47"/>
      <c r="DE19" s="47"/>
      <c r="DF19" s="47"/>
      <c r="DG19" s="47"/>
      <c r="DH19" s="47"/>
      <c r="DI19" s="47"/>
      <c r="DJ19" s="47"/>
      <c r="DK19" s="47"/>
      <c r="DL19" s="47"/>
      <c r="DM19" s="47"/>
      <c r="DN19" s="47"/>
      <c r="DO19" s="47"/>
      <c r="DP19" s="47"/>
      <c r="DQ19" s="47"/>
      <c r="DR19" s="47"/>
      <c r="DS19" s="47"/>
      <c r="DT19" s="47"/>
      <c r="DU19" s="47"/>
      <c r="DV19" s="47"/>
      <c r="DW19" s="47"/>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47"/>
      <c r="FB19" s="47"/>
      <c r="FC19" s="47"/>
      <c r="FD19" s="47"/>
      <c r="FE19" s="47"/>
      <c r="FF19" s="47"/>
      <c r="FG19" s="47"/>
      <c r="FH19" s="47"/>
      <c r="FI19" s="47"/>
      <c r="FJ19" s="47"/>
      <c r="FK19" s="47"/>
      <c r="FL19" s="47"/>
      <c r="FM19" s="47"/>
      <c r="FN19" s="47"/>
      <c r="FO19" s="47"/>
      <c r="FP19" s="47"/>
      <c r="FQ19" s="47"/>
      <c r="FR19" s="47"/>
      <c r="FS19" s="47"/>
      <c r="FT19" s="47"/>
      <c r="FU19" s="47"/>
      <c r="FV19" s="47"/>
      <c r="FW19" s="47"/>
      <c r="FX19" s="47"/>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HZ19" s="47"/>
      <c r="IA19" s="47"/>
      <c r="IB19" s="47"/>
      <c r="IC19" s="47"/>
      <c r="ID19" s="47"/>
      <c r="IE19" s="47"/>
      <c r="IF19" s="47"/>
      <c r="IG19" s="47"/>
      <c r="IH19" s="47"/>
      <c r="II19" s="47"/>
      <c r="IJ19" s="47"/>
      <c r="IK19" s="47"/>
      <c r="IL19" s="47"/>
      <c r="IM19" s="47"/>
      <c r="IN19" s="47"/>
      <c r="IO19" s="47"/>
      <c r="IP19" s="47"/>
      <c r="IQ19" s="47"/>
      <c r="IR19" s="47"/>
      <c r="IS19" s="47"/>
      <c r="IT19" s="47"/>
      <c r="IU19" s="47"/>
      <c r="IV19" s="47"/>
      <c r="IW19" s="47"/>
      <c r="IX19" s="47"/>
      <c r="IY19" s="47"/>
      <c r="IZ19" s="47"/>
      <c r="JA19" s="47"/>
      <c r="JB19" s="47"/>
      <c r="JC19" s="47"/>
      <c r="JD19" s="47"/>
      <c r="JE19" s="47"/>
      <c r="JF19" s="47"/>
      <c r="JG19" s="47"/>
      <c r="JH19" s="47"/>
      <c r="JI19" s="47"/>
      <c r="JJ19" s="47"/>
      <c r="JK19" s="47"/>
      <c r="JL19" s="47"/>
      <c r="JM19" s="47"/>
      <c r="JN19" s="47"/>
      <c r="JO19" s="47"/>
      <c r="JP19" s="47"/>
      <c r="JQ19" s="47"/>
      <c r="JR19" s="47"/>
      <c r="JS19" s="47"/>
      <c r="JT19" s="47"/>
      <c r="JU19" s="47"/>
      <c r="JV19" s="47"/>
      <c r="JW19" s="47"/>
      <c r="JX19" s="47"/>
      <c r="JY19" s="47"/>
      <c r="JZ19" s="47"/>
      <c r="KA19" s="47"/>
      <c r="KB19" s="47"/>
      <c r="KC19" s="47"/>
      <c r="KD19" s="47"/>
      <c r="KE19" s="47"/>
      <c r="KF19" s="47"/>
      <c r="KG19" s="47"/>
      <c r="KH19" s="47"/>
      <c r="KI19" s="47"/>
      <c r="KJ19" s="47"/>
      <c r="KK19" s="47"/>
      <c r="KL19" s="47"/>
      <c r="KM19" s="47"/>
      <c r="KN19" s="47"/>
      <c r="KO19" s="47"/>
      <c r="KP19" s="47"/>
      <c r="KQ19" s="47"/>
      <c r="KR19" s="47"/>
      <c r="KS19" s="47"/>
      <c r="KT19" s="47"/>
      <c r="KU19" s="47"/>
      <c r="KV19" s="47"/>
      <c r="KW19" s="47"/>
      <c r="KX19" s="47"/>
      <c r="KY19" s="47"/>
      <c r="KZ19" s="47"/>
      <c r="LA19" s="47"/>
      <c r="LB19" s="47"/>
      <c r="LC19" s="47"/>
      <c r="LD19" s="47"/>
      <c r="LE19" s="47"/>
      <c r="LF19" s="47"/>
      <c r="LG19" s="47"/>
      <c r="LH19" s="47"/>
      <c r="LI19" s="47"/>
      <c r="LJ19" s="47"/>
      <c r="LK19" s="47"/>
      <c r="LL19" s="47"/>
      <c r="LM19" s="47"/>
      <c r="LN19" s="47"/>
      <c r="LO19" s="47"/>
      <c r="LP19" s="47"/>
      <c r="LQ19" s="47"/>
      <c r="LR19" s="47"/>
      <c r="LS19" s="47"/>
      <c r="LT19" s="47"/>
      <c r="LU19" s="47"/>
      <c r="LV19" s="47"/>
      <c r="LW19" s="47"/>
      <c r="LX19" s="47"/>
      <c r="LY19" s="47"/>
      <c r="LZ19" s="47"/>
      <c r="MA19" s="47"/>
      <c r="MB19" s="47"/>
      <c r="MC19" s="47"/>
      <c r="MD19" s="47"/>
      <c r="ME19" s="47"/>
      <c r="MF19" s="47"/>
      <c r="MG19" s="47"/>
      <c r="MH19" s="47"/>
      <c r="MI19" s="47"/>
      <c r="MJ19" s="47"/>
      <c r="MK19" s="47"/>
      <c r="ML19" s="47"/>
      <c r="MM19" s="47"/>
      <c r="MN19" s="47"/>
      <c r="MO19" s="47"/>
      <c r="MP19" s="47"/>
      <c r="MQ19" s="47"/>
      <c r="MR19" s="47"/>
      <c r="MS19" s="47"/>
      <c r="MT19" s="47"/>
      <c r="MU19" s="47"/>
      <c r="MV19" s="47"/>
      <c r="MW19" s="47"/>
      <c r="MX19" s="47"/>
      <c r="MY19" s="47"/>
      <c r="MZ19" s="47"/>
      <c r="NA19" s="47"/>
      <c r="NB19" s="47"/>
      <c r="NC19" s="47"/>
      <c r="ND19" s="47"/>
      <c r="NE19" s="47"/>
      <c r="NF19" s="47"/>
      <c r="NG19" s="47"/>
      <c r="NH19" s="47"/>
      <c r="NI19" s="47"/>
      <c r="NJ19" s="47"/>
      <c r="NK19" s="47"/>
      <c r="NL19" s="47"/>
      <c r="NM19" s="47"/>
      <c r="NN19" s="47"/>
      <c r="NO19" s="47"/>
      <c r="NP19" s="47"/>
      <c r="NQ19" s="47"/>
      <c r="NR19" s="47"/>
      <c r="NS19" s="47"/>
      <c r="NT19" s="47"/>
      <c r="NU19" s="47"/>
      <c r="NV19" s="47"/>
      <c r="NW19" s="47"/>
      <c r="NX19" s="47"/>
      <c r="NY19" s="47"/>
      <c r="NZ19" s="47"/>
      <c r="OA19" s="47"/>
      <c r="OB19" s="47"/>
      <c r="OC19" s="47"/>
      <c r="OD19" s="47"/>
      <c r="OE19" s="48"/>
    </row>
    <row r="20" spans="1:395">
      <c r="A20" s="33" t="str">
        <f t="shared" si="15"/>
        <v/>
      </c>
      <c r="C20" s="2" t="str">
        <f>IF(ISBLANK($B20),"",_xlfn.XLOOKUP($B20,Task_No,Project!$C$3:$C$144,"INVALID TASK"))</f>
        <v/>
      </c>
      <c r="D20" s="27"/>
      <c r="E20" s="7" t="str">
        <f t="shared" si="17"/>
        <v/>
      </c>
      <c r="F20" s="7" t="str">
        <f t="shared" si="18"/>
        <v/>
      </c>
      <c r="G20" s="34"/>
      <c r="H20" s="34" t="str" cm="1">
        <f t="array" ref="H20">IF($C20="","",SUMPRODUCT((TEXT($AE$5:$OE$5, "mmm")=LOWER(G$3))*$AE20:$OE20))</f>
        <v/>
      </c>
      <c r="I20" s="34"/>
      <c r="J20" s="34" t="str" cm="1">
        <f t="array" ref="J20">IF($C20="","",SUMPRODUCT((TEXT($AE$5:$OE$5, "mmm")=LOWER(I$3))*$AE20:$OE20))</f>
        <v/>
      </c>
      <c r="K20" s="34"/>
      <c r="L20" s="34" t="str" cm="1">
        <f t="array" ref="L20">IF($C20="","",SUMPRODUCT((TEXT($AE$5:$OE$5, "mmm")=LOWER(K$3))*$AE20:$OE20))</f>
        <v/>
      </c>
      <c r="M20" s="34"/>
      <c r="N20" s="34" t="str" cm="1">
        <f t="array" ref="N20">IF($C20="","",SUMPRODUCT((TEXT($AE$5:$OE$5, "mmm")=LOWER(M$3))*$AE20:$OE20))</f>
        <v/>
      </c>
      <c r="O20" s="34"/>
      <c r="P20" s="34" t="str" cm="1">
        <f t="array" ref="P20">IF($C20="","",SUMPRODUCT((TEXT($AE$5:$OE$5, "mmm")=LOWER(O$3))*$AE20:$OE20))</f>
        <v/>
      </c>
      <c r="Q20" s="34"/>
      <c r="R20" s="34" t="str" cm="1">
        <f t="array" ref="R20">IF($C20="","",SUMPRODUCT((TEXT($AE$5:$OE$5, "mmm")=LOWER(Q$3))*$AE20:$OE20))</f>
        <v/>
      </c>
      <c r="S20" s="34"/>
      <c r="T20" s="34" t="str" cm="1">
        <f t="array" ref="T20">IF($C20="","",SUMPRODUCT((TEXT($AE$5:$OE$5, "mmm")=LOWER(S$3))*$AE20:$OE20))</f>
        <v/>
      </c>
      <c r="U20" s="34"/>
      <c r="V20" s="34" t="str" cm="1">
        <f t="array" ref="V20">IF($C20="","",SUMPRODUCT((TEXT($AE$5:$OE$5, "mmm")=LOWER(U$3))*$AE20:$OE20))</f>
        <v/>
      </c>
      <c r="W20" s="34"/>
      <c r="X20" s="34" t="str" cm="1">
        <f t="array" ref="X20">IF($C20="","",SUMPRODUCT((TEXT($AE$5:$OE$5, "mmm")=LOWER(W$3))*$AE20:$OE20))</f>
        <v/>
      </c>
      <c r="Y20" s="34"/>
      <c r="Z20" s="34" t="str" cm="1">
        <f t="array" ref="Z20">IF($C20="","",SUMPRODUCT((TEXT($AE$5:$OE$5, "mmm")=LOWER(Y$3))*$AE20:$OE20))</f>
        <v/>
      </c>
      <c r="AA20" s="34"/>
      <c r="AB20" s="34" t="str" cm="1">
        <f t="array" ref="AB20">IF($C20="","",SUMPRODUCT((TEXT($AE$5:$OE$5, "mmm")=LOWER(AA$3))*$AE20:$OE20))</f>
        <v/>
      </c>
      <c r="AC20" s="34"/>
      <c r="AD20" s="34" t="str" cm="1">
        <f t="array" ref="AD20">IF($C20="","",SUMPRODUCT((TEXT($AE$5:$OE$5, "mmm")=LOWER(AC$3))*$AE20:$OE20))</f>
        <v/>
      </c>
      <c r="AE20" s="47"/>
      <c r="AF20" s="47"/>
      <c r="AG20" s="47"/>
      <c r="AH20" s="47"/>
      <c r="AI20" s="47"/>
      <c r="AJ20" s="47"/>
      <c r="AK20" s="47"/>
      <c r="AL20" s="47"/>
      <c r="AM20" s="47"/>
      <c r="AN20" s="47"/>
      <c r="AO20" s="47"/>
      <c r="AP20" s="47"/>
      <c r="AQ20" s="47"/>
      <c r="AR20" s="47"/>
      <c r="AS20" s="47"/>
      <c r="AT20" s="47"/>
      <c r="AU20" s="47"/>
      <c r="AV20" s="47"/>
      <c r="AW20" s="47"/>
      <c r="AX20" s="47"/>
      <c r="AY20" s="47"/>
      <c r="AZ20" s="47"/>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47"/>
      <c r="CR20" s="47"/>
      <c r="CS20" s="47"/>
      <c r="CT20" s="47"/>
      <c r="CU20" s="47"/>
      <c r="CV20" s="47"/>
      <c r="CW20" s="47"/>
      <c r="CX20" s="47"/>
      <c r="CY20" s="47"/>
      <c r="CZ20" s="47"/>
      <c r="DA20" s="47"/>
      <c r="DB20" s="47"/>
      <c r="DC20" s="47"/>
      <c r="DD20" s="47"/>
      <c r="DE20" s="47"/>
      <c r="DF20" s="47"/>
      <c r="DG20" s="47"/>
      <c r="DH20" s="47"/>
      <c r="DI20" s="47"/>
      <c r="DJ20" s="47"/>
      <c r="DK20" s="47"/>
      <c r="DL20" s="47"/>
      <c r="DM20" s="47"/>
      <c r="DN20" s="47"/>
      <c r="DO20" s="47"/>
      <c r="DP20" s="47"/>
      <c r="DQ20" s="47"/>
      <c r="DR20" s="47"/>
      <c r="DS20" s="47"/>
      <c r="DT20" s="47"/>
      <c r="DU20" s="47"/>
      <c r="DV20" s="47"/>
      <c r="DW20" s="47"/>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47"/>
      <c r="FB20" s="47"/>
      <c r="FC20" s="47"/>
      <c r="FD20" s="47"/>
      <c r="FE20" s="47"/>
      <c r="FF20" s="47"/>
      <c r="FG20" s="47"/>
      <c r="FH20" s="47"/>
      <c r="FI20" s="47"/>
      <c r="FJ20" s="47"/>
      <c r="FK20" s="47"/>
      <c r="FL20" s="47"/>
      <c r="FM20" s="47"/>
      <c r="FN20" s="47"/>
      <c r="FO20" s="47"/>
      <c r="FP20" s="47"/>
      <c r="FQ20" s="47"/>
      <c r="FR20" s="47"/>
      <c r="FS20" s="47"/>
      <c r="FT20" s="47"/>
      <c r="FU20" s="47"/>
      <c r="FV20" s="47"/>
      <c r="FW20" s="47"/>
      <c r="FX20" s="47"/>
      <c r="FY20" s="47"/>
      <c r="FZ20" s="47"/>
      <c r="GA20" s="47"/>
      <c r="GB20" s="47"/>
      <c r="GC20" s="47"/>
      <c r="GD20" s="47"/>
      <c r="GE20" s="47"/>
      <c r="GF20" s="47"/>
      <c r="GG20" s="47"/>
      <c r="GH20" s="47"/>
      <c r="GI20" s="47"/>
      <c r="GJ20" s="47"/>
      <c r="GK20" s="47"/>
      <c r="GL20" s="47"/>
      <c r="GM20" s="47"/>
      <c r="GN20" s="47"/>
      <c r="GO20" s="47"/>
      <c r="GP20" s="47"/>
      <c r="GQ20" s="47"/>
      <c r="GR20" s="47"/>
      <c r="GS20" s="47"/>
      <c r="GT20" s="47"/>
      <c r="GU20" s="47"/>
      <c r="GV20" s="47"/>
      <c r="GW20" s="47"/>
      <c r="GX20" s="47"/>
      <c r="GY20" s="47"/>
      <c r="GZ20" s="47"/>
      <c r="HA20" s="47"/>
      <c r="HB20" s="47"/>
      <c r="HC20" s="47"/>
      <c r="HD20" s="47"/>
      <c r="HE20" s="47"/>
      <c r="HF20" s="47"/>
      <c r="HG20" s="47"/>
      <c r="HH20" s="47"/>
      <c r="HI20" s="47"/>
      <c r="HJ20" s="47"/>
      <c r="HK20" s="47"/>
      <c r="HL20" s="47"/>
      <c r="HM20" s="47"/>
      <c r="HN20" s="47"/>
      <c r="HO20" s="47"/>
      <c r="HP20" s="47"/>
      <c r="HQ20" s="47"/>
      <c r="HR20" s="47"/>
      <c r="HS20" s="47"/>
      <c r="HT20" s="47"/>
      <c r="HU20" s="47"/>
      <c r="HV20" s="47"/>
      <c r="HW20" s="47"/>
      <c r="HX20" s="47"/>
      <c r="HY20" s="47"/>
      <c r="HZ20" s="47"/>
      <c r="IA20" s="47"/>
      <c r="IB20" s="47"/>
      <c r="IC20" s="47"/>
      <c r="ID20" s="47"/>
      <c r="IE20" s="47"/>
      <c r="IF20" s="47"/>
      <c r="IG20" s="47"/>
      <c r="IH20" s="47"/>
      <c r="II20" s="47"/>
      <c r="IJ20" s="47"/>
      <c r="IK20" s="47"/>
      <c r="IL20" s="47"/>
      <c r="IM20" s="47"/>
      <c r="IN20" s="47"/>
      <c r="IO20" s="47"/>
      <c r="IP20" s="47"/>
      <c r="IQ20" s="47"/>
      <c r="IR20" s="47"/>
      <c r="IS20" s="47"/>
      <c r="IT20" s="47"/>
      <c r="IU20" s="47"/>
      <c r="IV20" s="47"/>
      <c r="IW20" s="47"/>
      <c r="IX20" s="47"/>
      <c r="IY20" s="47"/>
      <c r="IZ20" s="47"/>
      <c r="JA20" s="47"/>
      <c r="JB20" s="47"/>
      <c r="JC20" s="47"/>
      <c r="JD20" s="47"/>
      <c r="JE20" s="47"/>
      <c r="JF20" s="47"/>
      <c r="JG20" s="47"/>
      <c r="JH20" s="47"/>
      <c r="JI20" s="47"/>
      <c r="JJ20" s="47"/>
      <c r="JK20" s="47"/>
      <c r="JL20" s="47"/>
      <c r="JM20" s="47"/>
      <c r="JN20" s="47"/>
      <c r="JO20" s="47"/>
      <c r="JP20" s="47"/>
      <c r="JQ20" s="47"/>
      <c r="JR20" s="47"/>
      <c r="JS20" s="47"/>
      <c r="JT20" s="47"/>
      <c r="JU20" s="47"/>
      <c r="JV20" s="47"/>
      <c r="JW20" s="47"/>
      <c r="JX20" s="47"/>
      <c r="JY20" s="47"/>
      <c r="JZ20" s="47"/>
      <c r="KA20" s="47"/>
      <c r="KB20" s="47"/>
      <c r="KC20" s="47"/>
      <c r="KD20" s="47"/>
      <c r="KE20" s="47"/>
      <c r="KF20" s="47"/>
      <c r="KG20" s="47"/>
      <c r="KH20" s="47"/>
      <c r="KI20" s="47"/>
      <c r="KJ20" s="47"/>
      <c r="KK20" s="47"/>
      <c r="KL20" s="47"/>
      <c r="KM20" s="47"/>
      <c r="KN20" s="47"/>
      <c r="KO20" s="47"/>
      <c r="KP20" s="47"/>
      <c r="KQ20" s="47"/>
      <c r="KR20" s="47"/>
      <c r="KS20" s="47"/>
      <c r="KT20" s="47"/>
      <c r="KU20" s="47"/>
      <c r="KV20" s="47"/>
      <c r="KW20" s="47"/>
      <c r="KX20" s="47"/>
      <c r="KY20" s="47"/>
      <c r="KZ20" s="47"/>
      <c r="LA20" s="47"/>
      <c r="LB20" s="47"/>
      <c r="LC20" s="47"/>
      <c r="LD20" s="47"/>
      <c r="LE20" s="47"/>
      <c r="LF20" s="47"/>
      <c r="LG20" s="47"/>
      <c r="LH20" s="47"/>
      <c r="LI20" s="47"/>
      <c r="LJ20" s="47"/>
      <c r="LK20" s="47"/>
      <c r="LL20" s="47"/>
      <c r="LM20" s="47"/>
      <c r="LN20" s="47"/>
      <c r="LO20" s="47"/>
      <c r="LP20" s="47"/>
      <c r="LQ20" s="47"/>
      <c r="LR20" s="47"/>
      <c r="LS20" s="47"/>
      <c r="LT20" s="47"/>
      <c r="LU20" s="47"/>
      <c r="LV20" s="47"/>
      <c r="LW20" s="47"/>
      <c r="LX20" s="47"/>
      <c r="LY20" s="47"/>
      <c r="LZ20" s="47"/>
      <c r="MA20" s="47"/>
      <c r="MB20" s="47"/>
      <c r="MC20" s="47"/>
      <c r="MD20" s="47"/>
      <c r="ME20" s="47"/>
      <c r="MF20" s="47"/>
      <c r="MG20" s="47"/>
      <c r="MH20" s="47"/>
      <c r="MI20" s="47"/>
      <c r="MJ20" s="47"/>
      <c r="MK20" s="47"/>
      <c r="ML20" s="47"/>
      <c r="MM20" s="47"/>
      <c r="MN20" s="47"/>
      <c r="MO20" s="47"/>
      <c r="MP20" s="47"/>
      <c r="MQ20" s="47"/>
      <c r="MR20" s="47"/>
      <c r="MS20" s="47"/>
      <c r="MT20" s="47"/>
      <c r="MU20" s="47"/>
      <c r="MV20" s="47"/>
      <c r="MW20" s="47"/>
      <c r="MX20" s="47"/>
      <c r="MY20" s="47"/>
      <c r="MZ20" s="47"/>
      <c r="NA20" s="47"/>
      <c r="NB20" s="47"/>
      <c r="NC20" s="47"/>
      <c r="ND20" s="47"/>
      <c r="NE20" s="47"/>
      <c r="NF20" s="47"/>
      <c r="NG20" s="47"/>
      <c r="NH20" s="47"/>
      <c r="NI20" s="47"/>
      <c r="NJ20" s="47"/>
      <c r="NK20" s="47"/>
      <c r="NL20" s="47"/>
      <c r="NM20" s="47"/>
      <c r="NN20" s="47"/>
      <c r="NO20" s="47"/>
      <c r="NP20" s="47"/>
      <c r="NQ20" s="47"/>
      <c r="NR20" s="47"/>
      <c r="NS20" s="47"/>
      <c r="NT20" s="47"/>
      <c r="NU20" s="47"/>
      <c r="NV20" s="47"/>
      <c r="NW20" s="47"/>
      <c r="NX20" s="47"/>
      <c r="NY20" s="47"/>
      <c r="NZ20" s="47"/>
      <c r="OA20" s="47"/>
      <c r="OB20" s="47"/>
      <c r="OC20" s="47"/>
      <c r="OD20" s="47"/>
      <c r="OE20" s="48"/>
    </row>
    <row r="21" spans="1:395">
      <c r="A21" s="33" t="str">
        <f t="shared" si="15"/>
        <v/>
      </c>
      <c r="C21" s="2" t="str">
        <f>IF(ISBLANK($B21),"",_xlfn.XLOOKUP($B21,Task_No,Project!$C$3:$C$144,"INVALID TASK"))</f>
        <v/>
      </c>
      <c r="D21" s="27"/>
      <c r="E21" s="7" t="str">
        <f t="shared" si="17"/>
        <v/>
      </c>
      <c r="F21" s="7" t="str">
        <f t="shared" si="18"/>
        <v/>
      </c>
      <c r="G21" s="34"/>
      <c r="H21" s="34" t="str" cm="1">
        <f t="array" ref="H21">IF($C21="","",SUMPRODUCT((TEXT($AE$5:$OE$5, "mmm")=LOWER(G$3))*$AE21:$OE21))</f>
        <v/>
      </c>
      <c r="I21" s="34"/>
      <c r="J21" s="34" t="str" cm="1">
        <f t="array" ref="J21">IF($C21="","",SUMPRODUCT((TEXT($AE$5:$OE$5, "mmm")=LOWER(I$3))*$AE21:$OE21))</f>
        <v/>
      </c>
      <c r="K21" s="34"/>
      <c r="L21" s="34" t="str" cm="1">
        <f t="array" ref="L21">IF($C21="","",SUMPRODUCT((TEXT($AE$5:$OE$5, "mmm")=LOWER(K$3))*$AE21:$OE21))</f>
        <v/>
      </c>
      <c r="M21" s="34"/>
      <c r="N21" s="34" t="str" cm="1">
        <f t="array" ref="N21">IF($C21="","",SUMPRODUCT((TEXT($AE$5:$OE$5, "mmm")=LOWER(M$3))*$AE21:$OE21))</f>
        <v/>
      </c>
      <c r="O21" s="34"/>
      <c r="P21" s="34" t="str" cm="1">
        <f t="array" ref="P21">IF($C21="","",SUMPRODUCT((TEXT($AE$5:$OE$5, "mmm")=LOWER(O$3))*$AE21:$OE21))</f>
        <v/>
      </c>
      <c r="Q21" s="34"/>
      <c r="R21" s="34" t="str" cm="1">
        <f t="array" ref="R21">IF($C21="","",SUMPRODUCT((TEXT($AE$5:$OE$5, "mmm")=LOWER(Q$3))*$AE21:$OE21))</f>
        <v/>
      </c>
      <c r="S21" s="34"/>
      <c r="T21" s="34" t="str" cm="1">
        <f t="array" ref="T21">IF($C21="","",SUMPRODUCT((TEXT($AE$5:$OE$5, "mmm")=LOWER(S$3))*$AE21:$OE21))</f>
        <v/>
      </c>
      <c r="U21" s="34"/>
      <c r="V21" s="34" t="str" cm="1">
        <f t="array" ref="V21">IF($C21="","",SUMPRODUCT((TEXT($AE$5:$OE$5, "mmm")=LOWER(U$3))*$AE21:$OE21))</f>
        <v/>
      </c>
      <c r="W21" s="34"/>
      <c r="X21" s="34" t="str" cm="1">
        <f t="array" ref="X21">IF($C21="","",SUMPRODUCT((TEXT($AE$5:$OE$5, "mmm")=LOWER(W$3))*$AE21:$OE21))</f>
        <v/>
      </c>
      <c r="Y21" s="34"/>
      <c r="Z21" s="34" t="str" cm="1">
        <f t="array" ref="Z21">IF($C21="","",SUMPRODUCT((TEXT($AE$5:$OE$5, "mmm")=LOWER(Y$3))*$AE21:$OE21))</f>
        <v/>
      </c>
      <c r="AA21" s="34"/>
      <c r="AB21" s="34" t="str" cm="1">
        <f t="array" ref="AB21">IF($C21="","",SUMPRODUCT((TEXT($AE$5:$OE$5, "mmm")=LOWER(AA$3))*$AE21:$OE21))</f>
        <v/>
      </c>
      <c r="AC21" s="34"/>
      <c r="AD21" s="34" t="str" cm="1">
        <f t="array" ref="AD21">IF($C21="","",SUMPRODUCT((TEXT($AE$5:$OE$5, "mmm")=LOWER(AC$3))*$AE21:$OE21))</f>
        <v/>
      </c>
      <c r="AE21" s="47"/>
      <c r="AF21" s="47"/>
      <c r="AG21" s="47"/>
      <c r="AH21" s="47"/>
      <c r="AI21" s="47"/>
      <c r="AJ21" s="47"/>
      <c r="AK21" s="47"/>
      <c r="AL21" s="47"/>
      <c r="AM21" s="47"/>
      <c r="AN21" s="47"/>
      <c r="AO21" s="47"/>
      <c r="AP21" s="47"/>
      <c r="AQ21" s="47"/>
      <c r="AR21" s="47"/>
      <c r="AS21" s="47"/>
      <c r="AT21" s="47"/>
      <c r="AU21" s="47"/>
      <c r="AV21" s="47"/>
      <c r="AW21" s="47"/>
      <c r="AX21" s="47"/>
      <c r="AY21" s="47"/>
      <c r="AZ21" s="47"/>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47"/>
      <c r="CR21" s="47"/>
      <c r="CS21" s="47"/>
      <c r="CT21" s="47"/>
      <c r="CU21" s="47"/>
      <c r="CV21" s="47"/>
      <c r="CW21" s="47"/>
      <c r="CX21" s="47"/>
      <c r="CY21" s="47"/>
      <c r="CZ21" s="47"/>
      <c r="DA21" s="47"/>
      <c r="DB21" s="47"/>
      <c r="DC21" s="47"/>
      <c r="DD21" s="47"/>
      <c r="DE21" s="47"/>
      <c r="DF21" s="47"/>
      <c r="DG21" s="47"/>
      <c r="DH21" s="47"/>
      <c r="DI21" s="47"/>
      <c r="DJ21" s="47"/>
      <c r="DK21" s="47"/>
      <c r="DL21" s="47"/>
      <c r="DM21" s="47"/>
      <c r="DN21" s="47"/>
      <c r="DO21" s="47"/>
      <c r="DP21" s="47"/>
      <c r="DQ21" s="47"/>
      <c r="DR21" s="47"/>
      <c r="DS21" s="47"/>
      <c r="DT21" s="47"/>
      <c r="DU21" s="47"/>
      <c r="DV21" s="47"/>
      <c r="DW21" s="47"/>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47"/>
      <c r="FB21" s="47"/>
      <c r="FC21" s="47"/>
      <c r="FD21" s="47"/>
      <c r="FE21" s="47"/>
      <c r="FF21" s="47"/>
      <c r="FG21" s="47"/>
      <c r="FH21" s="47"/>
      <c r="FI21" s="47"/>
      <c r="FJ21" s="47"/>
      <c r="FK21" s="47"/>
      <c r="FL21" s="47"/>
      <c r="FM21" s="47"/>
      <c r="FN21" s="47"/>
      <c r="FO21" s="47"/>
      <c r="FP21" s="47"/>
      <c r="FQ21" s="47"/>
      <c r="FR21" s="47"/>
      <c r="FS21" s="47"/>
      <c r="FT21" s="47"/>
      <c r="FU21" s="47"/>
      <c r="FV21" s="47"/>
      <c r="FW21" s="47"/>
      <c r="FX21" s="47"/>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HZ21" s="47"/>
      <c r="IA21" s="47"/>
      <c r="IB21" s="47"/>
      <c r="IC21" s="47"/>
      <c r="ID21" s="47"/>
      <c r="IE21" s="47"/>
      <c r="IF21" s="47"/>
      <c r="IG21" s="47"/>
      <c r="IH21" s="47"/>
      <c r="II21" s="47"/>
      <c r="IJ21" s="47"/>
      <c r="IK21" s="47"/>
      <c r="IL21" s="47"/>
      <c r="IM21" s="47"/>
      <c r="IN21" s="47"/>
      <c r="IO21" s="47"/>
      <c r="IP21" s="47"/>
      <c r="IQ21" s="47"/>
      <c r="IR21" s="47"/>
      <c r="IS21" s="47"/>
      <c r="IT21" s="47"/>
      <c r="IU21" s="47"/>
      <c r="IV21" s="47"/>
      <c r="IW21" s="47"/>
      <c r="IX21" s="47"/>
      <c r="IY21" s="47"/>
      <c r="IZ21" s="47"/>
      <c r="JA21" s="47"/>
      <c r="JB21" s="47"/>
      <c r="JC21" s="47"/>
      <c r="JD21" s="47"/>
      <c r="JE21" s="47"/>
      <c r="JF21" s="47"/>
      <c r="JG21" s="47"/>
      <c r="JH21" s="47"/>
      <c r="JI21" s="47"/>
      <c r="JJ21" s="47"/>
      <c r="JK21" s="47"/>
      <c r="JL21" s="47"/>
      <c r="JM21" s="47"/>
      <c r="JN21" s="47"/>
      <c r="JO21" s="47"/>
      <c r="JP21" s="47"/>
      <c r="JQ21" s="47"/>
      <c r="JR21" s="47"/>
      <c r="JS21" s="47"/>
      <c r="JT21" s="47"/>
      <c r="JU21" s="47"/>
      <c r="JV21" s="47"/>
      <c r="JW21" s="47"/>
      <c r="JX21" s="47"/>
      <c r="JY21" s="47"/>
      <c r="JZ21" s="47"/>
      <c r="KA21" s="47"/>
      <c r="KB21" s="47"/>
      <c r="KC21" s="47"/>
      <c r="KD21" s="47"/>
      <c r="KE21" s="47"/>
      <c r="KF21" s="47"/>
      <c r="KG21" s="47"/>
      <c r="KH21" s="47"/>
      <c r="KI21" s="47"/>
      <c r="KJ21" s="47"/>
      <c r="KK21" s="47"/>
      <c r="KL21" s="47"/>
      <c r="KM21" s="47"/>
      <c r="KN21" s="47"/>
      <c r="KO21" s="47"/>
      <c r="KP21" s="47"/>
      <c r="KQ21" s="47"/>
      <c r="KR21" s="47"/>
      <c r="KS21" s="47"/>
      <c r="KT21" s="47"/>
      <c r="KU21" s="47"/>
      <c r="KV21" s="47"/>
      <c r="KW21" s="47"/>
      <c r="KX21" s="47"/>
      <c r="KY21" s="47"/>
      <c r="KZ21" s="47"/>
      <c r="LA21" s="47"/>
      <c r="LB21" s="47"/>
      <c r="LC21" s="47"/>
      <c r="LD21" s="47"/>
      <c r="LE21" s="47"/>
      <c r="LF21" s="47"/>
      <c r="LG21" s="47"/>
      <c r="LH21" s="47"/>
      <c r="LI21" s="47"/>
      <c r="LJ21" s="47"/>
      <c r="LK21" s="47"/>
      <c r="LL21" s="47"/>
      <c r="LM21" s="47"/>
      <c r="LN21" s="47"/>
      <c r="LO21" s="47"/>
      <c r="LP21" s="47"/>
      <c r="LQ21" s="47"/>
      <c r="LR21" s="47"/>
      <c r="LS21" s="47"/>
      <c r="LT21" s="47"/>
      <c r="LU21" s="47"/>
      <c r="LV21" s="47"/>
      <c r="LW21" s="47"/>
      <c r="LX21" s="47"/>
      <c r="LY21" s="47"/>
      <c r="LZ21" s="47"/>
      <c r="MA21" s="47"/>
      <c r="MB21" s="47"/>
      <c r="MC21" s="47"/>
      <c r="MD21" s="47"/>
      <c r="ME21" s="47"/>
      <c r="MF21" s="47"/>
      <c r="MG21" s="47"/>
      <c r="MH21" s="47"/>
      <c r="MI21" s="47"/>
      <c r="MJ21" s="47"/>
      <c r="MK21" s="47"/>
      <c r="ML21" s="47"/>
      <c r="MM21" s="47"/>
      <c r="MN21" s="47"/>
      <c r="MO21" s="47"/>
      <c r="MP21" s="47"/>
      <c r="MQ21" s="47"/>
      <c r="MR21" s="47"/>
      <c r="MS21" s="47"/>
      <c r="MT21" s="47"/>
      <c r="MU21" s="47"/>
      <c r="MV21" s="47"/>
      <c r="MW21" s="47"/>
      <c r="MX21" s="47"/>
      <c r="MY21" s="47"/>
      <c r="MZ21" s="47"/>
      <c r="NA21" s="47"/>
      <c r="NB21" s="47"/>
      <c r="NC21" s="47"/>
      <c r="ND21" s="47"/>
      <c r="NE21" s="47"/>
      <c r="NF21" s="47"/>
      <c r="NG21" s="47"/>
      <c r="NH21" s="47"/>
      <c r="NI21" s="47"/>
      <c r="NJ21" s="47"/>
      <c r="NK21" s="47"/>
      <c r="NL21" s="47"/>
      <c r="NM21" s="47"/>
      <c r="NN21" s="47"/>
      <c r="NO21" s="47"/>
      <c r="NP21" s="47"/>
      <c r="NQ21" s="47"/>
      <c r="NR21" s="47"/>
      <c r="NS21" s="47"/>
      <c r="NT21" s="47"/>
      <c r="NU21" s="47"/>
      <c r="NV21" s="47"/>
      <c r="NW21" s="47"/>
      <c r="NX21" s="47"/>
      <c r="NY21" s="47"/>
      <c r="NZ21" s="47"/>
      <c r="OA21" s="47"/>
      <c r="OB21" s="47"/>
      <c r="OC21" s="47"/>
      <c r="OD21" s="47"/>
      <c r="OE21" s="48"/>
    </row>
    <row r="22" spans="1:395">
      <c r="A22" s="33" t="str">
        <f t="shared" si="15"/>
        <v/>
      </c>
      <c r="C22" s="2" t="str">
        <f>IF(ISBLANK($B22),"",_xlfn.XLOOKUP($B22,Task_No,Project!$C$3:$C$144,"INVALID TASK"))</f>
        <v/>
      </c>
      <c r="D22" s="27"/>
      <c r="E22" s="7" t="str">
        <f t="shared" si="17"/>
        <v/>
      </c>
      <c r="F22" s="7" t="str">
        <f t="shared" si="18"/>
        <v/>
      </c>
      <c r="G22" s="34"/>
      <c r="H22" s="34" t="str" cm="1">
        <f t="array" ref="H22">IF($C22="","",SUMPRODUCT((TEXT($AE$5:$OE$5, "mmm")=LOWER(G$3))*$AE22:$OE22))</f>
        <v/>
      </c>
      <c r="I22" s="34"/>
      <c r="J22" s="34" t="str" cm="1">
        <f t="array" ref="J22">IF($C22="","",SUMPRODUCT((TEXT($AE$5:$OE$5, "mmm")=LOWER(I$3))*$AE22:$OE22))</f>
        <v/>
      </c>
      <c r="K22" s="34"/>
      <c r="L22" s="34" t="str" cm="1">
        <f t="array" ref="L22">IF($C22="","",SUMPRODUCT((TEXT($AE$5:$OE$5, "mmm")=LOWER(K$3))*$AE22:$OE22))</f>
        <v/>
      </c>
      <c r="M22" s="34"/>
      <c r="N22" s="34" t="str" cm="1">
        <f t="array" ref="N22">IF($C22="","",SUMPRODUCT((TEXT($AE$5:$OE$5, "mmm")=LOWER(M$3))*$AE22:$OE22))</f>
        <v/>
      </c>
      <c r="O22" s="34"/>
      <c r="P22" s="34" t="str" cm="1">
        <f t="array" ref="P22">IF($C22="","",SUMPRODUCT((TEXT($AE$5:$OE$5, "mmm")=LOWER(O$3))*$AE22:$OE22))</f>
        <v/>
      </c>
      <c r="Q22" s="34"/>
      <c r="R22" s="34" t="str" cm="1">
        <f t="array" ref="R22">IF($C22="","",SUMPRODUCT((TEXT($AE$5:$OE$5, "mmm")=LOWER(Q$3))*$AE22:$OE22))</f>
        <v/>
      </c>
      <c r="S22" s="34"/>
      <c r="T22" s="34" t="str" cm="1">
        <f t="array" ref="T22">IF($C22="","",SUMPRODUCT((TEXT($AE$5:$OE$5, "mmm")=LOWER(S$3))*$AE22:$OE22))</f>
        <v/>
      </c>
      <c r="U22" s="34"/>
      <c r="V22" s="34" t="str" cm="1">
        <f t="array" ref="V22">IF($C22="","",SUMPRODUCT((TEXT($AE$5:$OE$5, "mmm")=LOWER(U$3))*$AE22:$OE22))</f>
        <v/>
      </c>
      <c r="W22" s="34"/>
      <c r="X22" s="34" t="str" cm="1">
        <f t="array" ref="X22">IF($C22="","",SUMPRODUCT((TEXT($AE$5:$OE$5, "mmm")=LOWER(W$3))*$AE22:$OE22))</f>
        <v/>
      </c>
      <c r="Y22" s="34"/>
      <c r="Z22" s="34" t="str" cm="1">
        <f t="array" ref="Z22">IF($C22="","",SUMPRODUCT((TEXT($AE$5:$OE$5, "mmm")=LOWER(Y$3))*$AE22:$OE22))</f>
        <v/>
      </c>
      <c r="AA22" s="34"/>
      <c r="AB22" s="34" t="str" cm="1">
        <f t="array" ref="AB22">IF($C22="","",SUMPRODUCT((TEXT($AE$5:$OE$5, "mmm")=LOWER(AA$3))*$AE22:$OE22))</f>
        <v/>
      </c>
      <c r="AC22" s="34"/>
      <c r="AD22" s="34" t="str" cm="1">
        <f t="array" ref="AD22">IF($C22="","",SUMPRODUCT((TEXT($AE$5:$OE$5, "mmm")=LOWER(AC$3))*$AE22:$OE22))</f>
        <v/>
      </c>
      <c r="AE22" s="47"/>
      <c r="AF22" s="47"/>
      <c r="AG22" s="47"/>
      <c r="AH22" s="47"/>
      <c r="AI22" s="47"/>
      <c r="AJ22" s="47"/>
      <c r="AK22" s="47"/>
      <c r="AL22" s="47"/>
      <c r="AM22" s="47"/>
      <c r="AN22" s="47"/>
      <c r="AO22" s="47"/>
      <c r="AP22" s="47"/>
      <c r="AQ22" s="47"/>
      <c r="AR22" s="47"/>
      <c r="AS22" s="47"/>
      <c r="AT22" s="47"/>
      <c r="AU22" s="47"/>
      <c r="AV22" s="47"/>
      <c r="AW22" s="47"/>
      <c r="AX22" s="47"/>
      <c r="AY22" s="47"/>
      <c r="AZ22" s="47"/>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47"/>
      <c r="CR22" s="47"/>
      <c r="CS22" s="47"/>
      <c r="CT22" s="47"/>
      <c r="CU22" s="47"/>
      <c r="CV22" s="47"/>
      <c r="CW22" s="47"/>
      <c r="CX22" s="47"/>
      <c r="CY22" s="47"/>
      <c r="CZ22" s="47"/>
      <c r="DA22" s="47"/>
      <c r="DB22" s="47"/>
      <c r="DC22" s="47"/>
      <c r="DD22" s="47"/>
      <c r="DE22" s="47"/>
      <c r="DF22" s="47"/>
      <c r="DG22" s="47"/>
      <c r="DH22" s="47"/>
      <c r="DI22" s="47"/>
      <c r="DJ22" s="47"/>
      <c r="DK22" s="47"/>
      <c r="DL22" s="47"/>
      <c r="DM22" s="47"/>
      <c r="DN22" s="47"/>
      <c r="DO22" s="47"/>
      <c r="DP22" s="47"/>
      <c r="DQ22" s="47"/>
      <c r="DR22" s="47"/>
      <c r="DS22" s="47"/>
      <c r="DT22" s="47"/>
      <c r="DU22" s="47"/>
      <c r="DV22" s="47"/>
      <c r="DW22" s="47"/>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47"/>
      <c r="FB22" s="47"/>
      <c r="FC22" s="47"/>
      <c r="FD22" s="47"/>
      <c r="FE22" s="47"/>
      <c r="FF22" s="47"/>
      <c r="FG22" s="47"/>
      <c r="FH22" s="47"/>
      <c r="FI22" s="47"/>
      <c r="FJ22" s="47"/>
      <c r="FK22" s="47"/>
      <c r="FL22" s="47"/>
      <c r="FM22" s="47"/>
      <c r="FN22" s="47"/>
      <c r="FO22" s="47"/>
      <c r="FP22" s="47"/>
      <c r="FQ22" s="47"/>
      <c r="FR22" s="47"/>
      <c r="FS22" s="47"/>
      <c r="FT22" s="47"/>
      <c r="FU22" s="47"/>
      <c r="FV22" s="47"/>
      <c r="FW22" s="47"/>
      <c r="FX22" s="47"/>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HZ22" s="47"/>
      <c r="IA22" s="47"/>
      <c r="IB22" s="47"/>
      <c r="IC22" s="47"/>
      <c r="ID22" s="47"/>
      <c r="IE22" s="47"/>
      <c r="IF22" s="47"/>
      <c r="IG22" s="47"/>
      <c r="IH22" s="47"/>
      <c r="II22" s="47"/>
      <c r="IJ22" s="47"/>
      <c r="IK22" s="47"/>
      <c r="IL22" s="47"/>
      <c r="IM22" s="47"/>
      <c r="IN22" s="47"/>
      <c r="IO22" s="47"/>
      <c r="IP22" s="47"/>
      <c r="IQ22" s="47"/>
      <c r="IR22" s="47"/>
      <c r="IS22" s="47"/>
      <c r="IT22" s="47"/>
      <c r="IU22" s="47"/>
      <c r="IV22" s="47"/>
      <c r="IW22" s="47"/>
      <c r="IX22" s="47"/>
      <c r="IY22" s="47"/>
      <c r="IZ22" s="47"/>
      <c r="JA22" s="47"/>
      <c r="JB22" s="47"/>
      <c r="JC22" s="47"/>
      <c r="JD22" s="47"/>
      <c r="JE22" s="47"/>
      <c r="JF22" s="47"/>
      <c r="JG22" s="47"/>
      <c r="JH22" s="47"/>
      <c r="JI22" s="47"/>
      <c r="JJ22" s="47"/>
      <c r="JK22" s="47"/>
      <c r="JL22" s="47"/>
      <c r="JM22" s="47"/>
      <c r="JN22" s="47"/>
      <c r="JO22" s="47"/>
      <c r="JP22" s="47"/>
      <c r="JQ22" s="47"/>
      <c r="JR22" s="47"/>
      <c r="JS22" s="47"/>
      <c r="JT22" s="47"/>
      <c r="JU22" s="47"/>
      <c r="JV22" s="47"/>
      <c r="JW22" s="47"/>
      <c r="JX22" s="47"/>
      <c r="JY22" s="47"/>
      <c r="JZ22" s="47"/>
      <c r="KA22" s="47"/>
      <c r="KB22" s="47"/>
      <c r="KC22" s="47"/>
      <c r="KD22" s="47"/>
      <c r="KE22" s="47"/>
      <c r="KF22" s="47"/>
      <c r="KG22" s="47"/>
      <c r="KH22" s="47"/>
      <c r="KI22" s="47"/>
      <c r="KJ22" s="47"/>
      <c r="KK22" s="47"/>
      <c r="KL22" s="47"/>
      <c r="KM22" s="47"/>
      <c r="KN22" s="47"/>
      <c r="KO22" s="47"/>
      <c r="KP22" s="47"/>
      <c r="KQ22" s="47"/>
      <c r="KR22" s="47"/>
      <c r="KS22" s="47"/>
      <c r="KT22" s="47"/>
      <c r="KU22" s="47"/>
      <c r="KV22" s="47"/>
      <c r="KW22" s="47"/>
      <c r="KX22" s="47"/>
      <c r="KY22" s="47"/>
      <c r="KZ22" s="47"/>
      <c r="LA22" s="47"/>
      <c r="LB22" s="47"/>
      <c r="LC22" s="47"/>
      <c r="LD22" s="47"/>
      <c r="LE22" s="47"/>
      <c r="LF22" s="47"/>
      <c r="LG22" s="47"/>
      <c r="LH22" s="47"/>
      <c r="LI22" s="47"/>
      <c r="LJ22" s="47"/>
      <c r="LK22" s="47"/>
      <c r="LL22" s="47"/>
      <c r="LM22" s="47"/>
      <c r="LN22" s="47"/>
      <c r="LO22" s="47"/>
      <c r="LP22" s="47"/>
      <c r="LQ22" s="47"/>
      <c r="LR22" s="47"/>
      <c r="LS22" s="47"/>
      <c r="LT22" s="47"/>
      <c r="LU22" s="47"/>
      <c r="LV22" s="47"/>
      <c r="LW22" s="47"/>
      <c r="LX22" s="47"/>
      <c r="LY22" s="47"/>
      <c r="LZ22" s="47"/>
      <c r="MA22" s="47"/>
      <c r="MB22" s="47"/>
      <c r="MC22" s="47"/>
      <c r="MD22" s="47"/>
      <c r="ME22" s="47"/>
      <c r="MF22" s="47"/>
      <c r="MG22" s="47"/>
      <c r="MH22" s="47"/>
      <c r="MI22" s="47"/>
      <c r="MJ22" s="47"/>
      <c r="MK22" s="47"/>
      <c r="ML22" s="47"/>
      <c r="MM22" s="47"/>
      <c r="MN22" s="47"/>
      <c r="MO22" s="47"/>
      <c r="MP22" s="47"/>
      <c r="MQ22" s="47"/>
      <c r="MR22" s="47"/>
      <c r="MS22" s="47"/>
      <c r="MT22" s="47"/>
      <c r="MU22" s="47"/>
      <c r="MV22" s="47"/>
      <c r="MW22" s="47"/>
      <c r="MX22" s="47"/>
      <c r="MY22" s="47"/>
      <c r="MZ22" s="47"/>
      <c r="NA22" s="47"/>
      <c r="NB22" s="47"/>
      <c r="NC22" s="47"/>
      <c r="ND22" s="47"/>
      <c r="NE22" s="47"/>
      <c r="NF22" s="47"/>
      <c r="NG22" s="47"/>
      <c r="NH22" s="47"/>
      <c r="NI22" s="47"/>
      <c r="NJ22" s="47"/>
      <c r="NK22" s="47"/>
      <c r="NL22" s="47"/>
      <c r="NM22" s="47"/>
      <c r="NN22" s="47"/>
      <c r="NO22" s="47"/>
      <c r="NP22" s="47"/>
      <c r="NQ22" s="47"/>
      <c r="NR22" s="47"/>
      <c r="NS22" s="47"/>
      <c r="NT22" s="47"/>
      <c r="NU22" s="47"/>
      <c r="NV22" s="47"/>
      <c r="NW22" s="47"/>
      <c r="NX22" s="47"/>
      <c r="NY22" s="47"/>
      <c r="NZ22" s="47"/>
      <c r="OA22" s="47"/>
      <c r="OB22" s="47"/>
      <c r="OC22" s="47"/>
      <c r="OD22" s="47"/>
      <c r="OE22" s="48"/>
    </row>
    <row r="23" spans="1:395">
      <c r="A23" s="33" t="str">
        <f t="shared" si="15"/>
        <v/>
      </c>
      <c r="C23" s="2" t="str">
        <f>IF(ISBLANK($B23),"",_xlfn.XLOOKUP($B23,Task_No,Project!$C$3:$C$144,"INVALID TASK"))</f>
        <v/>
      </c>
      <c r="D23" s="27"/>
      <c r="E23" s="7" t="str">
        <f t="shared" si="17"/>
        <v/>
      </c>
      <c r="F23" s="7" t="str">
        <f t="shared" si="18"/>
        <v/>
      </c>
      <c r="G23" s="34"/>
      <c r="H23" s="34" t="str" cm="1">
        <f t="array" ref="H23">IF($C23="","",SUMPRODUCT((TEXT($AE$5:$OE$5, "mmm")=LOWER(G$3))*$AE23:$OE23))</f>
        <v/>
      </c>
      <c r="I23" s="34"/>
      <c r="J23" s="34" t="str" cm="1">
        <f t="array" ref="J23">IF($C23="","",SUMPRODUCT((TEXT($AE$5:$OE$5, "mmm")=LOWER(I$3))*$AE23:$OE23))</f>
        <v/>
      </c>
      <c r="K23" s="34"/>
      <c r="L23" s="34" t="str" cm="1">
        <f t="array" ref="L23">IF($C23="","",SUMPRODUCT((TEXT($AE$5:$OE$5, "mmm")=LOWER(K$3))*$AE23:$OE23))</f>
        <v/>
      </c>
      <c r="M23" s="34"/>
      <c r="N23" s="34" t="str" cm="1">
        <f t="array" ref="N23">IF($C23="","",SUMPRODUCT((TEXT($AE$5:$OE$5, "mmm")=LOWER(M$3))*$AE23:$OE23))</f>
        <v/>
      </c>
      <c r="O23" s="34"/>
      <c r="P23" s="34" t="str" cm="1">
        <f t="array" ref="P23">IF($C23="","",SUMPRODUCT((TEXT($AE$5:$OE$5, "mmm")=LOWER(O$3))*$AE23:$OE23))</f>
        <v/>
      </c>
      <c r="Q23" s="34"/>
      <c r="R23" s="34" t="str" cm="1">
        <f t="array" ref="R23">IF($C23="","",SUMPRODUCT((TEXT($AE$5:$OE$5, "mmm")=LOWER(Q$3))*$AE23:$OE23))</f>
        <v/>
      </c>
      <c r="S23" s="34"/>
      <c r="T23" s="34" t="str" cm="1">
        <f t="array" ref="T23">IF($C23="","",SUMPRODUCT((TEXT($AE$5:$OE$5, "mmm")=LOWER(S$3))*$AE23:$OE23))</f>
        <v/>
      </c>
      <c r="U23" s="34"/>
      <c r="V23" s="34" t="str" cm="1">
        <f t="array" ref="V23">IF($C23="","",SUMPRODUCT((TEXT($AE$5:$OE$5, "mmm")=LOWER(U$3))*$AE23:$OE23))</f>
        <v/>
      </c>
      <c r="W23" s="34"/>
      <c r="X23" s="34" t="str" cm="1">
        <f t="array" ref="X23">IF($C23="","",SUMPRODUCT((TEXT($AE$5:$OE$5, "mmm")=LOWER(W$3))*$AE23:$OE23))</f>
        <v/>
      </c>
      <c r="Y23" s="34"/>
      <c r="Z23" s="34" t="str" cm="1">
        <f t="array" ref="Z23">IF($C23="","",SUMPRODUCT((TEXT($AE$5:$OE$5, "mmm")=LOWER(Y$3))*$AE23:$OE23))</f>
        <v/>
      </c>
      <c r="AA23" s="34"/>
      <c r="AB23" s="34" t="str" cm="1">
        <f t="array" ref="AB23">IF($C23="","",SUMPRODUCT((TEXT($AE$5:$OE$5, "mmm")=LOWER(AA$3))*$AE23:$OE23))</f>
        <v/>
      </c>
      <c r="AC23" s="34"/>
      <c r="AD23" s="34" t="str" cm="1">
        <f t="array" ref="AD23">IF($C23="","",SUMPRODUCT((TEXT($AE$5:$OE$5, "mmm")=LOWER(AC$3))*$AE23:$OE23))</f>
        <v/>
      </c>
      <c r="AE23" s="47"/>
      <c r="AF23" s="47"/>
      <c r="AG23" s="47"/>
      <c r="AH23" s="47"/>
      <c r="AI23" s="47"/>
      <c r="AJ23" s="47"/>
      <c r="AK23" s="47"/>
      <c r="AL23" s="47"/>
      <c r="AM23" s="47"/>
      <c r="AN23" s="47"/>
      <c r="AO23" s="47"/>
      <c r="AP23" s="47"/>
      <c r="AQ23" s="47"/>
      <c r="AR23" s="47"/>
      <c r="AS23" s="47"/>
      <c r="AT23" s="47"/>
      <c r="AU23" s="47"/>
      <c r="AV23" s="47"/>
      <c r="AW23" s="47"/>
      <c r="AX23" s="47"/>
      <c r="AY23" s="47"/>
      <c r="AZ23" s="47"/>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47"/>
      <c r="CR23" s="47"/>
      <c r="CS23" s="47"/>
      <c r="CT23" s="47"/>
      <c r="CU23" s="47"/>
      <c r="CV23" s="47"/>
      <c r="CW23" s="47"/>
      <c r="CX23" s="47"/>
      <c r="CY23" s="47"/>
      <c r="CZ23" s="47"/>
      <c r="DA23" s="47"/>
      <c r="DB23" s="47"/>
      <c r="DC23" s="47"/>
      <c r="DD23" s="47"/>
      <c r="DE23" s="47"/>
      <c r="DF23" s="47"/>
      <c r="DG23" s="47"/>
      <c r="DH23" s="47"/>
      <c r="DI23" s="47"/>
      <c r="DJ23" s="47"/>
      <c r="DK23" s="47"/>
      <c r="DL23" s="47"/>
      <c r="DM23" s="47"/>
      <c r="DN23" s="47"/>
      <c r="DO23" s="47"/>
      <c r="DP23" s="47"/>
      <c r="DQ23" s="47"/>
      <c r="DR23" s="47"/>
      <c r="DS23" s="47"/>
      <c r="DT23" s="47"/>
      <c r="DU23" s="47"/>
      <c r="DV23" s="47"/>
      <c r="DW23" s="47"/>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47"/>
      <c r="FB23" s="47"/>
      <c r="FC23" s="47"/>
      <c r="FD23" s="47"/>
      <c r="FE23" s="47"/>
      <c r="FF23" s="47"/>
      <c r="FG23" s="47"/>
      <c r="FH23" s="47"/>
      <c r="FI23" s="47"/>
      <c r="FJ23" s="47"/>
      <c r="FK23" s="47"/>
      <c r="FL23" s="47"/>
      <c r="FM23" s="47"/>
      <c r="FN23" s="47"/>
      <c r="FO23" s="47"/>
      <c r="FP23" s="47"/>
      <c r="FQ23" s="47"/>
      <c r="FR23" s="47"/>
      <c r="FS23" s="47"/>
      <c r="FT23" s="47"/>
      <c r="FU23" s="47"/>
      <c r="FV23" s="47"/>
      <c r="FW23" s="47"/>
      <c r="FX23" s="47"/>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HZ23" s="47"/>
      <c r="IA23" s="47"/>
      <c r="IB23" s="47"/>
      <c r="IC23" s="47"/>
      <c r="ID23" s="47"/>
      <c r="IE23" s="47"/>
      <c r="IF23" s="47"/>
      <c r="IG23" s="47"/>
      <c r="IH23" s="47"/>
      <c r="II23" s="47"/>
      <c r="IJ23" s="47"/>
      <c r="IK23" s="47"/>
      <c r="IL23" s="47"/>
      <c r="IM23" s="47"/>
      <c r="IN23" s="47"/>
      <c r="IO23" s="47"/>
      <c r="IP23" s="47"/>
      <c r="IQ23" s="47"/>
      <c r="IR23" s="47"/>
      <c r="IS23" s="47"/>
      <c r="IT23" s="47"/>
      <c r="IU23" s="47"/>
      <c r="IV23" s="47"/>
      <c r="IW23" s="47"/>
      <c r="IX23" s="47"/>
      <c r="IY23" s="47"/>
      <c r="IZ23" s="47"/>
      <c r="JA23" s="47"/>
      <c r="JB23" s="47"/>
      <c r="JC23" s="47"/>
      <c r="JD23" s="47"/>
      <c r="JE23" s="47"/>
      <c r="JF23" s="47"/>
      <c r="JG23" s="47"/>
      <c r="JH23" s="47"/>
      <c r="JI23" s="47"/>
      <c r="JJ23" s="47"/>
      <c r="JK23" s="47"/>
      <c r="JL23" s="47"/>
      <c r="JM23" s="47"/>
      <c r="JN23" s="47"/>
      <c r="JO23" s="47"/>
      <c r="JP23" s="47"/>
      <c r="JQ23" s="47"/>
      <c r="JR23" s="47"/>
      <c r="JS23" s="47"/>
      <c r="JT23" s="47"/>
      <c r="JU23" s="47"/>
      <c r="JV23" s="47"/>
      <c r="JW23" s="47"/>
      <c r="JX23" s="47"/>
      <c r="JY23" s="47"/>
      <c r="JZ23" s="47"/>
      <c r="KA23" s="47"/>
      <c r="KB23" s="47"/>
      <c r="KC23" s="47"/>
      <c r="KD23" s="47"/>
      <c r="KE23" s="47"/>
      <c r="KF23" s="47"/>
      <c r="KG23" s="47"/>
      <c r="KH23" s="47"/>
      <c r="KI23" s="47"/>
      <c r="KJ23" s="47"/>
      <c r="KK23" s="47"/>
      <c r="KL23" s="47"/>
      <c r="KM23" s="47"/>
      <c r="KN23" s="47"/>
      <c r="KO23" s="47"/>
      <c r="KP23" s="47"/>
      <c r="KQ23" s="47"/>
      <c r="KR23" s="47"/>
      <c r="KS23" s="47"/>
      <c r="KT23" s="47"/>
      <c r="KU23" s="47"/>
      <c r="KV23" s="47"/>
      <c r="KW23" s="47"/>
      <c r="KX23" s="47"/>
      <c r="KY23" s="47"/>
      <c r="KZ23" s="47"/>
      <c r="LA23" s="47"/>
      <c r="LB23" s="47"/>
      <c r="LC23" s="47"/>
      <c r="LD23" s="47"/>
      <c r="LE23" s="47"/>
      <c r="LF23" s="47"/>
      <c r="LG23" s="47"/>
      <c r="LH23" s="47"/>
      <c r="LI23" s="47"/>
      <c r="LJ23" s="47"/>
      <c r="LK23" s="47"/>
      <c r="LL23" s="47"/>
      <c r="LM23" s="47"/>
      <c r="LN23" s="47"/>
      <c r="LO23" s="47"/>
      <c r="LP23" s="47"/>
      <c r="LQ23" s="47"/>
      <c r="LR23" s="47"/>
      <c r="LS23" s="47"/>
      <c r="LT23" s="47"/>
      <c r="LU23" s="47"/>
      <c r="LV23" s="47"/>
      <c r="LW23" s="47"/>
      <c r="LX23" s="47"/>
      <c r="LY23" s="47"/>
      <c r="LZ23" s="47"/>
      <c r="MA23" s="47"/>
      <c r="MB23" s="47"/>
      <c r="MC23" s="47"/>
      <c r="MD23" s="47"/>
      <c r="ME23" s="47"/>
      <c r="MF23" s="47"/>
      <c r="MG23" s="47"/>
      <c r="MH23" s="47"/>
      <c r="MI23" s="47"/>
      <c r="MJ23" s="47"/>
      <c r="MK23" s="47"/>
      <c r="ML23" s="47"/>
      <c r="MM23" s="47"/>
      <c r="MN23" s="47"/>
      <c r="MO23" s="47"/>
      <c r="MP23" s="47"/>
      <c r="MQ23" s="47"/>
      <c r="MR23" s="47"/>
      <c r="MS23" s="47"/>
      <c r="MT23" s="47"/>
      <c r="MU23" s="47"/>
      <c r="MV23" s="47"/>
      <c r="MW23" s="47"/>
      <c r="MX23" s="47"/>
      <c r="MY23" s="47"/>
      <c r="MZ23" s="47"/>
      <c r="NA23" s="47"/>
      <c r="NB23" s="47"/>
      <c r="NC23" s="47"/>
      <c r="ND23" s="47"/>
      <c r="NE23" s="47"/>
      <c r="NF23" s="47"/>
      <c r="NG23" s="47"/>
      <c r="NH23" s="47"/>
      <c r="NI23" s="47"/>
      <c r="NJ23" s="47"/>
      <c r="NK23" s="47"/>
      <c r="NL23" s="47"/>
      <c r="NM23" s="47"/>
      <c r="NN23" s="47"/>
      <c r="NO23" s="47"/>
      <c r="NP23" s="47"/>
      <c r="NQ23" s="47"/>
      <c r="NR23" s="47"/>
      <c r="NS23" s="47"/>
      <c r="NT23" s="47"/>
      <c r="NU23" s="47"/>
      <c r="NV23" s="47"/>
      <c r="NW23" s="47"/>
      <c r="NX23" s="47"/>
      <c r="NY23" s="47"/>
      <c r="NZ23" s="47"/>
      <c r="OA23" s="47"/>
      <c r="OB23" s="47"/>
      <c r="OC23" s="47"/>
      <c r="OD23" s="47"/>
      <c r="OE23" s="48"/>
    </row>
    <row r="24" spans="1:395">
      <c r="A24" s="33" t="str">
        <f t="shared" si="15"/>
        <v/>
      </c>
      <c r="C24" s="2" t="str">
        <f>IF(ISBLANK($B24),"",_xlfn.XLOOKUP($B24,Task_No,Project!$C$3:$C$144,"INVALID TASK"))</f>
        <v/>
      </c>
      <c r="D24" s="27"/>
      <c r="E24" s="7" t="str">
        <f t="shared" si="17"/>
        <v/>
      </c>
      <c r="F24" s="7" t="str">
        <f t="shared" si="18"/>
        <v/>
      </c>
      <c r="G24" s="34"/>
      <c r="H24" s="34" t="str" cm="1">
        <f t="array" ref="H24">IF($C24="","",SUMPRODUCT((TEXT($AE$5:$OE$5, "mmm")=LOWER(G$3))*$AE24:$OE24))</f>
        <v/>
      </c>
      <c r="I24" s="34"/>
      <c r="J24" s="34" t="str" cm="1">
        <f t="array" ref="J24">IF($C24="","",SUMPRODUCT((TEXT($AE$5:$OE$5, "mmm")=LOWER(I$3))*$AE24:$OE24))</f>
        <v/>
      </c>
      <c r="K24" s="34"/>
      <c r="L24" s="34" t="str" cm="1">
        <f t="array" ref="L24">IF($C24="","",SUMPRODUCT((TEXT($AE$5:$OE$5, "mmm")=LOWER(K$3))*$AE24:$OE24))</f>
        <v/>
      </c>
      <c r="M24" s="34"/>
      <c r="N24" s="34" t="str" cm="1">
        <f t="array" ref="N24">IF($C24="","",SUMPRODUCT((TEXT($AE$5:$OE$5, "mmm")=LOWER(M$3))*$AE24:$OE24))</f>
        <v/>
      </c>
      <c r="O24" s="34"/>
      <c r="P24" s="34" t="str" cm="1">
        <f t="array" ref="P24">IF($C24="","",SUMPRODUCT((TEXT($AE$5:$OE$5, "mmm")=LOWER(O$3))*$AE24:$OE24))</f>
        <v/>
      </c>
      <c r="Q24" s="34"/>
      <c r="R24" s="34" t="str" cm="1">
        <f t="array" ref="R24">IF($C24="","",SUMPRODUCT((TEXT($AE$5:$OE$5, "mmm")=LOWER(Q$3))*$AE24:$OE24))</f>
        <v/>
      </c>
      <c r="S24" s="34"/>
      <c r="T24" s="34" t="str" cm="1">
        <f t="array" ref="T24">IF($C24="","",SUMPRODUCT((TEXT($AE$5:$OE$5, "mmm")=LOWER(S$3))*$AE24:$OE24))</f>
        <v/>
      </c>
      <c r="U24" s="34"/>
      <c r="V24" s="34" t="str" cm="1">
        <f t="array" ref="V24">IF($C24="","",SUMPRODUCT((TEXT($AE$5:$OE$5, "mmm")=LOWER(U$3))*$AE24:$OE24))</f>
        <v/>
      </c>
      <c r="W24" s="34"/>
      <c r="X24" s="34" t="str" cm="1">
        <f t="array" ref="X24">IF($C24="","",SUMPRODUCT((TEXT($AE$5:$OE$5, "mmm")=LOWER(W$3))*$AE24:$OE24))</f>
        <v/>
      </c>
      <c r="Y24" s="34"/>
      <c r="Z24" s="34" t="str" cm="1">
        <f t="array" ref="Z24">IF($C24="","",SUMPRODUCT((TEXT($AE$5:$OE$5, "mmm")=LOWER(Y$3))*$AE24:$OE24))</f>
        <v/>
      </c>
      <c r="AA24" s="34"/>
      <c r="AB24" s="34" t="str" cm="1">
        <f t="array" ref="AB24">IF($C24="","",SUMPRODUCT((TEXT($AE$5:$OE$5, "mmm")=LOWER(AA$3))*$AE24:$OE24))</f>
        <v/>
      </c>
      <c r="AC24" s="34"/>
      <c r="AD24" s="34" t="str" cm="1">
        <f t="array" ref="AD24">IF($C24="","",SUMPRODUCT((TEXT($AE$5:$OE$5, "mmm")=LOWER(AC$3))*$AE24:$OE24))</f>
        <v/>
      </c>
      <c r="AE24" s="47"/>
      <c r="AF24" s="47"/>
      <c r="AG24" s="47"/>
      <c r="AH24" s="47"/>
      <c r="AI24" s="47"/>
      <c r="AJ24" s="47"/>
      <c r="AK24" s="47"/>
      <c r="AL24" s="47"/>
      <c r="AM24" s="47"/>
      <c r="AN24" s="47"/>
      <c r="AO24" s="47"/>
      <c r="AP24" s="47"/>
      <c r="AQ24" s="47"/>
      <c r="AR24" s="47"/>
      <c r="AS24" s="47"/>
      <c r="AT24" s="47"/>
      <c r="AU24" s="47"/>
      <c r="AV24" s="47"/>
      <c r="AW24" s="47"/>
      <c r="AX24" s="47"/>
      <c r="AY24" s="47"/>
      <c r="AZ24" s="47"/>
      <c r="BA24" s="47"/>
      <c r="BB24" s="47"/>
      <c r="BC24" s="47"/>
      <c r="BD24" s="47"/>
      <c r="BE24" s="47"/>
      <c r="BF24" s="47"/>
      <c r="BG24" s="47"/>
      <c r="BH24" s="47"/>
      <c r="BI24" s="47"/>
      <c r="BJ24" s="47"/>
      <c r="BK24" s="47"/>
      <c r="BL24" s="47"/>
      <c r="BM24" s="47"/>
      <c r="BN24" s="47"/>
      <c r="BO24" s="47"/>
      <c r="BP24" s="47"/>
      <c r="BQ24" s="47"/>
      <c r="BR24" s="47"/>
      <c r="BS24" s="47"/>
      <c r="BT24" s="47"/>
      <c r="BU24" s="47"/>
      <c r="BV24" s="47"/>
      <c r="BW24" s="47"/>
      <c r="BX24" s="47"/>
      <c r="BY24" s="47"/>
      <c r="BZ24" s="47"/>
      <c r="CA24" s="47"/>
      <c r="CB24" s="47"/>
      <c r="CC24" s="47"/>
      <c r="CD24" s="47"/>
      <c r="CE24" s="47"/>
      <c r="CF24" s="47"/>
      <c r="CG24" s="47"/>
      <c r="CH24" s="47"/>
      <c r="CI24" s="47"/>
      <c r="CJ24" s="47"/>
      <c r="CK24" s="47"/>
      <c r="CL24" s="47"/>
      <c r="CM24" s="47"/>
      <c r="CN24" s="47"/>
      <c r="CO24" s="47"/>
      <c r="CP24" s="47"/>
      <c r="CQ24" s="47"/>
      <c r="CR24" s="47"/>
      <c r="CS24" s="47"/>
      <c r="CT24" s="47"/>
      <c r="CU24" s="47"/>
      <c r="CV24" s="47"/>
      <c r="CW24" s="47"/>
      <c r="CX24" s="47"/>
      <c r="CY24" s="47"/>
      <c r="CZ24" s="47"/>
      <c r="DA24" s="47"/>
      <c r="DB24" s="47"/>
      <c r="DC24" s="47"/>
      <c r="DD24" s="47"/>
      <c r="DE24" s="47"/>
      <c r="DF24" s="47"/>
      <c r="DG24" s="47"/>
      <c r="DH24" s="47"/>
      <c r="DI24" s="47"/>
      <c r="DJ24" s="47"/>
      <c r="DK24" s="47"/>
      <c r="DL24" s="47"/>
      <c r="DM24" s="47"/>
      <c r="DN24" s="47"/>
      <c r="DO24" s="47"/>
      <c r="DP24" s="47"/>
      <c r="DQ24" s="47"/>
      <c r="DR24" s="47"/>
      <c r="DS24" s="47"/>
      <c r="DT24" s="47"/>
      <c r="DU24" s="47"/>
      <c r="DV24" s="47"/>
      <c r="DW24" s="47"/>
      <c r="DX24" s="47"/>
      <c r="DY24" s="47"/>
      <c r="DZ24" s="47"/>
      <c r="EA24" s="47"/>
      <c r="EB24" s="47"/>
      <c r="EC24" s="47"/>
      <c r="ED24" s="47"/>
      <c r="EE24" s="47"/>
      <c r="EF24" s="47"/>
      <c r="EG24" s="47"/>
      <c r="EH24" s="47"/>
      <c r="EI24" s="47"/>
      <c r="EJ24" s="47"/>
      <c r="EK24" s="47"/>
      <c r="EL24" s="47"/>
      <c r="EM24" s="47"/>
      <c r="EN24" s="47"/>
      <c r="EO24" s="47"/>
      <c r="EP24" s="47"/>
      <c r="EQ24" s="47"/>
      <c r="ER24" s="47"/>
      <c r="ES24" s="47"/>
      <c r="ET24" s="47"/>
      <c r="EU24" s="47"/>
      <c r="EV24" s="47"/>
      <c r="EW24" s="47"/>
      <c r="EX24" s="47"/>
      <c r="EY24" s="47"/>
      <c r="EZ24" s="47"/>
      <c r="FA24" s="47"/>
      <c r="FB24" s="47"/>
      <c r="FC24" s="47"/>
      <c r="FD24" s="47"/>
      <c r="FE24" s="47"/>
      <c r="FF24" s="47"/>
      <c r="FG24" s="47"/>
      <c r="FH24" s="47"/>
      <c r="FI24" s="47"/>
      <c r="FJ24" s="47"/>
      <c r="FK24" s="47"/>
      <c r="FL24" s="47"/>
      <c r="FM24" s="47"/>
      <c r="FN24" s="47"/>
      <c r="FO24" s="47"/>
      <c r="FP24" s="47"/>
      <c r="FQ24" s="47"/>
      <c r="FR24" s="47"/>
      <c r="FS24" s="47"/>
      <c r="FT24" s="47"/>
      <c r="FU24" s="47"/>
      <c r="FV24" s="47"/>
      <c r="FW24" s="47"/>
      <c r="FX24" s="47"/>
      <c r="FY24" s="47"/>
      <c r="FZ24" s="47"/>
      <c r="GA24" s="47"/>
      <c r="GB24" s="47"/>
      <c r="GC24" s="47"/>
      <c r="GD24" s="47"/>
      <c r="GE24" s="47"/>
      <c r="GF24" s="47"/>
      <c r="GG24" s="47"/>
      <c r="GH24" s="47"/>
      <c r="GI24" s="47"/>
      <c r="GJ24" s="47"/>
      <c r="GK24" s="47"/>
      <c r="GL24" s="47"/>
      <c r="GM24" s="47"/>
      <c r="GN24" s="47"/>
      <c r="GO24" s="47"/>
      <c r="GP24" s="47"/>
      <c r="GQ24" s="47"/>
      <c r="GR24" s="47"/>
      <c r="GS24" s="47"/>
      <c r="GT24" s="47"/>
      <c r="GU24" s="47"/>
      <c r="GV24" s="47"/>
      <c r="GW24" s="47"/>
      <c r="GX24" s="47"/>
      <c r="GY24" s="47"/>
      <c r="GZ24" s="47"/>
      <c r="HA24" s="47"/>
      <c r="HB24" s="47"/>
      <c r="HC24" s="47"/>
      <c r="HD24" s="47"/>
      <c r="HE24" s="47"/>
      <c r="HF24" s="47"/>
      <c r="HG24" s="47"/>
      <c r="HH24" s="47"/>
      <c r="HI24" s="47"/>
      <c r="HJ24" s="47"/>
      <c r="HK24" s="47"/>
      <c r="HL24" s="47"/>
      <c r="HM24" s="47"/>
      <c r="HN24" s="47"/>
      <c r="HO24" s="47"/>
      <c r="HP24" s="47"/>
      <c r="HQ24" s="47"/>
      <c r="HR24" s="47"/>
      <c r="HS24" s="47"/>
      <c r="HT24" s="47"/>
      <c r="HU24" s="47"/>
      <c r="HV24" s="47"/>
      <c r="HW24" s="47"/>
      <c r="HX24" s="47"/>
      <c r="HY24" s="47"/>
      <c r="HZ24" s="47"/>
      <c r="IA24" s="47"/>
      <c r="IB24" s="47"/>
      <c r="IC24" s="47"/>
      <c r="ID24" s="47"/>
      <c r="IE24" s="47"/>
      <c r="IF24" s="47"/>
      <c r="IG24" s="47"/>
      <c r="IH24" s="47"/>
      <c r="II24" s="47"/>
      <c r="IJ24" s="47"/>
      <c r="IK24" s="47"/>
      <c r="IL24" s="47"/>
      <c r="IM24" s="47"/>
      <c r="IN24" s="47"/>
      <c r="IO24" s="47"/>
      <c r="IP24" s="47"/>
      <c r="IQ24" s="47"/>
      <c r="IR24" s="47"/>
      <c r="IS24" s="47"/>
      <c r="IT24" s="47"/>
      <c r="IU24" s="47"/>
      <c r="IV24" s="47"/>
      <c r="IW24" s="47"/>
      <c r="IX24" s="47"/>
      <c r="IY24" s="47"/>
      <c r="IZ24" s="47"/>
      <c r="JA24" s="47"/>
      <c r="JB24" s="47"/>
      <c r="JC24" s="47"/>
      <c r="JD24" s="47"/>
      <c r="JE24" s="47"/>
      <c r="JF24" s="47"/>
      <c r="JG24" s="47"/>
      <c r="JH24" s="47"/>
      <c r="JI24" s="47"/>
      <c r="JJ24" s="47"/>
      <c r="JK24" s="47"/>
      <c r="JL24" s="47"/>
      <c r="JM24" s="47"/>
      <c r="JN24" s="47"/>
      <c r="JO24" s="47"/>
      <c r="JP24" s="47"/>
      <c r="JQ24" s="47"/>
      <c r="JR24" s="47"/>
      <c r="JS24" s="47"/>
      <c r="JT24" s="47"/>
      <c r="JU24" s="47"/>
      <c r="JV24" s="47"/>
      <c r="JW24" s="47"/>
      <c r="JX24" s="47"/>
      <c r="JY24" s="47"/>
      <c r="JZ24" s="47"/>
      <c r="KA24" s="47"/>
      <c r="KB24" s="47"/>
      <c r="KC24" s="47"/>
      <c r="KD24" s="47"/>
      <c r="KE24" s="47"/>
      <c r="KF24" s="47"/>
      <c r="KG24" s="47"/>
      <c r="KH24" s="47"/>
      <c r="KI24" s="47"/>
      <c r="KJ24" s="47"/>
      <c r="KK24" s="47"/>
      <c r="KL24" s="47"/>
      <c r="KM24" s="47"/>
      <c r="KN24" s="47"/>
      <c r="KO24" s="47"/>
      <c r="KP24" s="47"/>
      <c r="KQ24" s="47"/>
      <c r="KR24" s="47"/>
      <c r="KS24" s="47"/>
      <c r="KT24" s="47"/>
      <c r="KU24" s="47"/>
      <c r="KV24" s="47"/>
      <c r="KW24" s="47"/>
      <c r="KX24" s="47"/>
      <c r="KY24" s="47"/>
      <c r="KZ24" s="47"/>
      <c r="LA24" s="47"/>
      <c r="LB24" s="47"/>
      <c r="LC24" s="47"/>
      <c r="LD24" s="47"/>
      <c r="LE24" s="47"/>
      <c r="LF24" s="47"/>
      <c r="LG24" s="47"/>
      <c r="LH24" s="47"/>
      <c r="LI24" s="47"/>
      <c r="LJ24" s="47"/>
      <c r="LK24" s="47"/>
      <c r="LL24" s="47"/>
      <c r="LM24" s="47"/>
      <c r="LN24" s="47"/>
      <c r="LO24" s="47"/>
      <c r="LP24" s="47"/>
      <c r="LQ24" s="47"/>
      <c r="LR24" s="47"/>
      <c r="LS24" s="47"/>
      <c r="LT24" s="47"/>
      <c r="LU24" s="47"/>
      <c r="LV24" s="47"/>
      <c r="LW24" s="47"/>
      <c r="LX24" s="47"/>
      <c r="LY24" s="47"/>
      <c r="LZ24" s="47"/>
      <c r="MA24" s="47"/>
      <c r="MB24" s="47"/>
      <c r="MC24" s="47"/>
      <c r="MD24" s="47"/>
      <c r="ME24" s="47"/>
      <c r="MF24" s="47"/>
      <c r="MG24" s="47"/>
      <c r="MH24" s="47"/>
      <c r="MI24" s="47"/>
      <c r="MJ24" s="47"/>
      <c r="MK24" s="47"/>
      <c r="ML24" s="47"/>
      <c r="MM24" s="47"/>
      <c r="MN24" s="47"/>
      <c r="MO24" s="47"/>
      <c r="MP24" s="47"/>
      <c r="MQ24" s="47"/>
      <c r="MR24" s="47"/>
      <c r="MS24" s="47"/>
      <c r="MT24" s="47"/>
      <c r="MU24" s="47"/>
      <c r="MV24" s="47"/>
      <c r="MW24" s="47"/>
      <c r="MX24" s="47"/>
      <c r="MY24" s="47"/>
      <c r="MZ24" s="47"/>
      <c r="NA24" s="47"/>
      <c r="NB24" s="47"/>
      <c r="NC24" s="47"/>
      <c r="ND24" s="47"/>
      <c r="NE24" s="47"/>
      <c r="NF24" s="47"/>
      <c r="NG24" s="47"/>
      <c r="NH24" s="47"/>
      <c r="NI24" s="47"/>
      <c r="NJ24" s="47"/>
      <c r="NK24" s="47"/>
      <c r="NL24" s="47"/>
      <c r="NM24" s="47"/>
      <c r="NN24" s="47"/>
      <c r="NO24" s="47"/>
      <c r="NP24" s="47"/>
      <c r="NQ24" s="47"/>
      <c r="NR24" s="47"/>
      <c r="NS24" s="47"/>
      <c r="NT24" s="47"/>
      <c r="NU24" s="47"/>
      <c r="NV24" s="47"/>
      <c r="NW24" s="47"/>
      <c r="NX24" s="47"/>
      <c r="NY24" s="47"/>
      <c r="NZ24" s="47"/>
      <c r="OA24" s="47"/>
      <c r="OB24" s="47"/>
      <c r="OC24" s="47"/>
      <c r="OD24" s="47"/>
      <c r="OE24" s="48"/>
    </row>
    <row r="25" spans="1:395">
      <c r="A25" s="33" t="str">
        <f t="shared" si="15"/>
        <v/>
      </c>
      <c r="C25" s="2" t="str">
        <f>IF(ISBLANK($B25),"",_xlfn.XLOOKUP($B25,Task_No,Project!$C$3:$C$144,"INVALID TASK"))</f>
        <v/>
      </c>
      <c r="D25" s="27"/>
      <c r="E25" s="7" t="str">
        <f t="shared" si="17"/>
        <v/>
      </c>
      <c r="F25" s="7" t="str">
        <f t="shared" si="18"/>
        <v/>
      </c>
      <c r="G25" s="34"/>
      <c r="H25" s="34" t="str" cm="1">
        <f t="array" ref="H25">IF($C25="","",SUMPRODUCT((TEXT($AE$5:$OE$5, "mmm")=LOWER(G$3))*$AE25:$OE25))</f>
        <v/>
      </c>
      <c r="I25" s="34"/>
      <c r="J25" s="34" t="str" cm="1">
        <f t="array" ref="J25">IF($C25="","",SUMPRODUCT((TEXT($AE$5:$OE$5, "mmm")=LOWER(I$3))*$AE25:$OE25))</f>
        <v/>
      </c>
      <c r="K25" s="34"/>
      <c r="L25" s="34" t="str" cm="1">
        <f t="array" ref="L25">IF($C25="","",SUMPRODUCT((TEXT($AE$5:$OE$5, "mmm")=LOWER(K$3))*$AE25:$OE25))</f>
        <v/>
      </c>
      <c r="M25" s="34"/>
      <c r="N25" s="34" t="str" cm="1">
        <f t="array" ref="N25">IF($C25="","",SUMPRODUCT((TEXT($AE$5:$OE$5, "mmm")=LOWER(M$3))*$AE25:$OE25))</f>
        <v/>
      </c>
      <c r="O25" s="34"/>
      <c r="P25" s="34" t="str" cm="1">
        <f t="array" ref="P25">IF($C25="","",SUMPRODUCT((TEXT($AE$5:$OE$5, "mmm")=LOWER(O$3))*$AE25:$OE25))</f>
        <v/>
      </c>
      <c r="Q25" s="34"/>
      <c r="R25" s="34" t="str" cm="1">
        <f t="array" ref="R25">IF($C25="","",SUMPRODUCT((TEXT($AE$5:$OE$5, "mmm")=LOWER(Q$3))*$AE25:$OE25))</f>
        <v/>
      </c>
      <c r="S25" s="34"/>
      <c r="T25" s="34" t="str" cm="1">
        <f t="array" ref="T25">IF($C25="","",SUMPRODUCT((TEXT($AE$5:$OE$5, "mmm")=LOWER(S$3))*$AE25:$OE25))</f>
        <v/>
      </c>
      <c r="U25" s="34"/>
      <c r="V25" s="34" t="str" cm="1">
        <f t="array" ref="V25">IF($C25="","",SUMPRODUCT((TEXT($AE$5:$OE$5, "mmm")=LOWER(U$3))*$AE25:$OE25))</f>
        <v/>
      </c>
      <c r="W25" s="34"/>
      <c r="X25" s="34" t="str" cm="1">
        <f t="array" ref="X25">IF($C25="","",SUMPRODUCT((TEXT($AE$5:$OE$5, "mmm")=LOWER(W$3))*$AE25:$OE25))</f>
        <v/>
      </c>
      <c r="Y25" s="34"/>
      <c r="Z25" s="34" t="str" cm="1">
        <f t="array" ref="Z25">IF($C25="","",SUMPRODUCT((TEXT($AE$5:$OE$5, "mmm")=LOWER(Y$3))*$AE25:$OE25))</f>
        <v/>
      </c>
      <c r="AA25" s="34"/>
      <c r="AB25" s="34" t="str" cm="1">
        <f t="array" ref="AB25">IF($C25="","",SUMPRODUCT((TEXT($AE$5:$OE$5, "mmm")=LOWER(AA$3))*$AE25:$OE25))</f>
        <v/>
      </c>
      <c r="AC25" s="34"/>
      <c r="AD25" s="34" t="str" cm="1">
        <f t="array" ref="AD25">IF($C25="","",SUMPRODUCT((TEXT($AE$5:$OE$5, "mmm")=LOWER(AC$3))*$AE25:$OE25))</f>
        <v/>
      </c>
      <c r="AE25" s="47"/>
      <c r="AF25" s="47"/>
      <c r="AG25" s="47"/>
      <c r="AH25" s="47"/>
      <c r="AI25" s="47"/>
      <c r="AJ25" s="47"/>
      <c r="AK25" s="47"/>
      <c r="AL25" s="47"/>
      <c r="AM25" s="47"/>
      <c r="AN25" s="47"/>
      <c r="AO25" s="47"/>
      <c r="AP25" s="47"/>
      <c r="AQ25" s="47"/>
      <c r="AR25" s="47"/>
      <c r="AS25" s="47"/>
      <c r="AT25" s="47"/>
      <c r="AU25" s="47"/>
      <c r="AV25" s="47"/>
      <c r="AW25" s="47"/>
      <c r="AX25" s="47"/>
      <c r="AY25" s="47"/>
      <c r="AZ25" s="47"/>
      <c r="BA25" s="47"/>
      <c r="BB25" s="47"/>
      <c r="BC25" s="47"/>
      <c r="BD25" s="47"/>
      <c r="BE25" s="47"/>
      <c r="BF25" s="47"/>
      <c r="BG25" s="47"/>
      <c r="BH25" s="47"/>
      <c r="BI25" s="47"/>
      <c r="BJ25" s="47"/>
      <c r="BK25" s="47"/>
      <c r="BL25" s="47"/>
      <c r="BM25" s="47"/>
      <c r="BN25" s="47"/>
      <c r="BO25" s="47"/>
      <c r="BP25" s="47"/>
      <c r="BQ25" s="47"/>
      <c r="BR25" s="47"/>
      <c r="BS25" s="47"/>
      <c r="BT25" s="47"/>
      <c r="BU25" s="47"/>
      <c r="BV25" s="47"/>
      <c r="BW25" s="47"/>
      <c r="BX25" s="47"/>
      <c r="BY25" s="47"/>
      <c r="BZ25" s="47"/>
      <c r="CA25" s="47"/>
      <c r="CB25" s="47"/>
      <c r="CC25" s="47"/>
      <c r="CD25" s="47"/>
      <c r="CE25" s="47"/>
      <c r="CF25" s="47"/>
      <c r="CG25" s="47"/>
      <c r="CH25" s="47"/>
      <c r="CI25" s="47"/>
      <c r="CJ25" s="47"/>
      <c r="CK25" s="47"/>
      <c r="CL25" s="47"/>
      <c r="CM25" s="47"/>
      <c r="CN25" s="47"/>
      <c r="CO25" s="47"/>
      <c r="CP25" s="47"/>
      <c r="CQ25" s="47"/>
      <c r="CR25" s="47"/>
      <c r="CS25" s="47"/>
      <c r="CT25" s="47"/>
      <c r="CU25" s="47"/>
      <c r="CV25" s="47"/>
      <c r="CW25" s="47"/>
      <c r="CX25" s="47"/>
      <c r="CY25" s="47"/>
      <c r="CZ25" s="47"/>
      <c r="DA25" s="47"/>
      <c r="DB25" s="47"/>
      <c r="DC25" s="47"/>
      <c r="DD25" s="47"/>
      <c r="DE25" s="47"/>
      <c r="DF25" s="47"/>
      <c r="DG25" s="47"/>
      <c r="DH25" s="47"/>
      <c r="DI25" s="47"/>
      <c r="DJ25" s="47"/>
      <c r="DK25" s="47"/>
      <c r="DL25" s="47"/>
      <c r="DM25" s="47"/>
      <c r="DN25" s="47"/>
      <c r="DO25" s="47"/>
      <c r="DP25" s="47"/>
      <c r="DQ25" s="47"/>
      <c r="DR25" s="47"/>
      <c r="DS25" s="47"/>
      <c r="DT25" s="47"/>
      <c r="DU25" s="47"/>
      <c r="DV25" s="47"/>
      <c r="DW25" s="47"/>
      <c r="DX25" s="47"/>
      <c r="DY25" s="47"/>
      <c r="DZ25" s="47"/>
      <c r="EA25" s="47"/>
      <c r="EB25" s="47"/>
      <c r="EC25" s="47"/>
      <c r="ED25" s="47"/>
      <c r="EE25" s="47"/>
      <c r="EF25" s="47"/>
      <c r="EG25" s="47"/>
      <c r="EH25" s="47"/>
      <c r="EI25" s="47"/>
      <c r="EJ25" s="47"/>
      <c r="EK25" s="47"/>
      <c r="EL25" s="47"/>
      <c r="EM25" s="47"/>
      <c r="EN25" s="47"/>
      <c r="EO25" s="47"/>
      <c r="EP25" s="47"/>
      <c r="EQ25" s="47"/>
      <c r="ER25" s="47"/>
      <c r="ES25" s="47"/>
      <c r="ET25" s="47"/>
      <c r="EU25" s="47"/>
      <c r="EV25" s="47"/>
      <c r="EW25" s="47"/>
      <c r="EX25" s="47"/>
      <c r="EY25" s="47"/>
      <c r="EZ25" s="47"/>
      <c r="FA25" s="47"/>
      <c r="FB25" s="47"/>
      <c r="FC25" s="47"/>
      <c r="FD25" s="47"/>
      <c r="FE25" s="47"/>
      <c r="FF25" s="47"/>
      <c r="FG25" s="47"/>
      <c r="FH25" s="47"/>
      <c r="FI25" s="47"/>
      <c r="FJ25" s="47"/>
      <c r="FK25" s="47"/>
      <c r="FL25" s="47"/>
      <c r="FM25" s="47"/>
      <c r="FN25" s="47"/>
      <c r="FO25" s="47"/>
      <c r="FP25" s="47"/>
      <c r="FQ25" s="47"/>
      <c r="FR25" s="47"/>
      <c r="FS25" s="47"/>
      <c r="FT25" s="47"/>
      <c r="FU25" s="47"/>
      <c r="FV25" s="47"/>
      <c r="FW25" s="47"/>
      <c r="FX25" s="47"/>
      <c r="FY25" s="47"/>
      <c r="FZ25" s="47"/>
      <c r="GA25" s="47"/>
      <c r="GB25" s="47"/>
      <c r="GC25" s="47"/>
      <c r="GD25" s="47"/>
      <c r="GE25" s="47"/>
      <c r="GF25" s="47"/>
      <c r="GG25" s="47"/>
      <c r="GH25" s="47"/>
      <c r="GI25" s="47"/>
      <c r="GJ25" s="47"/>
      <c r="GK25" s="47"/>
      <c r="GL25" s="47"/>
      <c r="GM25" s="47"/>
      <c r="GN25" s="47"/>
      <c r="GO25" s="47"/>
      <c r="GP25" s="47"/>
      <c r="GQ25" s="47"/>
      <c r="GR25" s="47"/>
      <c r="GS25" s="47"/>
      <c r="GT25" s="47"/>
      <c r="GU25" s="47"/>
      <c r="GV25" s="47"/>
      <c r="GW25" s="47"/>
      <c r="GX25" s="47"/>
      <c r="GY25" s="47"/>
      <c r="GZ25" s="47"/>
      <c r="HA25" s="47"/>
      <c r="HB25" s="47"/>
      <c r="HC25" s="47"/>
      <c r="HD25" s="47"/>
      <c r="HE25" s="47"/>
      <c r="HF25" s="47"/>
      <c r="HG25" s="47"/>
      <c r="HH25" s="47"/>
      <c r="HI25" s="47"/>
      <c r="HJ25" s="47"/>
      <c r="HK25" s="47"/>
      <c r="HL25" s="47"/>
      <c r="HM25" s="47"/>
      <c r="HN25" s="47"/>
      <c r="HO25" s="47"/>
      <c r="HP25" s="47"/>
      <c r="HQ25" s="47"/>
      <c r="HR25" s="47"/>
      <c r="HS25" s="47"/>
      <c r="HT25" s="47"/>
      <c r="HU25" s="47"/>
      <c r="HV25" s="47"/>
      <c r="HW25" s="47"/>
      <c r="HX25" s="47"/>
      <c r="HY25" s="47"/>
      <c r="HZ25" s="47"/>
      <c r="IA25" s="47"/>
      <c r="IB25" s="47"/>
      <c r="IC25" s="47"/>
      <c r="ID25" s="47"/>
      <c r="IE25" s="47"/>
      <c r="IF25" s="47"/>
      <c r="IG25" s="47"/>
      <c r="IH25" s="47"/>
      <c r="II25" s="47"/>
      <c r="IJ25" s="47"/>
      <c r="IK25" s="47"/>
      <c r="IL25" s="47"/>
      <c r="IM25" s="47"/>
      <c r="IN25" s="47"/>
      <c r="IO25" s="47"/>
      <c r="IP25" s="47"/>
      <c r="IQ25" s="47"/>
      <c r="IR25" s="47"/>
      <c r="IS25" s="47"/>
      <c r="IT25" s="47"/>
      <c r="IU25" s="47"/>
      <c r="IV25" s="47"/>
      <c r="IW25" s="47"/>
      <c r="IX25" s="47"/>
      <c r="IY25" s="47"/>
      <c r="IZ25" s="47"/>
      <c r="JA25" s="47"/>
      <c r="JB25" s="47"/>
      <c r="JC25" s="47"/>
      <c r="JD25" s="47"/>
      <c r="JE25" s="47"/>
      <c r="JF25" s="47"/>
      <c r="JG25" s="47"/>
      <c r="JH25" s="47"/>
      <c r="JI25" s="47"/>
      <c r="JJ25" s="47"/>
      <c r="JK25" s="47"/>
      <c r="JL25" s="47"/>
      <c r="JM25" s="47"/>
      <c r="JN25" s="47"/>
      <c r="JO25" s="47"/>
      <c r="JP25" s="47"/>
      <c r="JQ25" s="47"/>
      <c r="JR25" s="47"/>
      <c r="JS25" s="47"/>
      <c r="JT25" s="47"/>
      <c r="JU25" s="47"/>
      <c r="JV25" s="47"/>
      <c r="JW25" s="47"/>
      <c r="JX25" s="47"/>
      <c r="JY25" s="47"/>
      <c r="JZ25" s="47"/>
      <c r="KA25" s="47"/>
      <c r="KB25" s="47"/>
      <c r="KC25" s="47"/>
      <c r="KD25" s="47"/>
      <c r="KE25" s="47"/>
      <c r="KF25" s="47"/>
      <c r="KG25" s="47"/>
      <c r="KH25" s="47"/>
      <c r="KI25" s="47"/>
      <c r="KJ25" s="47"/>
      <c r="KK25" s="47"/>
      <c r="KL25" s="47"/>
      <c r="KM25" s="47"/>
      <c r="KN25" s="47"/>
      <c r="KO25" s="47"/>
      <c r="KP25" s="47"/>
      <c r="KQ25" s="47"/>
      <c r="KR25" s="47"/>
      <c r="KS25" s="47"/>
      <c r="KT25" s="47"/>
      <c r="KU25" s="47"/>
      <c r="KV25" s="47"/>
      <c r="KW25" s="47"/>
      <c r="KX25" s="47"/>
      <c r="KY25" s="47"/>
      <c r="KZ25" s="47"/>
      <c r="LA25" s="47"/>
      <c r="LB25" s="47"/>
      <c r="LC25" s="47"/>
      <c r="LD25" s="47"/>
      <c r="LE25" s="47"/>
      <c r="LF25" s="47"/>
      <c r="LG25" s="47"/>
      <c r="LH25" s="47"/>
      <c r="LI25" s="47"/>
      <c r="LJ25" s="47"/>
      <c r="LK25" s="47"/>
      <c r="LL25" s="47"/>
      <c r="LM25" s="47"/>
      <c r="LN25" s="47"/>
      <c r="LO25" s="47"/>
      <c r="LP25" s="47"/>
      <c r="LQ25" s="47"/>
      <c r="LR25" s="47"/>
      <c r="LS25" s="47"/>
      <c r="LT25" s="47"/>
      <c r="LU25" s="47"/>
      <c r="LV25" s="47"/>
      <c r="LW25" s="47"/>
      <c r="LX25" s="47"/>
      <c r="LY25" s="47"/>
      <c r="LZ25" s="47"/>
      <c r="MA25" s="47"/>
      <c r="MB25" s="47"/>
      <c r="MC25" s="47"/>
      <c r="MD25" s="47"/>
      <c r="ME25" s="47"/>
      <c r="MF25" s="47"/>
      <c r="MG25" s="47"/>
      <c r="MH25" s="47"/>
      <c r="MI25" s="47"/>
      <c r="MJ25" s="47"/>
      <c r="MK25" s="47"/>
      <c r="ML25" s="47"/>
      <c r="MM25" s="47"/>
      <c r="MN25" s="47"/>
      <c r="MO25" s="47"/>
      <c r="MP25" s="47"/>
      <c r="MQ25" s="47"/>
      <c r="MR25" s="47"/>
      <c r="MS25" s="47"/>
      <c r="MT25" s="47"/>
      <c r="MU25" s="47"/>
      <c r="MV25" s="47"/>
      <c r="MW25" s="47"/>
      <c r="MX25" s="47"/>
      <c r="MY25" s="47"/>
      <c r="MZ25" s="47"/>
      <c r="NA25" s="47"/>
      <c r="NB25" s="47"/>
      <c r="NC25" s="47"/>
      <c r="ND25" s="47"/>
      <c r="NE25" s="47"/>
      <c r="NF25" s="47"/>
      <c r="NG25" s="47"/>
      <c r="NH25" s="47"/>
      <c r="NI25" s="47"/>
      <c r="NJ25" s="47"/>
      <c r="NK25" s="47"/>
      <c r="NL25" s="47"/>
      <c r="NM25" s="47"/>
      <c r="NN25" s="47"/>
      <c r="NO25" s="47"/>
      <c r="NP25" s="47"/>
      <c r="NQ25" s="47"/>
      <c r="NR25" s="47"/>
      <c r="NS25" s="47"/>
      <c r="NT25" s="47"/>
      <c r="NU25" s="47"/>
      <c r="NV25" s="47"/>
      <c r="NW25" s="47"/>
      <c r="NX25" s="47"/>
      <c r="NY25" s="47"/>
      <c r="NZ25" s="47"/>
      <c r="OA25" s="47"/>
      <c r="OB25" s="47"/>
      <c r="OC25" s="47"/>
      <c r="OD25" s="47"/>
      <c r="OE25" s="48"/>
    </row>
    <row r="26" spans="1:395">
      <c r="A26" s="33" t="str">
        <f t="shared" si="15"/>
        <v/>
      </c>
      <c r="C26" s="2" t="str">
        <f>IF(ISBLANK($B26),"",_xlfn.XLOOKUP($B26,Task_No,Project!$C$3:$C$144,"INVALID TASK"))</f>
        <v/>
      </c>
      <c r="D26" s="27"/>
      <c r="E26" s="7" t="str">
        <f t="shared" si="17"/>
        <v/>
      </c>
      <c r="F26" s="7" t="str">
        <f t="shared" si="18"/>
        <v/>
      </c>
      <c r="G26" s="34"/>
      <c r="H26" s="34" t="str" cm="1">
        <f t="array" ref="H26">IF($C26="","",SUMPRODUCT((TEXT($AE$5:$OE$5, "mmm")=LOWER(G$3))*$AE26:$OE26))</f>
        <v/>
      </c>
      <c r="I26" s="34"/>
      <c r="J26" s="34" t="str" cm="1">
        <f t="array" ref="J26">IF($C26="","",SUMPRODUCT((TEXT($AE$5:$OE$5, "mmm")=LOWER(I$3))*$AE26:$OE26))</f>
        <v/>
      </c>
      <c r="K26" s="34"/>
      <c r="L26" s="34" t="str" cm="1">
        <f t="array" ref="L26">IF($C26="","",SUMPRODUCT((TEXT($AE$5:$OE$5, "mmm")=LOWER(K$3))*$AE26:$OE26))</f>
        <v/>
      </c>
      <c r="M26" s="34"/>
      <c r="N26" s="34" t="str" cm="1">
        <f t="array" ref="N26">IF($C26="","",SUMPRODUCT((TEXT($AE$5:$OE$5, "mmm")=LOWER(M$3))*$AE26:$OE26))</f>
        <v/>
      </c>
      <c r="O26" s="34"/>
      <c r="P26" s="34" t="str" cm="1">
        <f t="array" ref="P26">IF($C26="","",SUMPRODUCT((TEXT($AE$5:$OE$5, "mmm")=LOWER(O$3))*$AE26:$OE26))</f>
        <v/>
      </c>
      <c r="Q26" s="34"/>
      <c r="R26" s="34" t="str" cm="1">
        <f t="array" ref="R26">IF($C26="","",SUMPRODUCT((TEXT($AE$5:$OE$5, "mmm")=LOWER(Q$3))*$AE26:$OE26))</f>
        <v/>
      </c>
      <c r="S26" s="34"/>
      <c r="T26" s="34" t="str" cm="1">
        <f t="array" ref="T26">IF($C26="","",SUMPRODUCT((TEXT($AE$5:$OE$5, "mmm")=LOWER(S$3))*$AE26:$OE26))</f>
        <v/>
      </c>
      <c r="U26" s="34"/>
      <c r="V26" s="34" t="str" cm="1">
        <f t="array" ref="V26">IF($C26="","",SUMPRODUCT((TEXT($AE$5:$OE$5, "mmm")=LOWER(U$3))*$AE26:$OE26))</f>
        <v/>
      </c>
      <c r="W26" s="34"/>
      <c r="X26" s="34" t="str" cm="1">
        <f t="array" ref="X26">IF($C26="","",SUMPRODUCT((TEXT($AE$5:$OE$5, "mmm")=LOWER(W$3))*$AE26:$OE26))</f>
        <v/>
      </c>
      <c r="Y26" s="34"/>
      <c r="Z26" s="34" t="str" cm="1">
        <f t="array" ref="Z26">IF($C26="","",SUMPRODUCT((TEXT($AE$5:$OE$5, "mmm")=LOWER(Y$3))*$AE26:$OE26))</f>
        <v/>
      </c>
      <c r="AA26" s="34"/>
      <c r="AB26" s="34" t="str" cm="1">
        <f t="array" ref="AB26">IF($C26="","",SUMPRODUCT((TEXT($AE$5:$OE$5, "mmm")=LOWER(AA$3))*$AE26:$OE26))</f>
        <v/>
      </c>
      <c r="AC26" s="34"/>
      <c r="AD26" s="34" t="str" cm="1">
        <f t="array" ref="AD26">IF($C26="","",SUMPRODUCT((TEXT($AE$5:$OE$5, "mmm")=LOWER(AC$3))*$AE26:$OE26))</f>
        <v/>
      </c>
      <c r="AE26" s="47"/>
      <c r="AF26" s="47"/>
      <c r="AG26" s="47"/>
      <c r="AH26" s="47"/>
      <c r="AI26" s="47"/>
      <c r="AJ26" s="47"/>
      <c r="AK26" s="47"/>
      <c r="AL26" s="47"/>
      <c r="AM26" s="47"/>
      <c r="AN26" s="47"/>
      <c r="AO26" s="47"/>
      <c r="AP26" s="47"/>
      <c r="AQ26" s="47"/>
      <c r="AR26" s="47"/>
      <c r="AS26" s="47"/>
      <c r="AT26" s="47"/>
      <c r="AU26" s="47"/>
      <c r="AV26" s="47"/>
      <c r="AW26" s="47"/>
      <c r="AX26" s="47"/>
      <c r="AY26" s="47"/>
      <c r="AZ26" s="47"/>
      <c r="BA26" s="47"/>
      <c r="BB26" s="47"/>
      <c r="BC26" s="47"/>
      <c r="BD26" s="47"/>
      <c r="BE26" s="47"/>
      <c r="BF26" s="47"/>
      <c r="BG26" s="47"/>
      <c r="BH26" s="47"/>
      <c r="BI26" s="47"/>
      <c r="BJ26" s="47"/>
      <c r="BK26" s="47"/>
      <c r="BL26" s="47"/>
      <c r="BM26" s="47"/>
      <c r="BN26" s="47"/>
      <c r="BO26" s="47"/>
      <c r="BP26" s="47"/>
      <c r="BQ26" s="47"/>
      <c r="BR26" s="47"/>
      <c r="BS26" s="47"/>
      <c r="BT26" s="47"/>
      <c r="BU26" s="47"/>
      <c r="BV26" s="47"/>
      <c r="BW26" s="47"/>
      <c r="BX26" s="47"/>
      <c r="BY26" s="47"/>
      <c r="BZ26" s="47"/>
      <c r="CA26" s="47"/>
      <c r="CB26" s="47"/>
      <c r="CC26" s="47"/>
      <c r="CD26" s="47"/>
      <c r="CE26" s="47"/>
      <c r="CF26" s="47"/>
      <c r="CG26" s="47"/>
      <c r="CH26" s="47"/>
      <c r="CI26" s="47"/>
      <c r="CJ26" s="47"/>
      <c r="CK26" s="47"/>
      <c r="CL26" s="47"/>
      <c r="CM26" s="47"/>
      <c r="CN26" s="47"/>
      <c r="CO26" s="47"/>
      <c r="CP26" s="47"/>
      <c r="CQ26" s="47"/>
      <c r="CR26" s="47"/>
      <c r="CS26" s="47"/>
      <c r="CT26" s="47"/>
      <c r="CU26" s="47"/>
      <c r="CV26" s="47"/>
      <c r="CW26" s="47"/>
      <c r="CX26" s="47"/>
      <c r="CY26" s="47"/>
      <c r="CZ26" s="47"/>
      <c r="DA26" s="47"/>
      <c r="DB26" s="47"/>
      <c r="DC26" s="47"/>
      <c r="DD26" s="47"/>
      <c r="DE26" s="47"/>
      <c r="DF26" s="47"/>
      <c r="DG26" s="47"/>
      <c r="DH26" s="47"/>
      <c r="DI26" s="47"/>
      <c r="DJ26" s="47"/>
      <c r="DK26" s="47"/>
      <c r="DL26" s="47"/>
      <c r="DM26" s="47"/>
      <c r="DN26" s="47"/>
      <c r="DO26" s="47"/>
      <c r="DP26" s="47"/>
      <c r="DQ26" s="47"/>
      <c r="DR26" s="47"/>
      <c r="DS26" s="47"/>
      <c r="DT26" s="47"/>
      <c r="DU26" s="47"/>
      <c r="DV26" s="47"/>
      <c r="DW26" s="47"/>
      <c r="DX26" s="47"/>
      <c r="DY26" s="47"/>
      <c r="DZ26" s="47"/>
      <c r="EA26" s="47"/>
      <c r="EB26" s="47"/>
      <c r="EC26" s="47"/>
      <c r="ED26" s="47"/>
      <c r="EE26" s="47"/>
      <c r="EF26" s="47"/>
      <c r="EG26" s="47"/>
      <c r="EH26" s="47"/>
      <c r="EI26" s="47"/>
      <c r="EJ26" s="47"/>
      <c r="EK26" s="47"/>
      <c r="EL26" s="47"/>
      <c r="EM26" s="47"/>
      <c r="EN26" s="47"/>
      <c r="EO26" s="47"/>
      <c r="EP26" s="47"/>
      <c r="EQ26" s="47"/>
      <c r="ER26" s="47"/>
      <c r="ES26" s="47"/>
      <c r="ET26" s="47"/>
      <c r="EU26" s="47"/>
      <c r="EV26" s="47"/>
      <c r="EW26" s="47"/>
      <c r="EX26" s="47"/>
      <c r="EY26" s="47"/>
      <c r="EZ26" s="47"/>
      <c r="FA26" s="47"/>
      <c r="FB26" s="47"/>
      <c r="FC26" s="47"/>
      <c r="FD26" s="47"/>
      <c r="FE26" s="47"/>
      <c r="FF26" s="47"/>
      <c r="FG26" s="47"/>
      <c r="FH26" s="47"/>
      <c r="FI26" s="47"/>
      <c r="FJ26" s="47"/>
      <c r="FK26" s="47"/>
      <c r="FL26" s="47"/>
      <c r="FM26" s="47"/>
      <c r="FN26" s="47"/>
      <c r="FO26" s="47"/>
      <c r="FP26" s="47"/>
      <c r="FQ26" s="47"/>
      <c r="FR26" s="47"/>
      <c r="FS26" s="47"/>
      <c r="FT26" s="47"/>
      <c r="FU26" s="47"/>
      <c r="FV26" s="47"/>
      <c r="FW26" s="47"/>
      <c r="FX26" s="47"/>
      <c r="FY26" s="47"/>
      <c r="FZ26" s="47"/>
      <c r="GA26" s="47"/>
      <c r="GB26" s="47"/>
      <c r="GC26" s="47"/>
      <c r="GD26" s="47"/>
      <c r="GE26" s="47"/>
      <c r="GF26" s="47"/>
      <c r="GG26" s="47"/>
      <c r="GH26" s="47"/>
      <c r="GI26" s="47"/>
      <c r="GJ26" s="47"/>
      <c r="GK26" s="47"/>
      <c r="GL26" s="47"/>
      <c r="GM26" s="47"/>
      <c r="GN26" s="47"/>
      <c r="GO26" s="47"/>
      <c r="GP26" s="47"/>
      <c r="GQ26" s="47"/>
      <c r="GR26" s="47"/>
      <c r="GS26" s="47"/>
      <c r="GT26" s="47"/>
      <c r="GU26" s="47"/>
      <c r="GV26" s="47"/>
      <c r="GW26" s="47"/>
      <c r="GX26" s="47"/>
      <c r="GY26" s="47"/>
      <c r="GZ26" s="47"/>
      <c r="HA26" s="47"/>
      <c r="HB26" s="47"/>
      <c r="HC26" s="47"/>
      <c r="HD26" s="47"/>
      <c r="HE26" s="47"/>
      <c r="HF26" s="47"/>
      <c r="HG26" s="47"/>
      <c r="HH26" s="47"/>
      <c r="HI26" s="47"/>
      <c r="HJ26" s="47"/>
      <c r="HK26" s="47"/>
      <c r="HL26" s="47"/>
      <c r="HM26" s="47"/>
      <c r="HN26" s="47"/>
      <c r="HO26" s="47"/>
      <c r="HP26" s="47"/>
      <c r="HQ26" s="47"/>
      <c r="HR26" s="47"/>
      <c r="HS26" s="47"/>
      <c r="HT26" s="47"/>
      <c r="HU26" s="47"/>
      <c r="HV26" s="47"/>
      <c r="HW26" s="47"/>
      <c r="HX26" s="47"/>
      <c r="HY26" s="47"/>
      <c r="HZ26" s="47"/>
      <c r="IA26" s="47"/>
      <c r="IB26" s="47"/>
      <c r="IC26" s="47"/>
      <c r="ID26" s="47"/>
      <c r="IE26" s="47"/>
      <c r="IF26" s="47"/>
      <c r="IG26" s="47"/>
      <c r="IH26" s="47"/>
      <c r="II26" s="47"/>
      <c r="IJ26" s="47"/>
      <c r="IK26" s="47"/>
      <c r="IL26" s="47"/>
      <c r="IM26" s="47"/>
      <c r="IN26" s="47"/>
      <c r="IO26" s="47"/>
      <c r="IP26" s="47"/>
      <c r="IQ26" s="47"/>
      <c r="IR26" s="47"/>
      <c r="IS26" s="47"/>
      <c r="IT26" s="47"/>
      <c r="IU26" s="47"/>
      <c r="IV26" s="47"/>
      <c r="IW26" s="47"/>
      <c r="IX26" s="47"/>
      <c r="IY26" s="47"/>
      <c r="IZ26" s="47"/>
      <c r="JA26" s="47"/>
      <c r="JB26" s="47"/>
      <c r="JC26" s="47"/>
      <c r="JD26" s="47"/>
      <c r="JE26" s="47"/>
      <c r="JF26" s="47"/>
      <c r="JG26" s="47"/>
      <c r="JH26" s="47"/>
      <c r="JI26" s="47"/>
      <c r="JJ26" s="47"/>
      <c r="JK26" s="47"/>
      <c r="JL26" s="47"/>
      <c r="JM26" s="47"/>
      <c r="JN26" s="47"/>
      <c r="JO26" s="47"/>
      <c r="JP26" s="47"/>
      <c r="JQ26" s="47"/>
      <c r="JR26" s="47"/>
      <c r="JS26" s="47"/>
      <c r="JT26" s="47"/>
      <c r="JU26" s="47"/>
      <c r="JV26" s="47"/>
      <c r="JW26" s="47"/>
      <c r="JX26" s="47"/>
      <c r="JY26" s="47"/>
      <c r="JZ26" s="47"/>
      <c r="KA26" s="47"/>
      <c r="KB26" s="47"/>
      <c r="KC26" s="47"/>
      <c r="KD26" s="47"/>
      <c r="KE26" s="47"/>
      <c r="KF26" s="47"/>
      <c r="KG26" s="47"/>
      <c r="KH26" s="47"/>
      <c r="KI26" s="47"/>
      <c r="KJ26" s="47"/>
      <c r="KK26" s="47"/>
      <c r="KL26" s="47"/>
      <c r="KM26" s="47"/>
      <c r="KN26" s="47"/>
      <c r="KO26" s="47"/>
      <c r="KP26" s="47"/>
      <c r="KQ26" s="47"/>
      <c r="KR26" s="47"/>
      <c r="KS26" s="47"/>
      <c r="KT26" s="47"/>
      <c r="KU26" s="47"/>
      <c r="KV26" s="47"/>
      <c r="KW26" s="47"/>
      <c r="KX26" s="47"/>
      <c r="KY26" s="47"/>
      <c r="KZ26" s="47"/>
      <c r="LA26" s="47"/>
      <c r="LB26" s="47"/>
      <c r="LC26" s="47"/>
      <c r="LD26" s="47"/>
      <c r="LE26" s="47"/>
      <c r="LF26" s="47"/>
      <c r="LG26" s="47"/>
      <c r="LH26" s="47"/>
      <c r="LI26" s="47"/>
      <c r="LJ26" s="47"/>
      <c r="LK26" s="47"/>
      <c r="LL26" s="47"/>
      <c r="LM26" s="47"/>
      <c r="LN26" s="47"/>
      <c r="LO26" s="47"/>
      <c r="LP26" s="47"/>
      <c r="LQ26" s="47"/>
      <c r="LR26" s="47"/>
      <c r="LS26" s="47"/>
      <c r="LT26" s="47"/>
      <c r="LU26" s="47"/>
      <c r="LV26" s="47"/>
      <c r="LW26" s="47"/>
      <c r="LX26" s="47"/>
      <c r="LY26" s="47"/>
      <c r="LZ26" s="47"/>
      <c r="MA26" s="47"/>
      <c r="MB26" s="47"/>
      <c r="MC26" s="47"/>
      <c r="MD26" s="47"/>
      <c r="ME26" s="47"/>
      <c r="MF26" s="47"/>
      <c r="MG26" s="47"/>
      <c r="MH26" s="47"/>
      <c r="MI26" s="47"/>
      <c r="MJ26" s="47"/>
      <c r="MK26" s="47"/>
      <c r="ML26" s="47"/>
      <c r="MM26" s="47"/>
      <c r="MN26" s="47"/>
      <c r="MO26" s="47"/>
      <c r="MP26" s="47"/>
      <c r="MQ26" s="47"/>
      <c r="MR26" s="47"/>
      <c r="MS26" s="47"/>
      <c r="MT26" s="47"/>
      <c r="MU26" s="47"/>
      <c r="MV26" s="47"/>
      <c r="MW26" s="47"/>
      <c r="MX26" s="47"/>
      <c r="MY26" s="47"/>
      <c r="MZ26" s="47"/>
      <c r="NA26" s="47"/>
      <c r="NB26" s="47"/>
      <c r="NC26" s="47"/>
      <c r="ND26" s="47"/>
      <c r="NE26" s="47"/>
      <c r="NF26" s="47"/>
      <c r="NG26" s="47"/>
      <c r="NH26" s="47"/>
      <c r="NI26" s="47"/>
      <c r="NJ26" s="47"/>
      <c r="NK26" s="47"/>
      <c r="NL26" s="47"/>
      <c r="NM26" s="47"/>
      <c r="NN26" s="47"/>
      <c r="NO26" s="47"/>
      <c r="NP26" s="47"/>
      <c r="NQ26" s="47"/>
      <c r="NR26" s="47"/>
      <c r="NS26" s="47"/>
      <c r="NT26" s="47"/>
      <c r="NU26" s="47"/>
      <c r="NV26" s="47"/>
      <c r="NW26" s="47"/>
      <c r="NX26" s="47"/>
      <c r="NY26" s="47"/>
      <c r="NZ26" s="47"/>
      <c r="OA26" s="47"/>
      <c r="OB26" s="47"/>
      <c r="OC26" s="47"/>
      <c r="OD26" s="47"/>
      <c r="OE26" s="48"/>
    </row>
    <row r="27" spans="1:395">
      <c r="A27" s="33" t="str">
        <f t="shared" si="15"/>
        <v/>
      </c>
      <c r="C27" s="2" t="str">
        <f>IF(ISBLANK($B27),"",_xlfn.XLOOKUP($B27,Task_No,Project!$C$3:$C$144,"INVALID TASK"))</f>
        <v/>
      </c>
      <c r="D27" s="27"/>
      <c r="E27" s="7" t="str">
        <f t="shared" si="17"/>
        <v/>
      </c>
      <c r="F27" s="7" t="str">
        <f t="shared" si="18"/>
        <v/>
      </c>
      <c r="G27" s="34"/>
      <c r="H27" s="34" t="str" cm="1">
        <f t="array" ref="H27">IF($C27="","",SUMPRODUCT((TEXT($AE$5:$OE$5, "mmm")=LOWER(G$3))*$AE27:$OE27))</f>
        <v/>
      </c>
      <c r="I27" s="34"/>
      <c r="J27" s="34" t="str" cm="1">
        <f t="array" ref="J27">IF($C27="","",SUMPRODUCT((TEXT($AE$5:$OE$5, "mmm")=LOWER(I$3))*$AE27:$OE27))</f>
        <v/>
      </c>
      <c r="K27" s="34"/>
      <c r="L27" s="34" t="str" cm="1">
        <f t="array" ref="L27">IF($C27="","",SUMPRODUCT((TEXT($AE$5:$OE$5, "mmm")=LOWER(K$3))*$AE27:$OE27))</f>
        <v/>
      </c>
      <c r="M27" s="34"/>
      <c r="N27" s="34" t="str" cm="1">
        <f t="array" ref="N27">IF($C27="","",SUMPRODUCT((TEXT($AE$5:$OE$5, "mmm")=LOWER(M$3))*$AE27:$OE27))</f>
        <v/>
      </c>
      <c r="O27" s="34"/>
      <c r="P27" s="34" t="str" cm="1">
        <f t="array" ref="P27">IF($C27="","",SUMPRODUCT((TEXT($AE$5:$OE$5, "mmm")=LOWER(O$3))*$AE27:$OE27))</f>
        <v/>
      </c>
      <c r="Q27" s="34"/>
      <c r="R27" s="34" t="str" cm="1">
        <f t="array" ref="R27">IF($C27="","",SUMPRODUCT((TEXT($AE$5:$OE$5, "mmm")=LOWER(Q$3))*$AE27:$OE27))</f>
        <v/>
      </c>
      <c r="S27" s="34"/>
      <c r="T27" s="34" t="str" cm="1">
        <f t="array" ref="T27">IF($C27="","",SUMPRODUCT((TEXT($AE$5:$OE$5, "mmm")=LOWER(S$3))*$AE27:$OE27))</f>
        <v/>
      </c>
      <c r="U27" s="34"/>
      <c r="V27" s="34" t="str" cm="1">
        <f t="array" ref="V27">IF($C27="","",SUMPRODUCT((TEXT($AE$5:$OE$5, "mmm")=LOWER(U$3))*$AE27:$OE27))</f>
        <v/>
      </c>
      <c r="W27" s="34"/>
      <c r="X27" s="34" t="str" cm="1">
        <f t="array" ref="X27">IF($C27="","",SUMPRODUCT((TEXT($AE$5:$OE$5, "mmm")=LOWER(W$3))*$AE27:$OE27))</f>
        <v/>
      </c>
      <c r="Y27" s="34"/>
      <c r="Z27" s="34" t="str" cm="1">
        <f t="array" ref="Z27">IF($C27="","",SUMPRODUCT((TEXT($AE$5:$OE$5, "mmm")=LOWER(Y$3))*$AE27:$OE27))</f>
        <v/>
      </c>
      <c r="AA27" s="34"/>
      <c r="AB27" s="34" t="str" cm="1">
        <f t="array" ref="AB27">IF($C27="","",SUMPRODUCT((TEXT($AE$5:$OE$5, "mmm")=LOWER(AA$3))*$AE27:$OE27))</f>
        <v/>
      </c>
      <c r="AC27" s="34"/>
      <c r="AD27" s="34" t="str" cm="1">
        <f t="array" ref="AD27">IF($C27="","",SUMPRODUCT((TEXT($AE$5:$OE$5, "mmm")=LOWER(AC$3))*$AE27:$OE27))</f>
        <v/>
      </c>
      <c r="AE27" s="47"/>
      <c r="AF27" s="47"/>
      <c r="AG27" s="47"/>
      <c r="AH27" s="47"/>
      <c r="AI27" s="47"/>
      <c r="AJ27" s="47"/>
      <c r="AK27" s="47"/>
      <c r="AL27" s="47"/>
      <c r="AM27" s="47"/>
      <c r="AN27" s="47"/>
      <c r="AO27" s="47"/>
      <c r="AP27" s="47"/>
      <c r="AQ27" s="47"/>
      <c r="AR27" s="47"/>
      <c r="AS27" s="47"/>
      <c r="AT27" s="47"/>
      <c r="AU27" s="47"/>
      <c r="AV27" s="47"/>
      <c r="AW27" s="47"/>
      <c r="AX27" s="47"/>
      <c r="AY27" s="47"/>
      <c r="AZ27" s="47"/>
      <c r="BA27" s="47"/>
      <c r="BB27" s="47"/>
      <c r="BC27" s="47"/>
      <c r="BD27" s="47"/>
      <c r="BE27" s="47"/>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c r="CK27" s="47"/>
      <c r="CL27" s="47"/>
      <c r="CM27" s="47"/>
      <c r="CN27" s="47"/>
      <c r="CO27" s="47"/>
      <c r="CP27" s="47"/>
      <c r="CQ27" s="47"/>
      <c r="CR27" s="47"/>
      <c r="CS27" s="47"/>
      <c r="CT27" s="47"/>
      <c r="CU27" s="47"/>
      <c r="CV27" s="47"/>
      <c r="CW27" s="47"/>
      <c r="CX27" s="47"/>
      <c r="CY27" s="47"/>
      <c r="CZ27" s="47"/>
      <c r="DA27" s="47"/>
      <c r="DB27" s="47"/>
      <c r="DC27" s="47"/>
      <c r="DD27" s="47"/>
      <c r="DE27" s="47"/>
      <c r="DF27" s="47"/>
      <c r="DG27" s="47"/>
      <c r="DH27" s="47"/>
      <c r="DI27" s="47"/>
      <c r="DJ27" s="47"/>
      <c r="DK27" s="47"/>
      <c r="DL27" s="47"/>
      <c r="DM27" s="47"/>
      <c r="DN27" s="47"/>
      <c r="DO27" s="47"/>
      <c r="DP27" s="47"/>
      <c r="DQ27" s="47"/>
      <c r="DR27" s="47"/>
      <c r="DS27" s="47"/>
      <c r="DT27" s="47"/>
      <c r="DU27" s="47"/>
      <c r="DV27" s="47"/>
      <c r="DW27" s="47"/>
      <c r="DX27" s="47"/>
      <c r="DY27" s="47"/>
      <c r="DZ27" s="47"/>
      <c r="EA27" s="47"/>
      <c r="EB27" s="47"/>
      <c r="EC27" s="47"/>
      <c r="ED27" s="47"/>
      <c r="EE27" s="47"/>
      <c r="EF27" s="47"/>
      <c r="EG27" s="47"/>
      <c r="EH27" s="47"/>
      <c r="EI27" s="47"/>
      <c r="EJ27" s="47"/>
      <c r="EK27" s="47"/>
      <c r="EL27" s="47"/>
      <c r="EM27" s="47"/>
      <c r="EN27" s="47"/>
      <c r="EO27" s="47"/>
      <c r="EP27" s="47"/>
      <c r="EQ27" s="47"/>
      <c r="ER27" s="47"/>
      <c r="ES27" s="47"/>
      <c r="ET27" s="47"/>
      <c r="EU27" s="47"/>
      <c r="EV27" s="47"/>
      <c r="EW27" s="47"/>
      <c r="EX27" s="47"/>
      <c r="EY27" s="47"/>
      <c r="EZ27" s="47"/>
      <c r="FA27" s="47"/>
      <c r="FB27" s="47"/>
      <c r="FC27" s="47"/>
      <c r="FD27" s="47"/>
      <c r="FE27" s="47"/>
      <c r="FF27" s="47"/>
      <c r="FG27" s="47"/>
      <c r="FH27" s="47"/>
      <c r="FI27" s="47"/>
      <c r="FJ27" s="47"/>
      <c r="FK27" s="47"/>
      <c r="FL27" s="47"/>
      <c r="FM27" s="47"/>
      <c r="FN27" s="47"/>
      <c r="FO27" s="47"/>
      <c r="FP27" s="47"/>
      <c r="FQ27" s="47"/>
      <c r="FR27" s="47"/>
      <c r="FS27" s="47"/>
      <c r="FT27" s="47"/>
      <c r="FU27" s="47"/>
      <c r="FV27" s="47"/>
      <c r="FW27" s="47"/>
      <c r="FX27" s="47"/>
      <c r="FY27" s="47"/>
      <c r="FZ27" s="47"/>
      <c r="GA27" s="47"/>
      <c r="GB27" s="47"/>
      <c r="GC27" s="47"/>
      <c r="GD27" s="47"/>
      <c r="GE27" s="47"/>
      <c r="GF27" s="47"/>
      <c r="GG27" s="47"/>
      <c r="GH27" s="47"/>
      <c r="GI27" s="47"/>
      <c r="GJ27" s="47"/>
      <c r="GK27" s="47"/>
      <c r="GL27" s="47"/>
      <c r="GM27" s="47"/>
      <c r="GN27" s="47"/>
      <c r="GO27" s="47"/>
      <c r="GP27" s="47"/>
      <c r="GQ27" s="47"/>
      <c r="GR27" s="47"/>
      <c r="GS27" s="47"/>
      <c r="GT27" s="47"/>
      <c r="GU27" s="47"/>
      <c r="GV27" s="47"/>
      <c r="GW27" s="47"/>
      <c r="GX27" s="47"/>
      <c r="GY27" s="47"/>
      <c r="GZ27" s="47"/>
      <c r="HA27" s="47"/>
      <c r="HB27" s="47"/>
      <c r="HC27" s="47"/>
      <c r="HD27" s="47"/>
      <c r="HE27" s="47"/>
      <c r="HF27" s="47"/>
      <c r="HG27" s="47"/>
      <c r="HH27" s="47"/>
      <c r="HI27" s="47"/>
      <c r="HJ27" s="47"/>
      <c r="HK27" s="47"/>
      <c r="HL27" s="47"/>
      <c r="HM27" s="47"/>
      <c r="HN27" s="47"/>
      <c r="HO27" s="47"/>
      <c r="HP27" s="47"/>
      <c r="HQ27" s="47"/>
      <c r="HR27" s="47"/>
      <c r="HS27" s="47"/>
      <c r="HT27" s="47"/>
      <c r="HU27" s="47"/>
      <c r="HV27" s="47"/>
      <c r="HW27" s="47"/>
      <c r="HX27" s="47"/>
      <c r="HY27" s="47"/>
      <c r="HZ27" s="47"/>
      <c r="IA27" s="47"/>
      <c r="IB27" s="47"/>
      <c r="IC27" s="47"/>
      <c r="ID27" s="47"/>
      <c r="IE27" s="47"/>
      <c r="IF27" s="47"/>
      <c r="IG27" s="47"/>
      <c r="IH27" s="47"/>
      <c r="II27" s="47"/>
      <c r="IJ27" s="47"/>
      <c r="IK27" s="47"/>
      <c r="IL27" s="47"/>
      <c r="IM27" s="47"/>
      <c r="IN27" s="47"/>
      <c r="IO27" s="47"/>
      <c r="IP27" s="47"/>
      <c r="IQ27" s="47"/>
      <c r="IR27" s="47"/>
      <c r="IS27" s="47"/>
      <c r="IT27" s="47"/>
      <c r="IU27" s="47"/>
      <c r="IV27" s="47"/>
      <c r="IW27" s="47"/>
      <c r="IX27" s="47"/>
      <c r="IY27" s="47"/>
      <c r="IZ27" s="47"/>
      <c r="JA27" s="47"/>
      <c r="JB27" s="47"/>
      <c r="JC27" s="47"/>
      <c r="JD27" s="47"/>
      <c r="JE27" s="47"/>
      <c r="JF27" s="47"/>
      <c r="JG27" s="47"/>
      <c r="JH27" s="47"/>
      <c r="JI27" s="47"/>
      <c r="JJ27" s="47"/>
      <c r="JK27" s="47"/>
      <c r="JL27" s="47"/>
      <c r="JM27" s="47"/>
      <c r="JN27" s="47"/>
      <c r="JO27" s="47"/>
      <c r="JP27" s="47"/>
      <c r="JQ27" s="47"/>
      <c r="JR27" s="47"/>
      <c r="JS27" s="47"/>
      <c r="JT27" s="47"/>
      <c r="JU27" s="47"/>
      <c r="JV27" s="47"/>
      <c r="JW27" s="47"/>
      <c r="JX27" s="47"/>
      <c r="JY27" s="47"/>
      <c r="JZ27" s="47"/>
      <c r="KA27" s="47"/>
      <c r="KB27" s="47"/>
      <c r="KC27" s="47"/>
      <c r="KD27" s="47"/>
      <c r="KE27" s="47"/>
      <c r="KF27" s="47"/>
      <c r="KG27" s="47"/>
      <c r="KH27" s="47"/>
      <c r="KI27" s="47"/>
      <c r="KJ27" s="47"/>
      <c r="KK27" s="47"/>
      <c r="KL27" s="47"/>
      <c r="KM27" s="47"/>
      <c r="KN27" s="47"/>
      <c r="KO27" s="47"/>
      <c r="KP27" s="47"/>
      <c r="KQ27" s="47"/>
      <c r="KR27" s="47"/>
      <c r="KS27" s="47"/>
      <c r="KT27" s="47"/>
      <c r="KU27" s="47"/>
      <c r="KV27" s="47"/>
      <c r="KW27" s="47"/>
      <c r="KX27" s="47"/>
      <c r="KY27" s="47"/>
      <c r="KZ27" s="47"/>
      <c r="LA27" s="47"/>
      <c r="LB27" s="47"/>
      <c r="LC27" s="47"/>
      <c r="LD27" s="47"/>
      <c r="LE27" s="47"/>
      <c r="LF27" s="47"/>
      <c r="LG27" s="47"/>
      <c r="LH27" s="47"/>
      <c r="LI27" s="47"/>
      <c r="LJ27" s="47"/>
      <c r="LK27" s="47"/>
      <c r="LL27" s="47"/>
      <c r="LM27" s="47"/>
      <c r="LN27" s="47"/>
      <c r="LO27" s="47"/>
      <c r="LP27" s="47"/>
      <c r="LQ27" s="47"/>
      <c r="LR27" s="47"/>
      <c r="LS27" s="47"/>
      <c r="LT27" s="47"/>
      <c r="LU27" s="47"/>
      <c r="LV27" s="47"/>
      <c r="LW27" s="47"/>
      <c r="LX27" s="47"/>
      <c r="LY27" s="47"/>
      <c r="LZ27" s="47"/>
      <c r="MA27" s="47"/>
      <c r="MB27" s="47"/>
      <c r="MC27" s="47"/>
      <c r="MD27" s="47"/>
      <c r="ME27" s="47"/>
      <c r="MF27" s="47"/>
      <c r="MG27" s="47"/>
      <c r="MH27" s="47"/>
      <c r="MI27" s="47"/>
      <c r="MJ27" s="47"/>
      <c r="MK27" s="47"/>
      <c r="ML27" s="47"/>
      <c r="MM27" s="47"/>
      <c r="MN27" s="47"/>
      <c r="MO27" s="47"/>
      <c r="MP27" s="47"/>
      <c r="MQ27" s="47"/>
      <c r="MR27" s="47"/>
      <c r="MS27" s="47"/>
      <c r="MT27" s="47"/>
      <c r="MU27" s="47"/>
      <c r="MV27" s="47"/>
      <c r="MW27" s="47"/>
      <c r="MX27" s="47"/>
      <c r="MY27" s="47"/>
      <c r="MZ27" s="47"/>
      <c r="NA27" s="47"/>
      <c r="NB27" s="47"/>
      <c r="NC27" s="47"/>
      <c r="ND27" s="47"/>
      <c r="NE27" s="47"/>
      <c r="NF27" s="47"/>
      <c r="NG27" s="47"/>
      <c r="NH27" s="47"/>
      <c r="NI27" s="47"/>
      <c r="NJ27" s="47"/>
      <c r="NK27" s="47"/>
      <c r="NL27" s="47"/>
      <c r="NM27" s="47"/>
      <c r="NN27" s="47"/>
      <c r="NO27" s="47"/>
      <c r="NP27" s="47"/>
      <c r="NQ27" s="47"/>
      <c r="NR27" s="47"/>
      <c r="NS27" s="47"/>
      <c r="NT27" s="47"/>
      <c r="NU27" s="47"/>
      <c r="NV27" s="47"/>
      <c r="NW27" s="47"/>
      <c r="NX27" s="47"/>
      <c r="NY27" s="47"/>
      <c r="NZ27" s="47"/>
      <c r="OA27" s="47"/>
      <c r="OB27" s="47"/>
      <c r="OC27" s="47"/>
      <c r="OD27" s="47"/>
      <c r="OE27" s="48"/>
    </row>
    <row r="28" spans="1:395">
      <c r="A28" s="33" t="str">
        <f t="shared" si="15"/>
        <v/>
      </c>
      <c r="C28" s="2" t="str">
        <f>IF(ISBLANK($B28),"",_xlfn.XLOOKUP($B28,Task_No,Project!$C$3:$C$144,"INVALID TASK"))</f>
        <v/>
      </c>
      <c r="D28" s="27"/>
      <c r="E28" s="7" t="str">
        <f t="shared" si="17"/>
        <v/>
      </c>
      <c r="F28" s="7" t="str">
        <f t="shared" si="18"/>
        <v/>
      </c>
      <c r="G28" s="34"/>
      <c r="H28" s="34" t="str" cm="1">
        <f t="array" ref="H28">IF($C28="","",SUMPRODUCT((TEXT($AE$5:$OE$5, "mmm")=LOWER(G$3))*$AE28:$OE28))</f>
        <v/>
      </c>
      <c r="I28" s="34"/>
      <c r="J28" s="34" t="str" cm="1">
        <f t="array" ref="J28">IF($C28="","",SUMPRODUCT((TEXT($AE$5:$OE$5, "mmm")=LOWER(I$3))*$AE28:$OE28))</f>
        <v/>
      </c>
      <c r="K28" s="34"/>
      <c r="L28" s="34" t="str" cm="1">
        <f t="array" ref="L28">IF($C28="","",SUMPRODUCT((TEXT($AE$5:$OE$5, "mmm")=LOWER(K$3))*$AE28:$OE28))</f>
        <v/>
      </c>
      <c r="M28" s="34"/>
      <c r="N28" s="34" t="str" cm="1">
        <f t="array" ref="N28">IF($C28="","",SUMPRODUCT((TEXT($AE$5:$OE$5, "mmm")=LOWER(M$3))*$AE28:$OE28))</f>
        <v/>
      </c>
      <c r="O28" s="34"/>
      <c r="P28" s="34" t="str" cm="1">
        <f t="array" ref="P28">IF($C28="","",SUMPRODUCT((TEXT($AE$5:$OE$5, "mmm")=LOWER(O$3))*$AE28:$OE28))</f>
        <v/>
      </c>
      <c r="Q28" s="34"/>
      <c r="R28" s="34" t="str" cm="1">
        <f t="array" ref="R28">IF($C28="","",SUMPRODUCT((TEXT($AE$5:$OE$5, "mmm")=LOWER(Q$3))*$AE28:$OE28))</f>
        <v/>
      </c>
      <c r="S28" s="34"/>
      <c r="T28" s="34" t="str" cm="1">
        <f t="array" ref="T28">IF($C28="","",SUMPRODUCT((TEXT($AE$5:$OE$5, "mmm")=LOWER(S$3))*$AE28:$OE28))</f>
        <v/>
      </c>
      <c r="U28" s="34"/>
      <c r="V28" s="34" t="str" cm="1">
        <f t="array" ref="V28">IF($C28="","",SUMPRODUCT((TEXT($AE$5:$OE$5, "mmm")=LOWER(U$3))*$AE28:$OE28))</f>
        <v/>
      </c>
      <c r="W28" s="34"/>
      <c r="X28" s="34" t="str" cm="1">
        <f t="array" ref="X28">IF($C28="","",SUMPRODUCT((TEXT($AE$5:$OE$5, "mmm")=LOWER(W$3))*$AE28:$OE28))</f>
        <v/>
      </c>
      <c r="Y28" s="34"/>
      <c r="Z28" s="34" t="str" cm="1">
        <f t="array" ref="Z28">IF($C28="","",SUMPRODUCT((TEXT($AE$5:$OE$5, "mmm")=LOWER(Y$3))*$AE28:$OE28))</f>
        <v/>
      </c>
      <c r="AA28" s="34"/>
      <c r="AB28" s="34" t="str" cm="1">
        <f t="array" ref="AB28">IF($C28="","",SUMPRODUCT((TEXT($AE$5:$OE$5, "mmm")=LOWER(AA$3))*$AE28:$OE28))</f>
        <v/>
      </c>
      <c r="AC28" s="34"/>
      <c r="AD28" s="34" t="str" cm="1">
        <f t="array" ref="AD28">IF($C28="","",SUMPRODUCT((TEXT($AE$5:$OE$5, "mmm")=LOWER(AC$3))*$AE28:$OE28))</f>
        <v/>
      </c>
      <c r="AE28" s="47"/>
      <c r="AF28" s="47"/>
      <c r="AG28" s="47"/>
      <c r="AH28" s="47"/>
      <c r="AI28" s="47"/>
      <c r="AJ28" s="47"/>
      <c r="AK28" s="47"/>
      <c r="AL28" s="47"/>
      <c r="AM28" s="47"/>
      <c r="AN28" s="47"/>
      <c r="AO28" s="47"/>
      <c r="AP28" s="47"/>
      <c r="AQ28" s="47"/>
      <c r="AR28" s="47"/>
      <c r="AS28" s="47"/>
      <c r="AT28" s="47"/>
      <c r="AU28" s="47"/>
      <c r="AV28" s="47"/>
      <c r="AW28" s="47"/>
      <c r="AX28" s="47"/>
      <c r="AY28" s="47"/>
      <c r="AZ28" s="47"/>
      <c r="BA28" s="47"/>
      <c r="BB28" s="47"/>
      <c r="BC28" s="47"/>
      <c r="BD28" s="47"/>
      <c r="BE28" s="47"/>
      <c r="BF28" s="47"/>
      <c r="BG28" s="47"/>
      <c r="BH28" s="47"/>
      <c r="BI28" s="47"/>
      <c r="BJ28" s="47"/>
      <c r="BK28" s="47"/>
      <c r="BL28" s="47"/>
      <c r="BM28" s="47"/>
      <c r="BN28" s="47"/>
      <c r="BO28" s="47"/>
      <c r="BP28" s="47"/>
      <c r="BQ28" s="47"/>
      <c r="BR28" s="47"/>
      <c r="BS28" s="47"/>
      <c r="BT28" s="47"/>
      <c r="BU28" s="47"/>
      <c r="BV28" s="47"/>
      <c r="BW28" s="47"/>
      <c r="BX28" s="47"/>
      <c r="BY28" s="47"/>
      <c r="BZ28" s="47"/>
      <c r="CA28" s="47"/>
      <c r="CB28" s="47"/>
      <c r="CC28" s="47"/>
      <c r="CD28" s="47"/>
      <c r="CE28" s="47"/>
      <c r="CF28" s="47"/>
      <c r="CG28" s="47"/>
      <c r="CH28" s="47"/>
      <c r="CI28" s="47"/>
      <c r="CJ28" s="47"/>
      <c r="CK28" s="47"/>
      <c r="CL28" s="47"/>
      <c r="CM28" s="47"/>
      <c r="CN28" s="47"/>
      <c r="CO28" s="47"/>
      <c r="CP28" s="47"/>
      <c r="CQ28" s="47"/>
      <c r="CR28" s="47"/>
      <c r="CS28" s="47"/>
      <c r="CT28" s="47"/>
      <c r="CU28" s="47"/>
      <c r="CV28" s="47"/>
      <c r="CW28" s="47"/>
      <c r="CX28" s="47"/>
      <c r="CY28" s="47"/>
      <c r="CZ28" s="47"/>
      <c r="DA28" s="47"/>
      <c r="DB28" s="47"/>
      <c r="DC28" s="47"/>
      <c r="DD28" s="47"/>
      <c r="DE28" s="47"/>
      <c r="DF28" s="47"/>
      <c r="DG28" s="47"/>
      <c r="DH28" s="47"/>
      <c r="DI28" s="47"/>
      <c r="DJ28" s="47"/>
      <c r="DK28" s="47"/>
      <c r="DL28" s="47"/>
      <c r="DM28" s="47"/>
      <c r="DN28" s="47"/>
      <c r="DO28" s="47"/>
      <c r="DP28" s="47"/>
      <c r="DQ28" s="47"/>
      <c r="DR28" s="47"/>
      <c r="DS28" s="47"/>
      <c r="DT28" s="47"/>
      <c r="DU28" s="47"/>
      <c r="DV28" s="47"/>
      <c r="DW28" s="47"/>
      <c r="DX28" s="47"/>
      <c r="DY28" s="47"/>
      <c r="DZ28" s="47"/>
      <c r="EA28" s="47"/>
      <c r="EB28" s="47"/>
      <c r="EC28" s="47"/>
      <c r="ED28" s="47"/>
      <c r="EE28" s="47"/>
      <c r="EF28" s="47"/>
      <c r="EG28" s="47"/>
      <c r="EH28" s="47"/>
      <c r="EI28" s="47"/>
      <c r="EJ28" s="47"/>
      <c r="EK28" s="47"/>
      <c r="EL28" s="47"/>
      <c r="EM28" s="47"/>
      <c r="EN28" s="47"/>
      <c r="EO28" s="47"/>
      <c r="EP28" s="47"/>
      <c r="EQ28" s="47"/>
      <c r="ER28" s="47"/>
      <c r="ES28" s="47"/>
      <c r="ET28" s="47"/>
      <c r="EU28" s="47"/>
      <c r="EV28" s="47"/>
      <c r="EW28" s="47"/>
      <c r="EX28" s="47"/>
      <c r="EY28" s="47"/>
      <c r="EZ28" s="47"/>
      <c r="FA28" s="47"/>
      <c r="FB28" s="47"/>
      <c r="FC28" s="47"/>
      <c r="FD28" s="47"/>
      <c r="FE28" s="47"/>
      <c r="FF28" s="47"/>
      <c r="FG28" s="47"/>
      <c r="FH28" s="47"/>
      <c r="FI28" s="47"/>
      <c r="FJ28" s="47"/>
      <c r="FK28" s="47"/>
      <c r="FL28" s="47"/>
      <c r="FM28" s="47"/>
      <c r="FN28" s="47"/>
      <c r="FO28" s="47"/>
      <c r="FP28" s="47"/>
      <c r="FQ28" s="47"/>
      <c r="FR28" s="47"/>
      <c r="FS28" s="47"/>
      <c r="FT28" s="47"/>
      <c r="FU28" s="47"/>
      <c r="FV28" s="47"/>
      <c r="FW28" s="47"/>
      <c r="FX28" s="47"/>
      <c r="FY28" s="47"/>
      <c r="FZ28" s="47"/>
      <c r="GA28" s="47"/>
      <c r="GB28" s="47"/>
      <c r="GC28" s="47"/>
      <c r="GD28" s="47"/>
      <c r="GE28" s="47"/>
      <c r="GF28" s="47"/>
      <c r="GG28" s="47"/>
      <c r="GH28" s="47"/>
      <c r="GI28" s="47"/>
      <c r="GJ28" s="47"/>
      <c r="GK28" s="47"/>
      <c r="GL28" s="47"/>
      <c r="GM28" s="47"/>
      <c r="GN28" s="47"/>
      <c r="GO28" s="47"/>
      <c r="GP28" s="47"/>
      <c r="GQ28" s="47"/>
      <c r="GR28" s="47"/>
      <c r="GS28" s="47"/>
      <c r="GT28" s="47"/>
      <c r="GU28" s="47"/>
      <c r="GV28" s="47"/>
      <c r="GW28" s="47"/>
      <c r="GX28" s="47"/>
      <c r="GY28" s="47"/>
      <c r="GZ28" s="47"/>
      <c r="HA28" s="47"/>
      <c r="HB28" s="47"/>
      <c r="HC28" s="47"/>
      <c r="HD28" s="47"/>
      <c r="HE28" s="47"/>
      <c r="HF28" s="47"/>
      <c r="HG28" s="47"/>
      <c r="HH28" s="47"/>
      <c r="HI28" s="47"/>
      <c r="HJ28" s="47"/>
      <c r="HK28" s="47"/>
      <c r="HL28" s="47"/>
      <c r="HM28" s="47"/>
      <c r="HN28" s="47"/>
      <c r="HO28" s="47"/>
      <c r="HP28" s="47"/>
      <c r="HQ28" s="47"/>
      <c r="HR28" s="47"/>
      <c r="HS28" s="47"/>
      <c r="HT28" s="47"/>
      <c r="HU28" s="47"/>
      <c r="HV28" s="47"/>
      <c r="HW28" s="47"/>
      <c r="HX28" s="47"/>
      <c r="HY28" s="47"/>
      <c r="HZ28" s="47"/>
      <c r="IA28" s="47"/>
      <c r="IB28" s="47"/>
      <c r="IC28" s="47"/>
      <c r="ID28" s="47"/>
      <c r="IE28" s="47"/>
      <c r="IF28" s="47"/>
      <c r="IG28" s="47"/>
      <c r="IH28" s="47"/>
      <c r="II28" s="47"/>
      <c r="IJ28" s="47"/>
      <c r="IK28" s="47"/>
      <c r="IL28" s="47"/>
      <c r="IM28" s="47"/>
      <c r="IN28" s="47"/>
      <c r="IO28" s="47"/>
      <c r="IP28" s="47"/>
      <c r="IQ28" s="47"/>
      <c r="IR28" s="47"/>
      <c r="IS28" s="47"/>
      <c r="IT28" s="47"/>
      <c r="IU28" s="47"/>
      <c r="IV28" s="47"/>
      <c r="IW28" s="47"/>
      <c r="IX28" s="47"/>
      <c r="IY28" s="47"/>
      <c r="IZ28" s="47"/>
      <c r="JA28" s="47"/>
      <c r="JB28" s="47"/>
      <c r="JC28" s="47"/>
      <c r="JD28" s="47"/>
      <c r="JE28" s="47"/>
      <c r="JF28" s="47"/>
      <c r="JG28" s="47"/>
      <c r="JH28" s="47"/>
      <c r="JI28" s="47"/>
      <c r="JJ28" s="47"/>
      <c r="JK28" s="47"/>
      <c r="JL28" s="47"/>
      <c r="JM28" s="47"/>
      <c r="JN28" s="47"/>
      <c r="JO28" s="47"/>
      <c r="JP28" s="47"/>
      <c r="JQ28" s="47"/>
      <c r="JR28" s="47"/>
      <c r="JS28" s="47"/>
      <c r="JT28" s="47"/>
      <c r="JU28" s="47"/>
      <c r="JV28" s="47"/>
      <c r="JW28" s="47"/>
      <c r="JX28" s="47"/>
      <c r="JY28" s="47"/>
      <c r="JZ28" s="47"/>
      <c r="KA28" s="47"/>
      <c r="KB28" s="47"/>
      <c r="KC28" s="47"/>
      <c r="KD28" s="47"/>
      <c r="KE28" s="47"/>
      <c r="KF28" s="47"/>
      <c r="KG28" s="47"/>
      <c r="KH28" s="47"/>
      <c r="KI28" s="47"/>
      <c r="KJ28" s="47"/>
      <c r="KK28" s="47"/>
      <c r="KL28" s="47"/>
      <c r="KM28" s="47"/>
      <c r="KN28" s="47"/>
      <c r="KO28" s="47"/>
      <c r="KP28" s="47"/>
      <c r="KQ28" s="47"/>
      <c r="KR28" s="47"/>
      <c r="KS28" s="47"/>
      <c r="KT28" s="47"/>
      <c r="KU28" s="47"/>
      <c r="KV28" s="47"/>
      <c r="KW28" s="47"/>
      <c r="KX28" s="47"/>
      <c r="KY28" s="47"/>
      <c r="KZ28" s="47"/>
      <c r="LA28" s="47"/>
      <c r="LB28" s="47"/>
      <c r="LC28" s="47"/>
      <c r="LD28" s="47"/>
      <c r="LE28" s="47"/>
      <c r="LF28" s="47"/>
      <c r="LG28" s="47"/>
      <c r="LH28" s="47"/>
      <c r="LI28" s="47"/>
      <c r="LJ28" s="47"/>
      <c r="LK28" s="47"/>
      <c r="LL28" s="47"/>
      <c r="LM28" s="47"/>
      <c r="LN28" s="47"/>
      <c r="LO28" s="47"/>
      <c r="LP28" s="47"/>
      <c r="LQ28" s="47"/>
      <c r="LR28" s="47"/>
      <c r="LS28" s="47"/>
      <c r="LT28" s="47"/>
      <c r="LU28" s="47"/>
      <c r="LV28" s="47"/>
      <c r="LW28" s="47"/>
      <c r="LX28" s="47"/>
      <c r="LY28" s="47"/>
      <c r="LZ28" s="47"/>
      <c r="MA28" s="47"/>
      <c r="MB28" s="47"/>
      <c r="MC28" s="47"/>
      <c r="MD28" s="47"/>
      <c r="ME28" s="47"/>
      <c r="MF28" s="47"/>
      <c r="MG28" s="47"/>
      <c r="MH28" s="47"/>
      <c r="MI28" s="47"/>
      <c r="MJ28" s="47"/>
      <c r="MK28" s="47"/>
      <c r="ML28" s="47"/>
      <c r="MM28" s="47"/>
      <c r="MN28" s="47"/>
      <c r="MO28" s="47"/>
      <c r="MP28" s="47"/>
      <c r="MQ28" s="47"/>
      <c r="MR28" s="47"/>
      <c r="MS28" s="47"/>
      <c r="MT28" s="47"/>
      <c r="MU28" s="47"/>
      <c r="MV28" s="47"/>
      <c r="MW28" s="47"/>
      <c r="MX28" s="47"/>
      <c r="MY28" s="47"/>
      <c r="MZ28" s="47"/>
      <c r="NA28" s="47"/>
      <c r="NB28" s="47"/>
      <c r="NC28" s="47"/>
      <c r="ND28" s="47"/>
      <c r="NE28" s="47"/>
      <c r="NF28" s="47"/>
      <c r="NG28" s="47"/>
      <c r="NH28" s="47"/>
      <c r="NI28" s="47"/>
      <c r="NJ28" s="47"/>
      <c r="NK28" s="47"/>
      <c r="NL28" s="47"/>
      <c r="NM28" s="47"/>
      <c r="NN28" s="47"/>
      <c r="NO28" s="47"/>
      <c r="NP28" s="47"/>
      <c r="NQ28" s="47"/>
      <c r="NR28" s="47"/>
      <c r="NS28" s="47"/>
      <c r="NT28" s="47"/>
      <c r="NU28" s="47"/>
      <c r="NV28" s="47"/>
      <c r="NW28" s="47"/>
      <c r="NX28" s="47"/>
      <c r="NY28" s="47"/>
      <c r="NZ28" s="47"/>
      <c r="OA28" s="47"/>
      <c r="OB28" s="47"/>
      <c r="OC28" s="47"/>
      <c r="OD28" s="47"/>
      <c r="OE28" s="48"/>
    </row>
    <row r="29" spans="1:395">
      <c r="A29" s="33" t="str">
        <f t="shared" si="15"/>
        <v/>
      </c>
      <c r="C29" s="2" t="str">
        <f>IF(ISBLANK($B29),"",_xlfn.XLOOKUP($B29,Task_No,Project!$C$3:$C$144,"INVALID TASK"))</f>
        <v/>
      </c>
      <c r="D29" s="27"/>
      <c r="E29" s="7" t="str">
        <f t="shared" si="17"/>
        <v/>
      </c>
      <c r="F29" s="7" t="str">
        <f t="shared" si="18"/>
        <v/>
      </c>
      <c r="G29" s="34"/>
      <c r="H29" s="34" t="str" cm="1">
        <f t="array" ref="H29">IF($C29="","",SUMPRODUCT((TEXT($AE$5:$OE$5, "mmm")=LOWER(G$3))*$AE29:$OE29))</f>
        <v/>
      </c>
      <c r="I29" s="34"/>
      <c r="J29" s="34" t="str" cm="1">
        <f t="array" ref="J29">IF($C29="","",SUMPRODUCT((TEXT($AE$5:$OE$5, "mmm")=LOWER(I$3))*$AE29:$OE29))</f>
        <v/>
      </c>
      <c r="K29" s="34"/>
      <c r="L29" s="34" t="str" cm="1">
        <f t="array" ref="L29">IF($C29="","",SUMPRODUCT((TEXT($AE$5:$OE$5, "mmm")=LOWER(K$3))*$AE29:$OE29))</f>
        <v/>
      </c>
      <c r="M29" s="34"/>
      <c r="N29" s="34" t="str" cm="1">
        <f t="array" ref="N29">IF($C29="","",SUMPRODUCT((TEXT($AE$5:$OE$5, "mmm")=LOWER(M$3))*$AE29:$OE29))</f>
        <v/>
      </c>
      <c r="O29" s="34"/>
      <c r="P29" s="34" t="str" cm="1">
        <f t="array" ref="P29">IF($C29="","",SUMPRODUCT((TEXT($AE$5:$OE$5, "mmm")=LOWER(O$3))*$AE29:$OE29))</f>
        <v/>
      </c>
      <c r="Q29" s="34"/>
      <c r="R29" s="34" t="str" cm="1">
        <f t="array" ref="R29">IF($C29="","",SUMPRODUCT((TEXT($AE$5:$OE$5, "mmm")=LOWER(Q$3))*$AE29:$OE29))</f>
        <v/>
      </c>
      <c r="S29" s="34"/>
      <c r="T29" s="34" t="str" cm="1">
        <f t="array" ref="T29">IF($C29="","",SUMPRODUCT((TEXT($AE$5:$OE$5, "mmm")=LOWER(S$3))*$AE29:$OE29))</f>
        <v/>
      </c>
      <c r="U29" s="34"/>
      <c r="V29" s="34" t="str" cm="1">
        <f t="array" ref="V29">IF($C29="","",SUMPRODUCT((TEXT($AE$5:$OE$5, "mmm")=LOWER(U$3))*$AE29:$OE29))</f>
        <v/>
      </c>
      <c r="W29" s="34"/>
      <c r="X29" s="34" t="str" cm="1">
        <f t="array" ref="X29">IF($C29="","",SUMPRODUCT((TEXT($AE$5:$OE$5, "mmm")=LOWER(W$3))*$AE29:$OE29))</f>
        <v/>
      </c>
      <c r="Y29" s="34"/>
      <c r="Z29" s="34" t="str" cm="1">
        <f t="array" ref="Z29">IF($C29="","",SUMPRODUCT((TEXT($AE$5:$OE$5, "mmm")=LOWER(Y$3))*$AE29:$OE29))</f>
        <v/>
      </c>
      <c r="AA29" s="34"/>
      <c r="AB29" s="34" t="str" cm="1">
        <f t="array" ref="AB29">IF($C29="","",SUMPRODUCT((TEXT($AE$5:$OE$5, "mmm")=LOWER(AA$3))*$AE29:$OE29))</f>
        <v/>
      </c>
      <c r="AC29" s="34"/>
      <c r="AD29" s="34" t="str" cm="1">
        <f t="array" ref="AD29">IF($C29="","",SUMPRODUCT((TEXT($AE$5:$OE$5, "mmm")=LOWER(AC$3))*$AE29:$OE29))</f>
        <v/>
      </c>
      <c r="AE29" s="47"/>
      <c r="AF29" s="47"/>
      <c r="AG29" s="47"/>
      <c r="AH29" s="47"/>
      <c r="AI29" s="47"/>
      <c r="AJ29" s="47"/>
      <c r="AK29" s="47"/>
      <c r="AL29" s="47"/>
      <c r="AM29" s="47"/>
      <c r="AN29" s="47"/>
      <c r="AO29" s="47"/>
      <c r="AP29" s="47"/>
      <c r="AQ29" s="47"/>
      <c r="AR29" s="47"/>
      <c r="AS29" s="47"/>
      <c r="AT29" s="47"/>
      <c r="AU29" s="47"/>
      <c r="AV29" s="47"/>
      <c r="AW29" s="47"/>
      <c r="AX29" s="47"/>
      <c r="AY29" s="47"/>
      <c r="AZ29" s="47"/>
      <c r="BA29" s="47"/>
      <c r="BB29" s="47"/>
      <c r="BC29" s="47"/>
      <c r="BD29" s="47"/>
      <c r="BE29" s="47"/>
      <c r="BF29" s="47"/>
      <c r="BG29" s="47"/>
      <c r="BH29" s="47"/>
      <c r="BI29" s="47"/>
      <c r="BJ29" s="47"/>
      <c r="BK29" s="47"/>
      <c r="BL29" s="47"/>
      <c r="BM29" s="47"/>
      <c r="BN29" s="47"/>
      <c r="BO29" s="47"/>
      <c r="BP29" s="47"/>
      <c r="BQ29" s="47"/>
      <c r="BR29" s="47"/>
      <c r="BS29" s="47"/>
      <c r="BT29" s="47"/>
      <c r="BU29" s="47"/>
      <c r="BV29" s="47"/>
      <c r="BW29" s="47"/>
      <c r="BX29" s="47"/>
      <c r="BY29" s="47"/>
      <c r="BZ29" s="47"/>
      <c r="CA29" s="47"/>
      <c r="CB29" s="47"/>
      <c r="CC29" s="47"/>
      <c r="CD29" s="47"/>
      <c r="CE29" s="47"/>
      <c r="CF29" s="47"/>
      <c r="CG29" s="47"/>
      <c r="CH29" s="47"/>
      <c r="CI29" s="47"/>
      <c r="CJ29" s="47"/>
      <c r="CK29" s="47"/>
      <c r="CL29" s="47"/>
      <c r="CM29" s="47"/>
      <c r="CN29" s="47"/>
      <c r="CO29" s="47"/>
      <c r="CP29" s="47"/>
      <c r="CQ29" s="47"/>
      <c r="CR29" s="47"/>
      <c r="CS29" s="47"/>
      <c r="CT29" s="47"/>
      <c r="CU29" s="47"/>
      <c r="CV29" s="47"/>
      <c r="CW29" s="47"/>
      <c r="CX29" s="47"/>
      <c r="CY29" s="47"/>
      <c r="CZ29" s="47"/>
      <c r="DA29" s="47"/>
      <c r="DB29" s="47"/>
      <c r="DC29" s="47"/>
      <c r="DD29" s="47"/>
      <c r="DE29" s="47"/>
      <c r="DF29" s="47"/>
      <c r="DG29" s="47"/>
      <c r="DH29" s="47"/>
      <c r="DI29" s="47"/>
      <c r="DJ29" s="47"/>
      <c r="DK29" s="47"/>
      <c r="DL29" s="47"/>
      <c r="DM29" s="47"/>
      <c r="DN29" s="47"/>
      <c r="DO29" s="47"/>
      <c r="DP29" s="47"/>
      <c r="DQ29" s="47"/>
      <c r="DR29" s="47"/>
      <c r="DS29" s="47"/>
      <c r="DT29" s="47"/>
      <c r="DU29" s="47"/>
      <c r="DV29" s="47"/>
      <c r="DW29" s="47"/>
      <c r="DX29" s="47"/>
      <c r="DY29" s="47"/>
      <c r="DZ29" s="47"/>
      <c r="EA29" s="47"/>
      <c r="EB29" s="47"/>
      <c r="EC29" s="47"/>
      <c r="ED29" s="47"/>
      <c r="EE29" s="47"/>
      <c r="EF29" s="47"/>
      <c r="EG29" s="47"/>
      <c r="EH29" s="47"/>
      <c r="EI29" s="47"/>
      <c r="EJ29" s="47"/>
      <c r="EK29" s="47"/>
      <c r="EL29" s="47"/>
      <c r="EM29" s="47"/>
      <c r="EN29" s="47"/>
      <c r="EO29" s="47"/>
      <c r="EP29" s="47"/>
      <c r="EQ29" s="47"/>
      <c r="ER29" s="47"/>
      <c r="ES29" s="47"/>
      <c r="ET29" s="47"/>
      <c r="EU29" s="47"/>
      <c r="EV29" s="47"/>
      <c r="EW29" s="47"/>
      <c r="EX29" s="47"/>
      <c r="EY29" s="47"/>
      <c r="EZ29" s="47"/>
      <c r="FA29" s="47"/>
      <c r="FB29" s="47"/>
      <c r="FC29" s="47"/>
      <c r="FD29" s="47"/>
      <c r="FE29" s="47"/>
      <c r="FF29" s="47"/>
      <c r="FG29" s="47"/>
      <c r="FH29" s="47"/>
      <c r="FI29" s="47"/>
      <c r="FJ29" s="47"/>
      <c r="FK29" s="47"/>
      <c r="FL29" s="47"/>
      <c r="FM29" s="47"/>
      <c r="FN29" s="47"/>
      <c r="FO29" s="47"/>
      <c r="FP29" s="47"/>
      <c r="FQ29" s="47"/>
      <c r="FR29" s="47"/>
      <c r="FS29" s="47"/>
      <c r="FT29" s="47"/>
      <c r="FU29" s="47"/>
      <c r="FV29" s="47"/>
      <c r="FW29" s="47"/>
      <c r="FX29" s="47"/>
      <c r="FY29" s="47"/>
      <c r="FZ29" s="47"/>
      <c r="GA29" s="47"/>
      <c r="GB29" s="47"/>
      <c r="GC29" s="47"/>
      <c r="GD29" s="47"/>
      <c r="GE29" s="47"/>
      <c r="GF29" s="47"/>
      <c r="GG29" s="47"/>
      <c r="GH29" s="47"/>
      <c r="GI29" s="47"/>
      <c r="GJ29" s="47"/>
      <c r="GK29" s="47"/>
      <c r="GL29" s="47"/>
      <c r="GM29" s="47"/>
      <c r="GN29" s="47"/>
      <c r="GO29" s="47"/>
      <c r="GP29" s="47"/>
      <c r="GQ29" s="47"/>
      <c r="GR29" s="47"/>
      <c r="GS29" s="47"/>
      <c r="GT29" s="47"/>
      <c r="GU29" s="47"/>
      <c r="GV29" s="47"/>
      <c r="GW29" s="47"/>
      <c r="GX29" s="47"/>
      <c r="GY29" s="47"/>
      <c r="GZ29" s="47"/>
      <c r="HA29" s="47"/>
      <c r="HB29" s="47"/>
      <c r="HC29" s="47"/>
      <c r="HD29" s="47"/>
      <c r="HE29" s="47"/>
      <c r="HF29" s="47"/>
      <c r="HG29" s="47"/>
      <c r="HH29" s="47"/>
      <c r="HI29" s="47"/>
      <c r="HJ29" s="47"/>
      <c r="HK29" s="47"/>
      <c r="HL29" s="47"/>
      <c r="HM29" s="47"/>
      <c r="HN29" s="47"/>
      <c r="HO29" s="47"/>
      <c r="HP29" s="47"/>
      <c r="HQ29" s="47"/>
      <c r="HR29" s="47"/>
      <c r="HS29" s="47"/>
      <c r="HT29" s="47"/>
      <c r="HU29" s="47"/>
      <c r="HV29" s="47"/>
      <c r="HW29" s="47"/>
      <c r="HX29" s="47"/>
      <c r="HY29" s="47"/>
      <c r="HZ29" s="47"/>
      <c r="IA29" s="47"/>
      <c r="IB29" s="47"/>
      <c r="IC29" s="47"/>
      <c r="ID29" s="47"/>
      <c r="IE29" s="47"/>
      <c r="IF29" s="47"/>
      <c r="IG29" s="47"/>
      <c r="IH29" s="47"/>
      <c r="II29" s="47"/>
      <c r="IJ29" s="47"/>
      <c r="IK29" s="47"/>
      <c r="IL29" s="47"/>
      <c r="IM29" s="47"/>
      <c r="IN29" s="47"/>
      <c r="IO29" s="47"/>
      <c r="IP29" s="47"/>
      <c r="IQ29" s="47"/>
      <c r="IR29" s="47"/>
      <c r="IS29" s="47"/>
      <c r="IT29" s="47"/>
      <c r="IU29" s="47"/>
      <c r="IV29" s="47"/>
      <c r="IW29" s="47"/>
      <c r="IX29" s="47"/>
      <c r="IY29" s="47"/>
      <c r="IZ29" s="47"/>
      <c r="JA29" s="47"/>
      <c r="JB29" s="47"/>
      <c r="JC29" s="47"/>
      <c r="JD29" s="47"/>
      <c r="JE29" s="47"/>
      <c r="JF29" s="47"/>
      <c r="JG29" s="47"/>
      <c r="JH29" s="47"/>
      <c r="JI29" s="47"/>
      <c r="JJ29" s="47"/>
      <c r="JK29" s="47"/>
      <c r="JL29" s="47"/>
      <c r="JM29" s="47"/>
      <c r="JN29" s="47"/>
      <c r="JO29" s="47"/>
      <c r="JP29" s="47"/>
      <c r="JQ29" s="47"/>
      <c r="JR29" s="47"/>
      <c r="JS29" s="47"/>
      <c r="JT29" s="47"/>
      <c r="JU29" s="47"/>
      <c r="JV29" s="47"/>
      <c r="JW29" s="47"/>
      <c r="JX29" s="47"/>
      <c r="JY29" s="47"/>
      <c r="JZ29" s="47"/>
      <c r="KA29" s="47"/>
      <c r="KB29" s="47"/>
      <c r="KC29" s="47"/>
      <c r="KD29" s="47"/>
      <c r="KE29" s="47"/>
      <c r="KF29" s="47"/>
      <c r="KG29" s="47"/>
      <c r="KH29" s="47"/>
      <c r="KI29" s="47"/>
      <c r="KJ29" s="47"/>
      <c r="KK29" s="47"/>
      <c r="KL29" s="47"/>
      <c r="KM29" s="47"/>
      <c r="KN29" s="47"/>
      <c r="KO29" s="47"/>
      <c r="KP29" s="47"/>
      <c r="KQ29" s="47"/>
      <c r="KR29" s="47"/>
      <c r="KS29" s="47"/>
      <c r="KT29" s="47"/>
      <c r="KU29" s="47"/>
      <c r="KV29" s="47"/>
      <c r="KW29" s="47"/>
      <c r="KX29" s="47"/>
      <c r="KY29" s="47"/>
      <c r="KZ29" s="47"/>
      <c r="LA29" s="47"/>
      <c r="LB29" s="47"/>
      <c r="LC29" s="47"/>
      <c r="LD29" s="47"/>
      <c r="LE29" s="47"/>
      <c r="LF29" s="47"/>
      <c r="LG29" s="47"/>
      <c r="LH29" s="47"/>
      <c r="LI29" s="47"/>
      <c r="LJ29" s="47"/>
      <c r="LK29" s="47"/>
      <c r="LL29" s="47"/>
      <c r="LM29" s="47"/>
      <c r="LN29" s="47"/>
      <c r="LO29" s="47"/>
      <c r="LP29" s="47"/>
      <c r="LQ29" s="47"/>
      <c r="LR29" s="47"/>
      <c r="LS29" s="47"/>
      <c r="LT29" s="47"/>
      <c r="LU29" s="47"/>
      <c r="LV29" s="47"/>
      <c r="LW29" s="47"/>
      <c r="LX29" s="47"/>
      <c r="LY29" s="47"/>
      <c r="LZ29" s="47"/>
      <c r="MA29" s="47"/>
      <c r="MB29" s="47"/>
      <c r="MC29" s="47"/>
      <c r="MD29" s="47"/>
      <c r="ME29" s="47"/>
      <c r="MF29" s="47"/>
      <c r="MG29" s="47"/>
      <c r="MH29" s="47"/>
      <c r="MI29" s="47"/>
      <c r="MJ29" s="47"/>
      <c r="MK29" s="47"/>
      <c r="ML29" s="47"/>
      <c r="MM29" s="47"/>
      <c r="MN29" s="47"/>
      <c r="MO29" s="47"/>
      <c r="MP29" s="47"/>
      <c r="MQ29" s="47"/>
      <c r="MR29" s="47"/>
      <c r="MS29" s="47"/>
      <c r="MT29" s="47"/>
      <c r="MU29" s="47"/>
      <c r="MV29" s="47"/>
      <c r="MW29" s="47"/>
      <c r="MX29" s="47"/>
      <c r="MY29" s="47"/>
      <c r="MZ29" s="47"/>
      <c r="NA29" s="47"/>
      <c r="NB29" s="47"/>
      <c r="NC29" s="47"/>
      <c r="ND29" s="47"/>
      <c r="NE29" s="47"/>
      <c r="NF29" s="47"/>
      <c r="NG29" s="47"/>
      <c r="NH29" s="47"/>
      <c r="NI29" s="47"/>
      <c r="NJ29" s="47"/>
      <c r="NK29" s="47"/>
      <c r="NL29" s="47"/>
      <c r="NM29" s="47"/>
      <c r="NN29" s="47"/>
      <c r="NO29" s="47"/>
      <c r="NP29" s="47"/>
      <c r="NQ29" s="47"/>
      <c r="NR29" s="47"/>
      <c r="NS29" s="47"/>
      <c r="NT29" s="47"/>
      <c r="NU29" s="47"/>
      <c r="NV29" s="47"/>
      <c r="NW29" s="47"/>
      <c r="NX29" s="47"/>
      <c r="NY29" s="47"/>
      <c r="NZ29" s="47"/>
      <c r="OA29" s="47"/>
      <c r="OB29" s="47"/>
      <c r="OC29" s="47"/>
      <c r="OD29" s="47"/>
      <c r="OE29" s="48"/>
    </row>
    <row r="30" spans="1:395">
      <c r="A30" s="33" t="str">
        <f t="shared" si="15"/>
        <v/>
      </c>
      <c r="C30" s="2" t="str">
        <f>IF(ISBLANK($B30),"",_xlfn.XLOOKUP($B30,Task_No,Project!$C$3:$C$144,"INVALID TASK"))</f>
        <v/>
      </c>
      <c r="D30" s="27"/>
      <c r="E30" s="7" t="str">
        <f t="shared" si="17"/>
        <v/>
      </c>
      <c r="F30" s="7" t="str">
        <f t="shared" si="18"/>
        <v/>
      </c>
      <c r="G30" s="34"/>
      <c r="H30" s="34" t="str" cm="1">
        <f t="array" ref="H30">IF($C30="","",SUMPRODUCT((TEXT($AE$5:$OE$5, "mmm")=LOWER(G$3))*$AE30:$OE30))</f>
        <v/>
      </c>
      <c r="I30" s="34"/>
      <c r="J30" s="34" t="str" cm="1">
        <f t="array" ref="J30">IF($C30="","",SUMPRODUCT((TEXT($AE$5:$OE$5, "mmm")=LOWER(I$3))*$AE30:$OE30))</f>
        <v/>
      </c>
      <c r="K30" s="34"/>
      <c r="L30" s="34" t="str" cm="1">
        <f t="array" ref="L30">IF($C30="","",SUMPRODUCT((TEXT($AE$5:$OE$5, "mmm")=LOWER(K$3))*$AE30:$OE30))</f>
        <v/>
      </c>
      <c r="M30" s="34"/>
      <c r="N30" s="34" t="str" cm="1">
        <f t="array" ref="N30">IF($C30="","",SUMPRODUCT((TEXT($AE$5:$OE$5, "mmm")=LOWER(M$3))*$AE30:$OE30))</f>
        <v/>
      </c>
      <c r="O30" s="34"/>
      <c r="P30" s="34" t="str" cm="1">
        <f t="array" ref="P30">IF($C30="","",SUMPRODUCT((TEXT($AE$5:$OE$5, "mmm")=LOWER(O$3))*$AE30:$OE30))</f>
        <v/>
      </c>
      <c r="Q30" s="34"/>
      <c r="R30" s="34" t="str" cm="1">
        <f t="array" ref="R30">IF($C30="","",SUMPRODUCT((TEXT($AE$5:$OE$5, "mmm")=LOWER(Q$3))*$AE30:$OE30))</f>
        <v/>
      </c>
      <c r="S30" s="34"/>
      <c r="T30" s="34" t="str" cm="1">
        <f t="array" ref="T30">IF($C30="","",SUMPRODUCT((TEXT($AE$5:$OE$5, "mmm")=LOWER(S$3))*$AE30:$OE30))</f>
        <v/>
      </c>
      <c r="U30" s="34"/>
      <c r="V30" s="34" t="str" cm="1">
        <f t="array" ref="V30">IF($C30="","",SUMPRODUCT((TEXT($AE$5:$OE$5, "mmm")=LOWER(U$3))*$AE30:$OE30))</f>
        <v/>
      </c>
      <c r="W30" s="34"/>
      <c r="X30" s="34" t="str" cm="1">
        <f t="array" ref="X30">IF($C30="","",SUMPRODUCT((TEXT($AE$5:$OE$5, "mmm")=LOWER(W$3))*$AE30:$OE30))</f>
        <v/>
      </c>
      <c r="Y30" s="34"/>
      <c r="Z30" s="34" t="str" cm="1">
        <f t="array" ref="Z30">IF($C30="","",SUMPRODUCT((TEXT($AE$5:$OE$5, "mmm")=LOWER(Y$3))*$AE30:$OE30))</f>
        <v/>
      </c>
      <c r="AA30" s="34"/>
      <c r="AB30" s="34" t="str" cm="1">
        <f t="array" ref="AB30">IF($C30="","",SUMPRODUCT((TEXT($AE$5:$OE$5, "mmm")=LOWER(AA$3))*$AE30:$OE30))</f>
        <v/>
      </c>
      <c r="AC30" s="34"/>
      <c r="AD30" s="34" t="str" cm="1">
        <f t="array" ref="AD30">IF($C30="","",SUMPRODUCT((TEXT($AE$5:$OE$5, "mmm")=LOWER(AC$3))*$AE30:$OE30))</f>
        <v/>
      </c>
      <c r="AE30" s="47"/>
      <c r="AF30" s="47"/>
      <c r="AG30" s="47"/>
      <c r="AH30" s="47"/>
      <c r="AI30" s="47"/>
      <c r="AJ30" s="47"/>
      <c r="AK30" s="47"/>
      <c r="AL30" s="47"/>
      <c r="AM30" s="47"/>
      <c r="AN30" s="47"/>
      <c r="AO30" s="47"/>
      <c r="AP30" s="47"/>
      <c r="AQ30" s="47"/>
      <c r="AR30" s="47"/>
      <c r="AS30" s="47"/>
      <c r="AT30" s="47"/>
      <c r="AU30" s="47"/>
      <c r="AV30" s="47"/>
      <c r="AW30" s="47"/>
      <c r="AX30" s="47"/>
      <c r="AY30" s="47"/>
      <c r="AZ30" s="47"/>
      <c r="BA30" s="47"/>
      <c r="BB30" s="47"/>
      <c r="BC30" s="47"/>
      <c r="BD30" s="47"/>
      <c r="BE30" s="47"/>
      <c r="BF30" s="47"/>
      <c r="BG30" s="47"/>
      <c r="BH30" s="47"/>
      <c r="BI30" s="47"/>
      <c r="BJ30" s="47"/>
      <c r="BK30" s="47"/>
      <c r="BL30" s="47"/>
      <c r="BM30" s="47"/>
      <c r="BN30" s="47"/>
      <c r="BO30" s="47"/>
      <c r="BP30" s="47"/>
      <c r="BQ30" s="47"/>
      <c r="BR30" s="47"/>
      <c r="BS30" s="47"/>
      <c r="BT30" s="47"/>
      <c r="BU30" s="47"/>
      <c r="BV30" s="47"/>
      <c r="BW30" s="47"/>
      <c r="BX30" s="47"/>
      <c r="BY30" s="47"/>
      <c r="BZ30" s="47"/>
      <c r="CA30" s="47"/>
      <c r="CB30" s="47"/>
      <c r="CC30" s="47"/>
      <c r="CD30" s="47"/>
      <c r="CE30" s="47"/>
      <c r="CF30" s="47"/>
      <c r="CG30" s="47"/>
      <c r="CH30" s="47"/>
      <c r="CI30" s="47"/>
      <c r="CJ30" s="47"/>
      <c r="CK30" s="47"/>
      <c r="CL30" s="47"/>
      <c r="CM30" s="47"/>
      <c r="CN30" s="47"/>
      <c r="CO30" s="47"/>
      <c r="CP30" s="47"/>
      <c r="CQ30" s="47"/>
      <c r="CR30" s="47"/>
      <c r="CS30" s="47"/>
      <c r="CT30" s="47"/>
      <c r="CU30" s="47"/>
      <c r="CV30" s="47"/>
      <c r="CW30" s="47"/>
      <c r="CX30" s="47"/>
      <c r="CY30" s="47"/>
      <c r="CZ30" s="47"/>
      <c r="DA30" s="47"/>
      <c r="DB30" s="47"/>
      <c r="DC30" s="47"/>
      <c r="DD30" s="47"/>
      <c r="DE30" s="47"/>
      <c r="DF30" s="47"/>
      <c r="DG30" s="47"/>
      <c r="DH30" s="47"/>
      <c r="DI30" s="47"/>
      <c r="DJ30" s="47"/>
      <c r="DK30" s="47"/>
      <c r="DL30" s="47"/>
      <c r="DM30" s="47"/>
      <c r="DN30" s="47"/>
      <c r="DO30" s="47"/>
      <c r="DP30" s="47"/>
      <c r="DQ30" s="47"/>
      <c r="DR30" s="47"/>
      <c r="DS30" s="47"/>
      <c r="DT30" s="47"/>
      <c r="DU30" s="47"/>
      <c r="DV30" s="47"/>
      <c r="DW30" s="47"/>
      <c r="DX30" s="47"/>
      <c r="DY30" s="47"/>
      <c r="DZ30" s="47"/>
      <c r="EA30" s="47"/>
      <c r="EB30" s="47"/>
      <c r="EC30" s="47"/>
      <c r="ED30" s="47"/>
      <c r="EE30" s="47"/>
      <c r="EF30" s="47"/>
      <c r="EG30" s="47"/>
      <c r="EH30" s="47"/>
      <c r="EI30" s="47"/>
      <c r="EJ30" s="47"/>
      <c r="EK30" s="47"/>
      <c r="EL30" s="47"/>
      <c r="EM30" s="47"/>
      <c r="EN30" s="47"/>
      <c r="EO30" s="47"/>
      <c r="EP30" s="47"/>
      <c r="EQ30" s="47"/>
      <c r="ER30" s="47"/>
      <c r="ES30" s="47"/>
      <c r="ET30" s="47"/>
      <c r="EU30" s="47"/>
      <c r="EV30" s="47"/>
      <c r="EW30" s="47"/>
      <c r="EX30" s="47"/>
      <c r="EY30" s="47"/>
      <c r="EZ30" s="47"/>
      <c r="FA30" s="47"/>
      <c r="FB30" s="47"/>
      <c r="FC30" s="47"/>
      <c r="FD30" s="47"/>
      <c r="FE30" s="47"/>
      <c r="FF30" s="47"/>
      <c r="FG30" s="47"/>
      <c r="FH30" s="47"/>
      <c r="FI30" s="47"/>
      <c r="FJ30" s="47"/>
      <c r="FK30" s="47"/>
      <c r="FL30" s="47"/>
      <c r="FM30" s="47"/>
      <c r="FN30" s="47"/>
      <c r="FO30" s="47"/>
      <c r="FP30" s="47"/>
      <c r="FQ30" s="47"/>
      <c r="FR30" s="47"/>
      <c r="FS30" s="47"/>
      <c r="FT30" s="47"/>
      <c r="FU30" s="47"/>
      <c r="FV30" s="47"/>
      <c r="FW30" s="47"/>
      <c r="FX30" s="47"/>
      <c r="FY30" s="47"/>
      <c r="FZ30" s="47"/>
      <c r="GA30" s="47"/>
      <c r="GB30" s="47"/>
      <c r="GC30" s="47"/>
      <c r="GD30" s="47"/>
      <c r="GE30" s="47"/>
      <c r="GF30" s="47"/>
      <c r="GG30" s="47"/>
      <c r="GH30" s="47"/>
      <c r="GI30" s="47"/>
      <c r="GJ30" s="47"/>
      <c r="GK30" s="47"/>
      <c r="GL30" s="47"/>
      <c r="GM30" s="47"/>
      <c r="GN30" s="47"/>
      <c r="GO30" s="47"/>
      <c r="GP30" s="47"/>
      <c r="GQ30" s="47"/>
      <c r="GR30" s="47"/>
      <c r="GS30" s="47"/>
      <c r="GT30" s="47"/>
      <c r="GU30" s="47"/>
      <c r="GV30" s="47"/>
      <c r="GW30" s="47"/>
      <c r="GX30" s="47"/>
      <c r="GY30" s="47"/>
      <c r="GZ30" s="47"/>
      <c r="HA30" s="47"/>
      <c r="HB30" s="47"/>
      <c r="HC30" s="47"/>
      <c r="HD30" s="47"/>
      <c r="HE30" s="47"/>
      <c r="HF30" s="47"/>
      <c r="HG30" s="47"/>
      <c r="HH30" s="47"/>
      <c r="HI30" s="47"/>
      <c r="HJ30" s="47"/>
      <c r="HK30" s="47"/>
      <c r="HL30" s="47"/>
      <c r="HM30" s="47"/>
      <c r="HN30" s="47"/>
      <c r="HO30" s="47"/>
      <c r="HP30" s="47"/>
      <c r="HQ30" s="47"/>
      <c r="HR30" s="47"/>
      <c r="HS30" s="47"/>
      <c r="HT30" s="47"/>
      <c r="HU30" s="47"/>
      <c r="HV30" s="47"/>
      <c r="HW30" s="47"/>
      <c r="HX30" s="47"/>
      <c r="HY30" s="47"/>
      <c r="HZ30" s="47"/>
      <c r="IA30" s="47"/>
      <c r="IB30" s="47"/>
      <c r="IC30" s="47"/>
      <c r="ID30" s="47"/>
      <c r="IE30" s="47"/>
      <c r="IF30" s="47"/>
      <c r="IG30" s="47"/>
      <c r="IH30" s="47"/>
      <c r="II30" s="47"/>
      <c r="IJ30" s="47"/>
      <c r="IK30" s="47"/>
      <c r="IL30" s="47"/>
      <c r="IM30" s="47"/>
      <c r="IN30" s="47"/>
      <c r="IO30" s="47"/>
      <c r="IP30" s="47"/>
      <c r="IQ30" s="47"/>
      <c r="IR30" s="47"/>
      <c r="IS30" s="47"/>
      <c r="IT30" s="47"/>
      <c r="IU30" s="47"/>
      <c r="IV30" s="47"/>
      <c r="IW30" s="47"/>
      <c r="IX30" s="47"/>
      <c r="IY30" s="47"/>
      <c r="IZ30" s="47"/>
      <c r="JA30" s="47"/>
      <c r="JB30" s="47"/>
      <c r="JC30" s="47"/>
      <c r="JD30" s="47"/>
      <c r="JE30" s="47"/>
      <c r="JF30" s="47"/>
      <c r="JG30" s="47"/>
      <c r="JH30" s="47"/>
      <c r="JI30" s="47"/>
      <c r="JJ30" s="47"/>
      <c r="JK30" s="47"/>
      <c r="JL30" s="47"/>
      <c r="JM30" s="47"/>
      <c r="JN30" s="47"/>
      <c r="JO30" s="47"/>
      <c r="JP30" s="47"/>
      <c r="JQ30" s="47"/>
      <c r="JR30" s="47"/>
      <c r="JS30" s="47"/>
      <c r="JT30" s="47"/>
      <c r="JU30" s="47"/>
      <c r="JV30" s="47"/>
      <c r="JW30" s="47"/>
      <c r="JX30" s="47"/>
      <c r="JY30" s="47"/>
      <c r="JZ30" s="47"/>
      <c r="KA30" s="47"/>
      <c r="KB30" s="47"/>
      <c r="KC30" s="47"/>
      <c r="KD30" s="47"/>
      <c r="KE30" s="47"/>
      <c r="KF30" s="47"/>
      <c r="KG30" s="47"/>
      <c r="KH30" s="47"/>
      <c r="KI30" s="47"/>
      <c r="KJ30" s="47"/>
      <c r="KK30" s="47"/>
      <c r="KL30" s="47"/>
      <c r="KM30" s="47"/>
      <c r="KN30" s="47"/>
      <c r="KO30" s="47"/>
      <c r="KP30" s="47"/>
      <c r="KQ30" s="47"/>
      <c r="KR30" s="47"/>
      <c r="KS30" s="47"/>
      <c r="KT30" s="47"/>
      <c r="KU30" s="47"/>
      <c r="KV30" s="47"/>
      <c r="KW30" s="47"/>
      <c r="KX30" s="47"/>
      <c r="KY30" s="47"/>
      <c r="KZ30" s="47"/>
      <c r="LA30" s="47"/>
      <c r="LB30" s="47"/>
      <c r="LC30" s="47"/>
      <c r="LD30" s="47"/>
      <c r="LE30" s="47"/>
      <c r="LF30" s="47"/>
      <c r="LG30" s="47"/>
      <c r="LH30" s="47"/>
      <c r="LI30" s="47"/>
      <c r="LJ30" s="47"/>
      <c r="LK30" s="47"/>
      <c r="LL30" s="47"/>
      <c r="LM30" s="47"/>
      <c r="LN30" s="47"/>
      <c r="LO30" s="47"/>
      <c r="LP30" s="47"/>
      <c r="LQ30" s="47"/>
      <c r="LR30" s="47"/>
      <c r="LS30" s="47"/>
      <c r="LT30" s="47"/>
      <c r="LU30" s="47"/>
      <c r="LV30" s="47"/>
      <c r="LW30" s="47"/>
      <c r="LX30" s="47"/>
      <c r="LY30" s="47"/>
      <c r="LZ30" s="47"/>
      <c r="MA30" s="47"/>
      <c r="MB30" s="47"/>
      <c r="MC30" s="47"/>
      <c r="MD30" s="47"/>
      <c r="ME30" s="47"/>
      <c r="MF30" s="47"/>
      <c r="MG30" s="47"/>
      <c r="MH30" s="47"/>
      <c r="MI30" s="47"/>
      <c r="MJ30" s="47"/>
      <c r="MK30" s="47"/>
      <c r="ML30" s="47"/>
      <c r="MM30" s="47"/>
      <c r="MN30" s="47"/>
      <c r="MO30" s="47"/>
      <c r="MP30" s="47"/>
      <c r="MQ30" s="47"/>
      <c r="MR30" s="47"/>
      <c r="MS30" s="47"/>
      <c r="MT30" s="47"/>
      <c r="MU30" s="47"/>
      <c r="MV30" s="47"/>
      <c r="MW30" s="47"/>
      <c r="MX30" s="47"/>
      <c r="MY30" s="47"/>
      <c r="MZ30" s="47"/>
      <c r="NA30" s="47"/>
      <c r="NB30" s="47"/>
      <c r="NC30" s="47"/>
      <c r="ND30" s="47"/>
      <c r="NE30" s="47"/>
      <c r="NF30" s="47"/>
      <c r="NG30" s="47"/>
      <c r="NH30" s="47"/>
      <c r="NI30" s="47"/>
      <c r="NJ30" s="47"/>
      <c r="NK30" s="47"/>
      <c r="NL30" s="47"/>
      <c r="NM30" s="47"/>
      <c r="NN30" s="47"/>
      <c r="NO30" s="47"/>
      <c r="NP30" s="47"/>
      <c r="NQ30" s="47"/>
      <c r="NR30" s="47"/>
      <c r="NS30" s="47"/>
      <c r="NT30" s="47"/>
      <c r="NU30" s="47"/>
      <c r="NV30" s="47"/>
      <c r="NW30" s="47"/>
      <c r="NX30" s="47"/>
      <c r="NY30" s="47"/>
      <c r="NZ30" s="47"/>
      <c r="OA30" s="47"/>
      <c r="OB30" s="47"/>
      <c r="OC30" s="47"/>
      <c r="OD30" s="47"/>
      <c r="OE30" s="48"/>
    </row>
    <row r="31" spans="1:395">
      <c r="A31" s="33" t="str">
        <f t="shared" si="15"/>
        <v/>
      </c>
      <c r="C31" s="2" t="str">
        <f>IF(ISBLANK($B31),"",_xlfn.XLOOKUP($B31,Task_No,Project!$C$3:$C$144,"INVALID TASK"))</f>
        <v/>
      </c>
      <c r="D31" s="27"/>
      <c r="E31" s="7" t="str">
        <f t="shared" si="17"/>
        <v/>
      </c>
      <c r="F31" s="7" t="str">
        <f t="shared" si="18"/>
        <v/>
      </c>
      <c r="G31" s="34"/>
      <c r="H31" s="34" t="str" cm="1">
        <f t="array" ref="H31">IF($C31="","",SUMPRODUCT((TEXT($AE$5:$OE$5, "mmm")=LOWER(G$3))*$AE31:$OE31))</f>
        <v/>
      </c>
      <c r="I31" s="34"/>
      <c r="J31" s="34" t="str" cm="1">
        <f t="array" ref="J31">IF($C31="","",SUMPRODUCT((TEXT($AE$5:$OE$5, "mmm")=LOWER(I$3))*$AE31:$OE31))</f>
        <v/>
      </c>
      <c r="K31" s="34"/>
      <c r="L31" s="34" t="str" cm="1">
        <f t="array" ref="L31">IF($C31="","",SUMPRODUCT((TEXT($AE$5:$OE$5, "mmm")=LOWER(K$3))*$AE31:$OE31))</f>
        <v/>
      </c>
      <c r="M31" s="34"/>
      <c r="N31" s="34" t="str" cm="1">
        <f t="array" ref="N31">IF($C31="","",SUMPRODUCT((TEXT($AE$5:$OE$5, "mmm")=LOWER(M$3))*$AE31:$OE31))</f>
        <v/>
      </c>
      <c r="O31" s="34"/>
      <c r="P31" s="34" t="str" cm="1">
        <f t="array" ref="P31">IF($C31="","",SUMPRODUCT((TEXT($AE$5:$OE$5, "mmm")=LOWER(O$3))*$AE31:$OE31))</f>
        <v/>
      </c>
      <c r="Q31" s="34"/>
      <c r="R31" s="34" t="str" cm="1">
        <f t="array" ref="R31">IF($C31="","",SUMPRODUCT((TEXT($AE$5:$OE$5, "mmm")=LOWER(Q$3))*$AE31:$OE31))</f>
        <v/>
      </c>
      <c r="S31" s="34"/>
      <c r="T31" s="34" t="str" cm="1">
        <f t="array" ref="T31">IF($C31="","",SUMPRODUCT((TEXT($AE$5:$OE$5, "mmm")=LOWER(S$3))*$AE31:$OE31))</f>
        <v/>
      </c>
      <c r="U31" s="34"/>
      <c r="V31" s="34" t="str" cm="1">
        <f t="array" ref="V31">IF($C31="","",SUMPRODUCT((TEXT($AE$5:$OE$5, "mmm")=LOWER(U$3))*$AE31:$OE31))</f>
        <v/>
      </c>
      <c r="W31" s="34"/>
      <c r="X31" s="34" t="str" cm="1">
        <f t="array" ref="X31">IF($C31="","",SUMPRODUCT((TEXT($AE$5:$OE$5, "mmm")=LOWER(W$3))*$AE31:$OE31))</f>
        <v/>
      </c>
      <c r="Y31" s="34"/>
      <c r="Z31" s="34" t="str" cm="1">
        <f t="array" ref="Z31">IF($C31="","",SUMPRODUCT((TEXT($AE$5:$OE$5, "mmm")=LOWER(Y$3))*$AE31:$OE31))</f>
        <v/>
      </c>
      <c r="AA31" s="34"/>
      <c r="AB31" s="34" t="str" cm="1">
        <f t="array" ref="AB31">IF($C31="","",SUMPRODUCT((TEXT($AE$5:$OE$5, "mmm")=LOWER(AA$3))*$AE31:$OE31))</f>
        <v/>
      </c>
      <c r="AC31" s="34"/>
      <c r="AD31" s="34" t="str" cm="1">
        <f t="array" ref="AD31">IF($C31="","",SUMPRODUCT((TEXT($AE$5:$OE$5, "mmm")=LOWER(AC$3))*$AE31:$OE31))</f>
        <v/>
      </c>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47"/>
      <c r="BF31" s="47"/>
      <c r="BG31" s="47"/>
      <c r="BH31" s="47"/>
      <c r="BI31" s="47"/>
      <c r="BJ31" s="47"/>
      <c r="BK31" s="47"/>
      <c r="BL31" s="47"/>
      <c r="BM31" s="47"/>
      <c r="BN31" s="47"/>
      <c r="BO31" s="47"/>
      <c r="BP31" s="47"/>
      <c r="BQ31" s="47"/>
      <c r="BR31" s="47"/>
      <c r="BS31" s="47"/>
      <c r="BT31" s="47"/>
      <c r="BU31" s="47"/>
      <c r="BV31" s="47"/>
      <c r="BW31" s="47"/>
      <c r="BX31" s="47"/>
      <c r="BY31" s="47"/>
      <c r="BZ31" s="47"/>
      <c r="CA31" s="47"/>
      <c r="CB31" s="47"/>
      <c r="CC31" s="47"/>
      <c r="CD31" s="47"/>
      <c r="CE31" s="47"/>
      <c r="CF31" s="47"/>
      <c r="CG31" s="47"/>
      <c r="CH31" s="47"/>
      <c r="CI31" s="47"/>
      <c r="CJ31" s="47"/>
      <c r="CK31" s="47"/>
      <c r="CL31" s="47"/>
      <c r="CM31" s="47"/>
      <c r="CN31" s="47"/>
      <c r="CO31" s="47"/>
      <c r="CP31" s="47"/>
      <c r="CQ31" s="47"/>
      <c r="CR31" s="47"/>
      <c r="CS31" s="47"/>
      <c r="CT31" s="47"/>
      <c r="CU31" s="47"/>
      <c r="CV31" s="47"/>
      <c r="CW31" s="47"/>
      <c r="CX31" s="47"/>
      <c r="CY31" s="47"/>
      <c r="CZ31" s="47"/>
      <c r="DA31" s="47"/>
      <c r="DB31" s="47"/>
      <c r="DC31" s="47"/>
      <c r="DD31" s="47"/>
      <c r="DE31" s="47"/>
      <c r="DF31" s="47"/>
      <c r="DG31" s="47"/>
      <c r="DH31" s="47"/>
      <c r="DI31" s="47"/>
      <c r="DJ31" s="47"/>
      <c r="DK31" s="47"/>
      <c r="DL31" s="47"/>
      <c r="DM31" s="47"/>
      <c r="DN31" s="47"/>
      <c r="DO31" s="47"/>
      <c r="DP31" s="47"/>
      <c r="DQ31" s="47"/>
      <c r="DR31" s="47"/>
      <c r="DS31" s="47"/>
      <c r="DT31" s="47"/>
      <c r="DU31" s="47"/>
      <c r="DV31" s="47"/>
      <c r="DW31" s="47"/>
      <c r="DX31" s="47"/>
      <c r="DY31" s="47"/>
      <c r="DZ31" s="47"/>
      <c r="EA31" s="47"/>
      <c r="EB31" s="47"/>
      <c r="EC31" s="47"/>
      <c r="ED31" s="47"/>
      <c r="EE31" s="47"/>
      <c r="EF31" s="47"/>
      <c r="EG31" s="47"/>
      <c r="EH31" s="47"/>
      <c r="EI31" s="47"/>
      <c r="EJ31" s="47"/>
      <c r="EK31" s="47"/>
      <c r="EL31" s="47"/>
      <c r="EM31" s="47"/>
      <c r="EN31" s="47"/>
      <c r="EO31" s="47"/>
      <c r="EP31" s="47"/>
      <c r="EQ31" s="47"/>
      <c r="ER31" s="47"/>
      <c r="ES31" s="47"/>
      <c r="ET31" s="47"/>
      <c r="EU31" s="47"/>
      <c r="EV31" s="47"/>
      <c r="EW31" s="47"/>
      <c r="EX31" s="47"/>
      <c r="EY31" s="47"/>
      <c r="EZ31" s="47"/>
      <c r="FA31" s="47"/>
      <c r="FB31" s="47"/>
      <c r="FC31" s="47"/>
      <c r="FD31" s="47"/>
      <c r="FE31" s="47"/>
      <c r="FF31" s="47"/>
      <c r="FG31" s="47"/>
      <c r="FH31" s="47"/>
      <c r="FI31" s="47"/>
      <c r="FJ31" s="47"/>
      <c r="FK31" s="47"/>
      <c r="FL31" s="47"/>
      <c r="FM31" s="47"/>
      <c r="FN31" s="47"/>
      <c r="FO31" s="47"/>
      <c r="FP31" s="47"/>
      <c r="FQ31" s="47"/>
      <c r="FR31" s="47"/>
      <c r="FS31" s="47"/>
      <c r="FT31" s="47"/>
      <c r="FU31" s="47"/>
      <c r="FV31" s="47"/>
      <c r="FW31" s="47"/>
      <c r="FX31" s="47"/>
      <c r="FY31" s="47"/>
      <c r="FZ31" s="47"/>
      <c r="GA31" s="47"/>
      <c r="GB31" s="47"/>
      <c r="GC31" s="47"/>
      <c r="GD31" s="47"/>
      <c r="GE31" s="47"/>
      <c r="GF31" s="47"/>
      <c r="GG31" s="47"/>
      <c r="GH31" s="47"/>
      <c r="GI31" s="47"/>
      <c r="GJ31" s="47"/>
      <c r="GK31" s="47"/>
      <c r="GL31" s="47"/>
      <c r="GM31" s="47"/>
      <c r="GN31" s="47"/>
      <c r="GO31" s="47"/>
      <c r="GP31" s="47"/>
      <c r="GQ31" s="47"/>
      <c r="GR31" s="47"/>
      <c r="GS31" s="47"/>
      <c r="GT31" s="47"/>
      <c r="GU31" s="47"/>
      <c r="GV31" s="47"/>
      <c r="GW31" s="47"/>
      <c r="GX31" s="47"/>
      <c r="GY31" s="47"/>
      <c r="GZ31" s="47"/>
      <c r="HA31" s="47"/>
      <c r="HB31" s="47"/>
      <c r="HC31" s="47"/>
      <c r="HD31" s="47"/>
      <c r="HE31" s="47"/>
      <c r="HF31" s="47"/>
      <c r="HG31" s="47"/>
      <c r="HH31" s="47"/>
      <c r="HI31" s="47"/>
      <c r="HJ31" s="47"/>
      <c r="HK31" s="47"/>
      <c r="HL31" s="47"/>
      <c r="HM31" s="47"/>
      <c r="HN31" s="47"/>
      <c r="HO31" s="47"/>
      <c r="HP31" s="47"/>
      <c r="HQ31" s="47"/>
      <c r="HR31" s="47"/>
      <c r="HS31" s="47"/>
      <c r="HT31" s="47"/>
      <c r="HU31" s="47"/>
      <c r="HV31" s="47"/>
      <c r="HW31" s="47"/>
      <c r="HX31" s="47"/>
      <c r="HY31" s="47"/>
      <c r="HZ31" s="47"/>
      <c r="IA31" s="47"/>
      <c r="IB31" s="47"/>
      <c r="IC31" s="47"/>
      <c r="ID31" s="47"/>
      <c r="IE31" s="47"/>
      <c r="IF31" s="47"/>
      <c r="IG31" s="47"/>
      <c r="IH31" s="47"/>
      <c r="II31" s="47"/>
      <c r="IJ31" s="47"/>
      <c r="IK31" s="47"/>
      <c r="IL31" s="47"/>
      <c r="IM31" s="47"/>
      <c r="IN31" s="47"/>
      <c r="IO31" s="47"/>
      <c r="IP31" s="47"/>
      <c r="IQ31" s="47"/>
      <c r="IR31" s="47"/>
      <c r="IS31" s="47"/>
      <c r="IT31" s="47"/>
      <c r="IU31" s="47"/>
      <c r="IV31" s="47"/>
      <c r="IW31" s="47"/>
      <c r="IX31" s="47"/>
      <c r="IY31" s="47"/>
      <c r="IZ31" s="47"/>
      <c r="JA31" s="47"/>
      <c r="JB31" s="47"/>
      <c r="JC31" s="47"/>
      <c r="JD31" s="47"/>
      <c r="JE31" s="47"/>
      <c r="JF31" s="47"/>
      <c r="JG31" s="47"/>
      <c r="JH31" s="47"/>
      <c r="JI31" s="47"/>
      <c r="JJ31" s="47"/>
      <c r="JK31" s="47"/>
      <c r="JL31" s="47"/>
      <c r="JM31" s="47"/>
      <c r="JN31" s="47"/>
      <c r="JO31" s="47"/>
      <c r="JP31" s="47"/>
      <c r="JQ31" s="47"/>
      <c r="JR31" s="47"/>
      <c r="JS31" s="47"/>
      <c r="JT31" s="47"/>
      <c r="JU31" s="47"/>
      <c r="JV31" s="47"/>
      <c r="JW31" s="47"/>
      <c r="JX31" s="47"/>
      <c r="JY31" s="47"/>
      <c r="JZ31" s="47"/>
      <c r="KA31" s="47"/>
      <c r="KB31" s="47"/>
      <c r="KC31" s="47"/>
      <c r="KD31" s="47"/>
      <c r="KE31" s="47"/>
      <c r="KF31" s="47"/>
      <c r="KG31" s="47"/>
      <c r="KH31" s="47"/>
      <c r="KI31" s="47"/>
      <c r="KJ31" s="47"/>
      <c r="KK31" s="47"/>
      <c r="KL31" s="47"/>
      <c r="KM31" s="47"/>
      <c r="KN31" s="47"/>
      <c r="KO31" s="47"/>
      <c r="KP31" s="47"/>
      <c r="KQ31" s="47"/>
      <c r="KR31" s="47"/>
      <c r="KS31" s="47"/>
      <c r="KT31" s="47"/>
      <c r="KU31" s="47"/>
      <c r="KV31" s="47"/>
      <c r="KW31" s="47"/>
      <c r="KX31" s="47"/>
      <c r="KY31" s="47"/>
      <c r="KZ31" s="47"/>
      <c r="LA31" s="47"/>
      <c r="LB31" s="47"/>
      <c r="LC31" s="47"/>
      <c r="LD31" s="47"/>
      <c r="LE31" s="47"/>
      <c r="LF31" s="47"/>
      <c r="LG31" s="47"/>
      <c r="LH31" s="47"/>
      <c r="LI31" s="47"/>
      <c r="LJ31" s="47"/>
      <c r="LK31" s="47"/>
      <c r="LL31" s="47"/>
      <c r="LM31" s="47"/>
      <c r="LN31" s="47"/>
      <c r="LO31" s="47"/>
      <c r="LP31" s="47"/>
      <c r="LQ31" s="47"/>
      <c r="LR31" s="47"/>
      <c r="LS31" s="47"/>
      <c r="LT31" s="47"/>
      <c r="LU31" s="47"/>
      <c r="LV31" s="47"/>
      <c r="LW31" s="47"/>
      <c r="LX31" s="47"/>
      <c r="LY31" s="47"/>
      <c r="LZ31" s="47"/>
      <c r="MA31" s="47"/>
      <c r="MB31" s="47"/>
      <c r="MC31" s="47"/>
      <c r="MD31" s="47"/>
      <c r="ME31" s="47"/>
      <c r="MF31" s="47"/>
      <c r="MG31" s="47"/>
      <c r="MH31" s="47"/>
      <c r="MI31" s="47"/>
      <c r="MJ31" s="47"/>
      <c r="MK31" s="47"/>
      <c r="ML31" s="47"/>
      <c r="MM31" s="47"/>
      <c r="MN31" s="47"/>
      <c r="MO31" s="47"/>
      <c r="MP31" s="47"/>
      <c r="MQ31" s="47"/>
      <c r="MR31" s="47"/>
      <c r="MS31" s="47"/>
      <c r="MT31" s="47"/>
      <c r="MU31" s="47"/>
      <c r="MV31" s="47"/>
      <c r="MW31" s="47"/>
      <c r="MX31" s="47"/>
      <c r="MY31" s="47"/>
      <c r="MZ31" s="47"/>
      <c r="NA31" s="47"/>
      <c r="NB31" s="47"/>
      <c r="NC31" s="47"/>
      <c r="ND31" s="47"/>
      <c r="NE31" s="47"/>
      <c r="NF31" s="47"/>
      <c r="NG31" s="47"/>
      <c r="NH31" s="47"/>
      <c r="NI31" s="47"/>
      <c r="NJ31" s="47"/>
      <c r="NK31" s="47"/>
      <c r="NL31" s="47"/>
      <c r="NM31" s="47"/>
      <c r="NN31" s="47"/>
      <c r="NO31" s="47"/>
      <c r="NP31" s="47"/>
      <c r="NQ31" s="47"/>
      <c r="NR31" s="47"/>
      <c r="NS31" s="47"/>
      <c r="NT31" s="47"/>
      <c r="NU31" s="47"/>
      <c r="NV31" s="47"/>
      <c r="NW31" s="47"/>
      <c r="NX31" s="47"/>
      <c r="NY31" s="47"/>
      <c r="NZ31" s="47"/>
      <c r="OA31" s="47"/>
      <c r="OB31" s="47"/>
      <c r="OC31" s="47"/>
      <c r="OD31" s="47"/>
      <c r="OE31" s="48"/>
    </row>
    <row r="32" spans="1:395">
      <c r="A32" s="33" t="str">
        <f t="shared" si="15"/>
        <v/>
      </c>
      <c r="C32" s="2" t="str">
        <f>IF(ISBLANK($B32),"",_xlfn.XLOOKUP($B32,Task_No,Project!$C$3:$C$144,"INVALID TASK"))</f>
        <v/>
      </c>
      <c r="D32" s="27"/>
      <c r="E32" s="7" t="str">
        <f t="shared" si="17"/>
        <v/>
      </c>
      <c r="F32" s="7" t="str">
        <f t="shared" si="18"/>
        <v/>
      </c>
      <c r="G32" s="34"/>
      <c r="H32" s="34" t="str" cm="1">
        <f t="array" ref="H32">IF($C32="","",SUMPRODUCT((TEXT($AE$5:$OE$5, "mmm")=LOWER(G$3))*$AE32:$OE32))</f>
        <v/>
      </c>
      <c r="I32" s="34"/>
      <c r="J32" s="34" t="str" cm="1">
        <f t="array" ref="J32">IF($C32="","",SUMPRODUCT((TEXT($AE$5:$OE$5, "mmm")=LOWER(I$3))*$AE32:$OE32))</f>
        <v/>
      </c>
      <c r="K32" s="34"/>
      <c r="L32" s="34" t="str" cm="1">
        <f t="array" ref="L32">IF($C32="","",SUMPRODUCT((TEXT($AE$5:$OE$5, "mmm")=LOWER(K$3))*$AE32:$OE32))</f>
        <v/>
      </c>
      <c r="M32" s="34"/>
      <c r="N32" s="34" t="str" cm="1">
        <f t="array" ref="N32">IF($C32="","",SUMPRODUCT((TEXT($AE$5:$OE$5, "mmm")=LOWER(M$3))*$AE32:$OE32))</f>
        <v/>
      </c>
      <c r="O32" s="34"/>
      <c r="P32" s="34" t="str" cm="1">
        <f t="array" ref="P32">IF($C32="","",SUMPRODUCT((TEXT($AE$5:$OE$5, "mmm")=LOWER(O$3))*$AE32:$OE32))</f>
        <v/>
      </c>
      <c r="Q32" s="34"/>
      <c r="R32" s="34" t="str" cm="1">
        <f t="array" ref="R32">IF($C32="","",SUMPRODUCT((TEXT($AE$5:$OE$5, "mmm")=LOWER(Q$3))*$AE32:$OE32))</f>
        <v/>
      </c>
      <c r="S32" s="34"/>
      <c r="T32" s="34" t="str" cm="1">
        <f t="array" ref="T32">IF($C32="","",SUMPRODUCT((TEXT($AE$5:$OE$5, "mmm")=LOWER(S$3))*$AE32:$OE32))</f>
        <v/>
      </c>
      <c r="U32" s="34"/>
      <c r="V32" s="34" t="str" cm="1">
        <f t="array" ref="V32">IF($C32="","",SUMPRODUCT((TEXT($AE$5:$OE$5, "mmm")=LOWER(U$3))*$AE32:$OE32))</f>
        <v/>
      </c>
      <c r="W32" s="34"/>
      <c r="X32" s="34" t="str" cm="1">
        <f t="array" ref="X32">IF($C32="","",SUMPRODUCT((TEXT($AE$5:$OE$5, "mmm")=LOWER(W$3))*$AE32:$OE32))</f>
        <v/>
      </c>
      <c r="Y32" s="34"/>
      <c r="Z32" s="34" t="str" cm="1">
        <f t="array" ref="Z32">IF($C32="","",SUMPRODUCT((TEXT($AE$5:$OE$5, "mmm")=LOWER(Y$3))*$AE32:$OE32))</f>
        <v/>
      </c>
      <c r="AA32" s="34"/>
      <c r="AB32" s="34" t="str" cm="1">
        <f t="array" ref="AB32">IF($C32="","",SUMPRODUCT((TEXT($AE$5:$OE$5, "mmm")=LOWER(AA$3))*$AE32:$OE32))</f>
        <v/>
      </c>
      <c r="AC32" s="34"/>
      <c r="AD32" s="34" t="str" cm="1">
        <f t="array" ref="AD32">IF($C32="","",SUMPRODUCT((TEXT($AE$5:$OE$5, "mmm")=LOWER(AC$3))*$AE32:$OE32))</f>
        <v/>
      </c>
      <c r="AE32" s="47"/>
      <c r="AF32" s="47"/>
      <c r="AG32" s="47"/>
      <c r="AH32" s="47"/>
      <c r="AI32" s="47"/>
      <c r="AJ32" s="47"/>
      <c r="AK32" s="47"/>
      <c r="AL32" s="47"/>
      <c r="AM32" s="47"/>
      <c r="AN32" s="47"/>
      <c r="AO32" s="47"/>
      <c r="AP32" s="47"/>
      <c r="AQ32" s="47"/>
      <c r="AR32" s="47"/>
      <c r="AS32" s="47"/>
      <c r="AT32" s="47"/>
      <c r="AU32" s="47"/>
      <c r="AV32" s="47"/>
      <c r="AW32" s="47"/>
      <c r="AX32" s="47"/>
      <c r="AY32" s="47"/>
      <c r="AZ32" s="47"/>
      <c r="BA32" s="47"/>
      <c r="BB32" s="47"/>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47"/>
      <c r="CA32" s="47"/>
      <c r="CB32" s="47"/>
      <c r="CC32" s="47"/>
      <c r="CD32" s="47"/>
      <c r="CE32" s="47"/>
      <c r="CF32" s="47"/>
      <c r="CG32" s="47"/>
      <c r="CH32" s="47"/>
      <c r="CI32" s="47"/>
      <c r="CJ32" s="47"/>
      <c r="CK32" s="47"/>
      <c r="CL32" s="47"/>
      <c r="CM32" s="47"/>
      <c r="CN32" s="47"/>
      <c r="CO32" s="47"/>
      <c r="CP32" s="47"/>
      <c r="CQ32" s="47"/>
      <c r="CR32" s="47"/>
      <c r="CS32" s="47"/>
      <c r="CT32" s="47"/>
      <c r="CU32" s="47"/>
      <c r="CV32" s="47"/>
      <c r="CW32" s="47"/>
      <c r="CX32" s="47"/>
      <c r="CY32" s="47"/>
      <c r="CZ32" s="47"/>
      <c r="DA32" s="47"/>
      <c r="DB32" s="47"/>
      <c r="DC32" s="47"/>
      <c r="DD32" s="47"/>
      <c r="DE32" s="47"/>
      <c r="DF32" s="47"/>
      <c r="DG32" s="47"/>
      <c r="DH32" s="47"/>
      <c r="DI32" s="47"/>
      <c r="DJ32" s="47"/>
      <c r="DK32" s="47"/>
      <c r="DL32" s="47"/>
      <c r="DM32" s="47"/>
      <c r="DN32" s="47"/>
      <c r="DO32" s="47"/>
      <c r="DP32" s="47"/>
      <c r="DQ32" s="47"/>
      <c r="DR32" s="47"/>
      <c r="DS32" s="47"/>
      <c r="DT32" s="47"/>
      <c r="DU32" s="47"/>
      <c r="DV32" s="47"/>
      <c r="DW32" s="47"/>
      <c r="DX32" s="47"/>
      <c r="DY32" s="47"/>
      <c r="DZ32" s="47"/>
      <c r="EA32" s="47"/>
      <c r="EB32" s="47"/>
      <c r="EC32" s="47"/>
      <c r="ED32" s="47"/>
      <c r="EE32" s="47"/>
      <c r="EF32" s="47"/>
      <c r="EG32" s="47"/>
      <c r="EH32" s="47"/>
      <c r="EI32" s="47"/>
      <c r="EJ32" s="47"/>
      <c r="EK32" s="47"/>
      <c r="EL32" s="47"/>
      <c r="EM32" s="47"/>
      <c r="EN32" s="47"/>
      <c r="EO32" s="47"/>
      <c r="EP32" s="47"/>
      <c r="EQ32" s="47"/>
      <c r="ER32" s="47"/>
      <c r="ES32" s="47"/>
      <c r="ET32" s="47"/>
      <c r="EU32" s="47"/>
      <c r="EV32" s="47"/>
      <c r="EW32" s="47"/>
      <c r="EX32" s="47"/>
      <c r="EY32" s="47"/>
      <c r="EZ32" s="47"/>
      <c r="FA32" s="47"/>
      <c r="FB32" s="47"/>
      <c r="FC32" s="47"/>
      <c r="FD32" s="47"/>
      <c r="FE32" s="47"/>
      <c r="FF32" s="47"/>
      <c r="FG32" s="47"/>
      <c r="FH32" s="47"/>
      <c r="FI32" s="47"/>
      <c r="FJ32" s="47"/>
      <c r="FK32" s="47"/>
      <c r="FL32" s="47"/>
      <c r="FM32" s="47"/>
      <c r="FN32" s="47"/>
      <c r="FO32" s="47"/>
      <c r="FP32" s="47"/>
      <c r="FQ32" s="47"/>
      <c r="FR32" s="47"/>
      <c r="FS32" s="47"/>
      <c r="FT32" s="47"/>
      <c r="FU32" s="47"/>
      <c r="FV32" s="47"/>
      <c r="FW32" s="47"/>
      <c r="FX32" s="47"/>
      <c r="FY32" s="47"/>
      <c r="FZ32" s="47"/>
      <c r="GA32" s="47"/>
      <c r="GB32" s="47"/>
      <c r="GC32" s="47"/>
      <c r="GD32" s="47"/>
      <c r="GE32" s="47"/>
      <c r="GF32" s="47"/>
      <c r="GG32" s="47"/>
      <c r="GH32" s="47"/>
      <c r="GI32" s="47"/>
      <c r="GJ32" s="47"/>
      <c r="GK32" s="47"/>
      <c r="GL32" s="47"/>
      <c r="GM32" s="47"/>
      <c r="GN32" s="47"/>
      <c r="GO32" s="47"/>
      <c r="GP32" s="47"/>
      <c r="GQ32" s="47"/>
      <c r="GR32" s="47"/>
      <c r="GS32" s="47"/>
      <c r="GT32" s="47"/>
      <c r="GU32" s="47"/>
      <c r="GV32" s="47"/>
      <c r="GW32" s="47"/>
      <c r="GX32" s="47"/>
      <c r="GY32" s="47"/>
      <c r="GZ32" s="47"/>
      <c r="HA32" s="47"/>
      <c r="HB32" s="47"/>
      <c r="HC32" s="47"/>
      <c r="HD32" s="47"/>
      <c r="HE32" s="47"/>
      <c r="HF32" s="47"/>
      <c r="HG32" s="47"/>
      <c r="HH32" s="47"/>
      <c r="HI32" s="47"/>
      <c r="HJ32" s="47"/>
      <c r="HK32" s="47"/>
      <c r="HL32" s="47"/>
      <c r="HM32" s="47"/>
      <c r="HN32" s="47"/>
      <c r="HO32" s="47"/>
      <c r="HP32" s="47"/>
      <c r="HQ32" s="47"/>
      <c r="HR32" s="47"/>
      <c r="HS32" s="47"/>
      <c r="HT32" s="47"/>
      <c r="HU32" s="47"/>
      <c r="HV32" s="47"/>
      <c r="HW32" s="47"/>
      <c r="HX32" s="47"/>
      <c r="HY32" s="47"/>
      <c r="HZ32" s="47"/>
      <c r="IA32" s="47"/>
      <c r="IB32" s="47"/>
      <c r="IC32" s="47"/>
      <c r="ID32" s="47"/>
      <c r="IE32" s="47"/>
      <c r="IF32" s="47"/>
      <c r="IG32" s="47"/>
      <c r="IH32" s="47"/>
      <c r="II32" s="47"/>
      <c r="IJ32" s="47"/>
      <c r="IK32" s="47"/>
      <c r="IL32" s="47"/>
      <c r="IM32" s="47"/>
      <c r="IN32" s="47"/>
      <c r="IO32" s="47"/>
      <c r="IP32" s="47"/>
      <c r="IQ32" s="47"/>
      <c r="IR32" s="47"/>
      <c r="IS32" s="47"/>
      <c r="IT32" s="47"/>
      <c r="IU32" s="47"/>
      <c r="IV32" s="47"/>
      <c r="IW32" s="47"/>
      <c r="IX32" s="47"/>
      <c r="IY32" s="47"/>
      <c r="IZ32" s="47"/>
      <c r="JA32" s="47"/>
      <c r="JB32" s="47"/>
      <c r="JC32" s="47"/>
      <c r="JD32" s="47"/>
      <c r="JE32" s="47"/>
      <c r="JF32" s="47"/>
      <c r="JG32" s="47"/>
      <c r="JH32" s="47"/>
      <c r="JI32" s="47"/>
      <c r="JJ32" s="47"/>
      <c r="JK32" s="47"/>
      <c r="JL32" s="47"/>
      <c r="JM32" s="47"/>
      <c r="JN32" s="47"/>
      <c r="JO32" s="47"/>
      <c r="JP32" s="47"/>
      <c r="JQ32" s="47"/>
      <c r="JR32" s="47"/>
      <c r="JS32" s="47"/>
      <c r="JT32" s="47"/>
      <c r="JU32" s="47"/>
      <c r="JV32" s="47"/>
      <c r="JW32" s="47"/>
      <c r="JX32" s="47"/>
      <c r="JY32" s="47"/>
      <c r="JZ32" s="47"/>
      <c r="KA32" s="47"/>
      <c r="KB32" s="47"/>
      <c r="KC32" s="47"/>
      <c r="KD32" s="47"/>
      <c r="KE32" s="47"/>
      <c r="KF32" s="47"/>
      <c r="KG32" s="47"/>
      <c r="KH32" s="47"/>
      <c r="KI32" s="47"/>
      <c r="KJ32" s="47"/>
      <c r="KK32" s="47"/>
      <c r="KL32" s="47"/>
      <c r="KM32" s="47"/>
      <c r="KN32" s="47"/>
      <c r="KO32" s="47"/>
      <c r="KP32" s="47"/>
      <c r="KQ32" s="47"/>
      <c r="KR32" s="47"/>
      <c r="KS32" s="47"/>
      <c r="KT32" s="47"/>
      <c r="KU32" s="47"/>
      <c r="KV32" s="47"/>
      <c r="KW32" s="47"/>
      <c r="KX32" s="47"/>
      <c r="KY32" s="47"/>
      <c r="KZ32" s="47"/>
      <c r="LA32" s="47"/>
      <c r="LB32" s="47"/>
      <c r="LC32" s="47"/>
      <c r="LD32" s="47"/>
      <c r="LE32" s="47"/>
      <c r="LF32" s="47"/>
      <c r="LG32" s="47"/>
      <c r="LH32" s="47"/>
      <c r="LI32" s="47"/>
      <c r="LJ32" s="47"/>
      <c r="LK32" s="47"/>
      <c r="LL32" s="47"/>
      <c r="LM32" s="47"/>
      <c r="LN32" s="47"/>
      <c r="LO32" s="47"/>
      <c r="LP32" s="47"/>
      <c r="LQ32" s="47"/>
      <c r="LR32" s="47"/>
      <c r="LS32" s="47"/>
      <c r="LT32" s="47"/>
      <c r="LU32" s="47"/>
      <c r="LV32" s="47"/>
      <c r="LW32" s="47"/>
      <c r="LX32" s="47"/>
      <c r="LY32" s="47"/>
      <c r="LZ32" s="47"/>
      <c r="MA32" s="47"/>
      <c r="MB32" s="47"/>
      <c r="MC32" s="47"/>
      <c r="MD32" s="47"/>
      <c r="ME32" s="47"/>
      <c r="MF32" s="47"/>
      <c r="MG32" s="47"/>
      <c r="MH32" s="47"/>
      <c r="MI32" s="47"/>
      <c r="MJ32" s="47"/>
      <c r="MK32" s="47"/>
      <c r="ML32" s="47"/>
      <c r="MM32" s="47"/>
      <c r="MN32" s="47"/>
      <c r="MO32" s="47"/>
      <c r="MP32" s="47"/>
      <c r="MQ32" s="47"/>
      <c r="MR32" s="47"/>
      <c r="MS32" s="47"/>
      <c r="MT32" s="47"/>
      <c r="MU32" s="47"/>
      <c r="MV32" s="47"/>
      <c r="MW32" s="47"/>
      <c r="MX32" s="47"/>
      <c r="MY32" s="47"/>
      <c r="MZ32" s="47"/>
      <c r="NA32" s="47"/>
      <c r="NB32" s="47"/>
      <c r="NC32" s="47"/>
      <c r="ND32" s="47"/>
      <c r="NE32" s="47"/>
      <c r="NF32" s="47"/>
      <c r="NG32" s="47"/>
      <c r="NH32" s="47"/>
      <c r="NI32" s="47"/>
      <c r="NJ32" s="47"/>
      <c r="NK32" s="47"/>
      <c r="NL32" s="47"/>
      <c r="NM32" s="47"/>
      <c r="NN32" s="47"/>
      <c r="NO32" s="47"/>
      <c r="NP32" s="47"/>
      <c r="NQ32" s="47"/>
      <c r="NR32" s="47"/>
      <c r="NS32" s="47"/>
      <c r="NT32" s="47"/>
      <c r="NU32" s="47"/>
      <c r="NV32" s="47"/>
      <c r="NW32" s="47"/>
      <c r="NX32" s="47"/>
      <c r="NY32" s="47"/>
      <c r="NZ32" s="47"/>
      <c r="OA32" s="47"/>
      <c r="OB32" s="47"/>
      <c r="OC32" s="47"/>
      <c r="OD32" s="47"/>
      <c r="OE32" s="48"/>
    </row>
    <row r="33" spans="1:395">
      <c r="A33" s="33" t="str">
        <f t="shared" si="15"/>
        <v/>
      </c>
      <c r="C33" s="2" t="str">
        <f>IF(ISBLANK($B33),"",_xlfn.XLOOKUP($B33,Task_No,Project!$C$3:$C$144,"INVALID TASK"))</f>
        <v/>
      </c>
      <c r="D33" s="27"/>
      <c r="E33" s="7" t="str">
        <f t="shared" si="17"/>
        <v/>
      </c>
      <c r="F33" s="7" t="str">
        <f t="shared" si="18"/>
        <v/>
      </c>
      <c r="G33" s="34"/>
      <c r="H33" s="34" t="str" cm="1">
        <f t="array" ref="H33">IF($C33="","",SUMPRODUCT((TEXT($AE$5:$OE$5, "mmm")=LOWER(G$3))*$AE33:$OE33))</f>
        <v/>
      </c>
      <c r="I33" s="34"/>
      <c r="J33" s="34" t="str" cm="1">
        <f t="array" ref="J33">IF($C33="","",SUMPRODUCT((TEXT($AE$5:$OE$5, "mmm")=LOWER(I$3))*$AE33:$OE33))</f>
        <v/>
      </c>
      <c r="K33" s="34"/>
      <c r="L33" s="34" t="str" cm="1">
        <f t="array" ref="L33">IF($C33="","",SUMPRODUCT((TEXT($AE$5:$OE$5, "mmm")=LOWER(K$3))*$AE33:$OE33))</f>
        <v/>
      </c>
      <c r="M33" s="34"/>
      <c r="N33" s="34" t="str" cm="1">
        <f t="array" ref="N33">IF($C33="","",SUMPRODUCT((TEXT($AE$5:$OE$5, "mmm")=LOWER(M$3))*$AE33:$OE33))</f>
        <v/>
      </c>
      <c r="O33" s="34"/>
      <c r="P33" s="34" t="str" cm="1">
        <f t="array" ref="P33">IF($C33="","",SUMPRODUCT((TEXT($AE$5:$OE$5, "mmm")=LOWER(O$3))*$AE33:$OE33))</f>
        <v/>
      </c>
      <c r="Q33" s="34"/>
      <c r="R33" s="34" t="str" cm="1">
        <f t="array" ref="R33">IF($C33="","",SUMPRODUCT((TEXT($AE$5:$OE$5, "mmm")=LOWER(Q$3))*$AE33:$OE33))</f>
        <v/>
      </c>
      <c r="S33" s="34"/>
      <c r="T33" s="34" t="str" cm="1">
        <f t="array" ref="T33">IF($C33="","",SUMPRODUCT((TEXT($AE$5:$OE$5, "mmm")=LOWER(S$3))*$AE33:$OE33))</f>
        <v/>
      </c>
      <c r="U33" s="34"/>
      <c r="V33" s="34" t="str" cm="1">
        <f t="array" ref="V33">IF($C33="","",SUMPRODUCT((TEXT($AE$5:$OE$5, "mmm")=LOWER(U$3))*$AE33:$OE33))</f>
        <v/>
      </c>
      <c r="W33" s="34"/>
      <c r="X33" s="34" t="str" cm="1">
        <f t="array" ref="X33">IF($C33="","",SUMPRODUCT((TEXT($AE$5:$OE$5, "mmm")=LOWER(W$3))*$AE33:$OE33))</f>
        <v/>
      </c>
      <c r="Y33" s="34"/>
      <c r="Z33" s="34" t="str" cm="1">
        <f t="array" ref="Z33">IF($C33="","",SUMPRODUCT((TEXT($AE$5:$OE$5, "mmm")=LOWER(Y$3))*$AE33:$OE33))</f>
        <v/>
      </c>
      <c r="AA33" s="34"/>
      <c r="AB33" s="34" t="str" cm="1">
        <f t="array" ref="AB33">IF($C33="","",SUMPRODUCT((TEXT($AE$5:$OE$5, "mmm")=LOWER(AA$3))*$AE33:$OE33))</f>
        <v/>
      </c>
      <c r="AC33" s="34"/>
      <c r="AD33" s="34" t="str" cm="1">
        <f t="array" ref="AD33">IF($C33="","",SUMPRODUCT((TEXT($AE$5:$OE$5, "mmm")=LOWER(AC$3))*$AE33:$OE33))</f>
        <v/>
      </c>
      <c r="AE33" s="47"/>
      <c r="AF33" s="47"/>
      <c r="AG33" s="47"/>
      <c r="AH33" s="47"/>
      <c r="AI33" s="47"/>
      <c r="AJ33" s="47"/>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47"/>
      <c r="BN33" s="47"/>
      <c r="BO33" s="47"/>
      <c r="BP33" s="47"/>
      <c r="BQ33" s="47"/>
      <c r="BR33" s="47"/>
      <c r="BS33" s="47"/>
      <c r="BT33" s="47"/>
      <c r="BU33" s="47"/>
      <c r="BV33" s="47"/>
      <c r="BW33" s="47"/>
      <c r="BX33" s="47"/>
      <c r="BY33" s="47"/>
      <c r="BZ33" s="47"/>
      <c r="CA33" s="47"/>
      <c r="CB33" s="47"/>
      <c r="CC33" s="47"/>
      <c r="CD33" s="47"/>
      <c r="CE33" s="47"/>
      <c r="CF33" s="47"/>
      <c r="CG33" s="47"/>
      <c r="CH33" s="47"/>
      <c r="CI33" s="47"/>
      <c r="CJ33" s="47"/>
      <c r="CK33" s="47"/>
      <c r="CL33" s="47"/>
      <c r="CM33" s="47"/>
      <c r="CN33" s="47"/>
      <c r="CO33" s="47"/>
      <c r="CP33" s="47"/>
      <c r="CQ33" s="47"/>
      <c r="CR33" s="47"/>
      <c r="CS33" s="47"/>
      <c r="CT33" s="47"/>
      <c r="CU33" s="47"/>
      <c r="CV33" s="47"/>
      <c r="CW33" s="47"/>
      <c r="CX33" s="47"/>
      <c r="CY33" s="47"/>
      <c r="CZ33" s="47"/>
      <c r="DA33" s="47"/>
      <c r="DB33" s="47"/>
      <c r="DC33" s="47"/>
      <c r="DD33" s="47"/>
      <c r="DE33" s="47"/>
      <c r="DF33" s="47"/>
      <c r="DG33" s="47"/>
      <c r="DH33" s="47"/>
      <c r="DI33" s="47"/>
      <c r="DJ33" s="47"/>
      <c r="DK33" s="47"/>
      <c r="DL33" s="47"/>
      <c r="DM33" s="47"/>
      <c r="DN33" s="47"/>
      <c r="DO33" s="47"/>
      <c r="DP33" s="47"/>
      <c r="DQ33" s="47"/>
      <c r="DR33" s="47"/>
      <c r="DS33" s="47"/>
      <c r="DT33" s="47"/>
      <c r="DU33" s="47"/>
      <c r="DV33" s="47"/>
      <c r="DW33" s="47"/>
      <c r="DX33" s="47"/>
      <c r="DY33" s="47"/>
      <c r="DZ33" s="47"/>
      <c r="EA33" s="47"/>
      <c r="EB33" s="47"/>
      <c r="EC33" s="47"/>
      <c r="ED33" s="47"/>
      <c r="EE33" s="47"/>
      <c r="EF33" s="47"/>
      <c r="EG33" s="47"/>
      <c r="EH33" s="47"/>
      <c r="EI33" s="47"/>
      <c r="EJ33" s="47"/>
      <c r="EK33" s="47"/>
      <c r="EL33" s="47"/>
      <c r="EM33" s="47"/>
      <c r="EN33" s="47"/>
      <c r="EO33" s="47"/>
      <c r="EP33" s="47"/>
      <c r="EQ33" s="47"/>
      <c r="ER33" s="47"/>
      <c r="ES33" s="47"/>
      <c r="ET33" s="47"/>
      <c r="EU33" s="47"/>
      <c r="EV33" s="47"/>
      <c r="EW33" s="47"/>
      <c r="EX33" s="47"/>
      <c r="EY33" s="47"/>
      <c r="EZ33" s="47"/>
      <c r="FA33" s="47"/>
      <c r="FB33" s="47"/>
      <c r="FC33" s="47"/>
      <c r="FD33" s="47"/>
      <c r="FE33" s="47"/>
      <c r="FF33" s="47"/>
      <c r="FG33" s="47"/>
      <c r="FH33" s="47"/>
      <c r="FI33" s="47"/>
      <c r="FJ33" s="47"/>
      <c r="FK33" s="47"/>
      <c r="FL33" s="47"/>
      <c r="FM33" s="47"/>
      <c r="FN33" s="47"/>
      <c r="FO33" s="47"/>
      <c r="FP33" s="47"/>
      <c r="FQ33" s="47"/>
      <c r="FR33" s="47"/>
      <c r="FS33" s="47"/>
      <c r="FT33" s="47"/>
      <c r="FU33" s="47"/>
      <c r="FV33" s="47"/>
      <c r="FW33" s="47"/>
      <c r="FX33" s="47"/>
      <c r="FY33" s="47"/>
      <c r="FZ33" s="47"/>
      <c r="GA33" s="47"/>
      <c r="GB33" s="47"/>
      <c r="GC33" s="47"/>
      <c r="GD33" s="47"/>
      <c r="GE33" s="47"/>
      <c r="GF33" s="47"/>
      <c r="GG33" s="47"/>
      <c r="GH33" s="47"/>
      <c r="GI33" s="47"/>
      <c r="GJ33" s="47"/>
      <c r="GK33" s="47"/>
      <c r="GL33" s="47"/>
      <c r="GM33" s="47"/>
      <c r="GN33" s="47"/>
      <c r="GO33" s="47"/>
      <c r="GP33" s="47"/>
      <c r="GQ33" s="47"/>
      <c r="GR33" s="47"/>
      <c r="GS33" s="47"/>
      <c r="GT33" s="47"/>
      <c r="GU33" s="47"/>
      <c r="GV33" s="47"/>
      <c r="GW33" s="47"/>
      <c r="GX33" s="47"/>
      <c r="GY33" s="47"/>
      <c r="GZ33" s="47"/>
      <c r="HA33" s="47"/>
      <c r="HB33" s="47"/>
      <c r="HC33" s="47"/>
      <c r="HD33" s="47"/>
      <c r="HE33" s="47"/>
      <c r="HF33" s="47"/>
      <c r="HG33" s="47"/>
      <c r="HH33" s="47"/>
      <c r="HI33" s="47"/>
      <c r="HJ33" s="47"/>
      <c r="HK33" s="47"/>
      <c r="HL33" s="47"/>
      <c r="HM33" s="47"/>
      <c r="HN33" s="47"/>
      <c r="HO33" s="47"/>
      <c r="HP33" s="47"/>
      <c r="HQ33" s="47"/>
      <c r="HR33" s="47"/>
      <c r="HS33" s="47"/>
      <c r="HT33" s="47"/>
      <c r="HU33" s="47"/>
      <c r="HV33" s="47"/>
      <c r="HW33" s="47"/>
      <c r="HX33" s="47"/>
      <c r="HY33" s="47"/>
      <c r="HZ33" s="47"/>
      <c r="IA33" s="47"/>
      <c r="IB33" s="47"/>
      <c r="IC33" s="47"/>
      <c r="ID33" s="47"/>
      <c r="IE33" s="47"/>
      <c r="IF33" s="47"/>
      <c r="IG33" s="47"/>
      <c r="IH33" s="47"/>
      <c r="II33" s="47"/>
      <c r="IJ33" s="47"/>
      <c r="IK33" s="47"/>
      <c r="IL33" s="47"/>
      <c r="IM33" s="47"/>
      <c r="IN33" s="47"/>
      <c r="IO33" s="47"/>
      <c r="IP33" s="47"/>
      <c r="IQ33" s="47"/>
      <c r="IR33" s="47"/>
      <c r="IS33" s="47"/>
      <c r="IT33" s="47"/>
      <c r="IU33" s="47"/>
      <c r="IV33" s="47"/>
      <c r="IW33" s="47"/>
      <c r="IX33" s="47"/>
      <c r="IY33" s="47"/>
      <c r="IZ33" s="47"/>
      <c r="JA33" s="47"/>
      <c r="JB33" s="47"/>
      <c r="JC33" s="47"/>
      <c r="JD33" s="47"/>
      <c r="JE33" s="47"/>
      <c r="JF33" s="47"/>
      <c r="JG33" s="47"/>
      <c r="JH33" s="47"/>
      <c r="JI33" s="47"/>
      <c r="JJ33" s="47"/>
      <c r="JK33" s="47"/>
      <c r="JL33" s="47"/>
      <c r="JM33" s="47"/>
      <c r="JN33" s="47"/>
      <c r="JO33" s="47"/>
      <c r="JP33" s="47"/>
      <c r="JQ33" s="47"/>
      <c r="JR33" s="47"/>
      <c r="JS33" s="47"/>
      <c r="JT33" s="47"/>
      <c r="JU33" s="47"/>
      <c r="JV33" s="47"/>
      <c r="JW33" s="47"/>
      <c r="JX33" s="47"/>
      <c r="JY33" s="47"/>
      <c r="JZ33" s="47"/>
      <c r="KA33" s="47"/>
      <c r="KB33" s="47"/>
      <c r="KC33" s="47"/>
      <c r="KD33" s="47"/>
      <c r="KE33" s="47"/>
      <c r="KF33" s="47"/>
      <c r="KG33" s="47"/>
      <c r="KH33" s="47"/>
      <c r="KI33" s="47"/>
      <c r="KJ33" s="47"/>
      <c r="KK33" s="47"/>
      <c r="KL33" s="47"/>
      <c r="KM33" s="47"/>
      <c r="KN33" s="47"/>
      <c r="KO33" s="47"/>
      <c r="KP33" s="47"/>
      <c r="KQ33" s="47"/>
      <c r="KR33" s="47"/>
      <c r="KS33" s="47"/>
      <c r="KT33" s="47"/>
      <c r="KU33" s="47"/>
      <c r="KV33" s="47"/>
      <c r="KW33" s="47"/>
      <c r="KX33" s="47"/>
      <c r="KY33" s="47"/>
      <c r="KZ33" s="47"/>
      <c r="LA33" s="47"/>
      <c r="LB33" s="47"/>
      <c r="LC33" s="47"/>
      <c r="LD33" s="47"/>
      <c r="LE33" s="47"/>
      <c r="LF33" s="47"/>
      <c r="LG33" s="47"/>
      <c r="LH33" s="47"/>
      <c r="LI33" s="47"/>
      <c r="LJ33" s="47"/>
      <c r="LK33" s="47"/>
      <c r="LL33" s="47"/>
      <c r="LM33" s="47"/>
      <c r="LN33" s="47"/>
      <c r="LO33" s="47"/>
      <c r="LP33" s="47"/>
      <c r="LQ33" s="47"/>
      <c r="LR33" s="47"/>
      <c r="LS33" s="47"/>
      <c r="LT33" s="47"/>
      <c r="LU33" s="47"/>
      <c r="LV33" s="47"/>
      <c r="LW33" s="47"/>
      <c r="LX33" s="47"/>
      <c r="LY33" s="47"/>
      <c r="LZ33" s="47"/>
      <c r="MA33" s="47"/>
      <c r="MB33" s="47"/>
      <c r="MC33" s="47"/>
      <c r="MD33" s="47"/>
      <c r="ME33" s="47"/>
      <c r="MF33" s="47"/>
      <c r="MG33" s="47"/>
      <c r="MH33" s="47"/>
      <c r="MI33" s="47"/>
      <c r="MJ33" s="47"/>
      <c r="MK33" s="47"/>
      <c r="ML33" s="47"/>
      <c r="MM33" s="47"/>
      <c r="MN33" s="47"/>
      <c r="MO33" s="47"/>
      <c r="MP33" s="47"/>
      <c r="MQ33" s="47"/>
      <c r="MR33" s="47"/>
      <c r="MS33" s="47"/>
      <c r="MT33" s="47"/>
      <c r="MU33" s="47"/>
      <c r="MV33" s="47"/>
      <c r="MW33" s="47"/>
      <c r="MX33" s="47"/>
      <c r="MY33" s="47"/>
      <c r="MZ33" s="47"/>
      <c r="NA33" s="47"/>
      <c r="NB33" s="47"/>
      <c r="NC33" s="47"/>
      <c r="ND33" s="47"/>
      <c r="NE33" s="47"/>
      <c r="NF33" s="47"/>
      <c r="NG33" s="47"/>
      <c r="NH33" s="47"/>
      <c r="NI33" s="47"/>
      <c r="NJ33" s="47"/>
      <c r="NK33" s="47"/>
      <c r="NL33" s="47"/>
      <c r="NM33" s="47"/>
      <c r="NN33" s="47"/>
      <c r="NO33" s="47"/>
      <c r="NP33" s="47"/>
      <c r="NQ33" s="47"/>
      <c r="NR33" s="47"/>
      <c r="NS33" s="47"/>
      <c r="NT33" s="47"/>
      <c r="NU33" s="47"/>
      <c r="NV33" s="47"/>
      <c r="NW33" s="47"/>
      <c r="NX33" s="47"/>
      <c r="NY33" s="47"/>
      <c r="NZ33" s="47"/>
      <c r="OA33" s="47"/>
      <c r="OB33" s="47"/>
      <c r="OC33" s="47"/>
      <c r="OD33" s="47"/>
      <c r="OE33" s="48"/>
    </row>
    <row r="34" spans="1:395">
      <c r="A34" s="33" t="str">
        <f t="shared" si="15"/>
        <v/>
      </c>
      <c r="C34" s="2" t="str">
        <f>IF(ISBLANK($B34),"",_xlfn.XLOOKUP($B34,Task_No,Project!$C$3:$C$144,"INVALID TASK"))</f>
        <v/>
      </c>
      <c r="D34" s="27"/>
      <c r="E34" s="7" t="str">
        <f t="shared" si="17"/>
        <v/>
      </c>
      <c r="F34" s="7" t="str">
        <f t="shared" si="18"/>
        <v/>
      </c>
      <c r="G34" s="34"/>
      <c r="H34" s="34" t="str" cm="1">
        <f t="array" ref="H34">IF($C34="","",SUMPRODUCT((TEXT($AE$5:$OE$5, "mmm")=LOWER(G$3))*$AE34:$OE34))</f>
        <v/>
      </c>
      <c r="I34" s="34"/>
      <c r="J34" s="34" t="str" cm="1">
        <f t="array" ref="J34">IF($C34="","",SUMPRODUCT((TEXT($AE$5:$OE$5, "mmm")=LOWER(I$3))*$AE34:$OE34))</f>
        <v/>
      </c>
      <c r="K34" s="34"/>
      <c r="L34" s="34" t="str" cm="1">
        <f t="array" ref="L34">IF($C34="","",SUMPRODUCT((TEXT($AE$5:$OE$5, "mmm")=LOWER(K$3))*$AE34:$OE34))</f>
        <v/>
      </c>
      <c r="M34" s="34"/>
      <c r="N34" s="34" t="str" cm="1">
        <f t="array" ref="N34">IF($C34="","",SUMPRODUCT((TEXT($AE$5:$OE$5, "mmm")=LOWER(M$3))*$AE34:$OE34))</f>
        <v/>
      </c>
      <c r="O34" s="34"/>
      <c r="P34" s="34" t="str" cm="1">
        <f t="array" ref="P34">IF($C34="","",SUMPRODUCT((TEXT($AE$5:$OE$5, "mmm")=LOWER(O$3))*$AE34:$OE34))</f>
        <v/>
      </c>
      <c r="Q34" s="34"/>
      <c r="R34" s="34" t="str" cm="1">
        <f t="array" ref="R34">IF($C34="","",SUMPRODUCT((TEXT($AE$5:$OE$5, "mmm")=LOWER(Q$3))*$AE34:$OE34))</f>
        <v/>
      </c>
      <c r="S34" s="34"/>
      <c r="T34" s="34" t="str" cm="1">
        <f t="array" ref="T34">IF($C34="","",SUMPRODUCT((TEXT($AE$5:$OE$5, "mmm")=LOWER(S$3))*$AE34:$OE34))</f>
        <v/>
      </c>
      <c r="U34" s="34"/>
      <c r="V34" s="34" t="str" cm="1">
        <f t="array" ref="V34">IF($C34="","",SUMPRODUCT((TEXT($AE$5:$OE$5, "mmm")=LOWER(U$3))*$AE34:$OE34))</f>
        <v/>
      </c>
      <c r="W34" s="34"/>
      <c r="X34" s="34" t="str" cm="1">
        <f t="array" ref="X34">IF($C34="","",SUMPRODUCT((TEXT($AE$5:$OE$5, "mmm")=LOWER(W$3))*$AE34:$OE34))</f>
        <v/>
      </c>
      <c r="Y34" s="34"/>
      <c r="Z34" s="34" t="str" cm="1">
        <f t="array" ref="Z34">IF($C34="","",SUMPRODUCT((TEXT($AE$5:$OE$5, "mmm")=LOWER(Y$3))*$AE34:$OE34))</f>
        <v/>
      </c>
      <c r="AA34" s="34"/>
      <c r="AB34" s="34" t="str" cm="1">
        <f t="array" ref="AB34">IF($C34="","",SUMPRODUCT((TEXT($AE$5:$OE$5, "mmm")=LOWER(AA$3))*$AE34:$OE34))</f>
        <v/>
      </c>
      <c r="AC34" s="34"/>
      <c r="AD34" s="34" t="str" cm="1">
        <f t="array" ref="AD34">IF($C34="","",SUMPRODUCT((TEXT($AE$5:$OE$5, "mmm")=LOWER(AC$3))*$AE34:$OE34))</f>
        <v/>
      </c>
      <c r="AE34" s="47"/>
      <c r="AF34" s="47"/>
      <c r="AG34" s="47"/>
      <c r="AH34" s="47"/>
      <c r="AI34" s="47"/>
      <c r="AJ34" s="47"/>
      <c r="AK34" s="47"/>
      <c r="AL34" s="47"/>
      <c r="AM34" s="47"/>
      <c r="AN34" s="47"/>
      <c r="AO34" s="47"/>
      <c r="AP34" s="47"/>
      <c r="AQ34" s="47"/>
      <c r="AR34" s="47"/>
      <c r="AS34" s="47"/>
      <c r="AT34" s="47"/>
      <c r="AU34" s="47"/>
      <c r="AV34" s="47"/>
      <c r="AW34" s="47"/>
      <c r="AX34" s="47"/>
      <c r="AY34" s="47"/>
      <c r="AZ34" s="47"/>
      <c r="BA34" s="47"/>
      <c r="BB34" s="47"/>
      <c r="BC34" s="47"/>
      <c r="BD34" s="47"/>
      <c r="BE34" s="47"/>
      <c r="BF34" s="47"/>
      <c r="BG34" s="47"/>
      <c r="BH34" s="47"/>
      <c r="BI34" s="47"/>
      <c r="BJ34" s="47"/>
      <c r="BK34" s="47"/>
      <c r="BL34" s="47"/>
      <c r="BM34" s="47"/>
      <c r="BN34" s="47"/>
      <c r="BO34" s="47"/>
      <c r="BP34" s="47"/>
      <c r="BQ34" s="47"/>
      <c r="BR34" s="47"/>
      <c r="BS34" s="47"/>
      <c r="BT34" s="47"/>
      <c r="BU34" s="47"/>
      <c r="BV34" s="47"/>
      <c r="BW34" s="47"/>
      <c r="BX34" s="47"/>
      <c r="BY34" s="47"/>
      <c r="BZ34" s="47"/>
      <c r="CA34" s="47"/>
      <c r="CB34" s="47"/>
      <c r="CC34" s="47"/>
      <c r="CD34" s="47"/>
      <c r="CE34" s="47"/>
      <c r="CF34" s="47"/>
      <c r="CG34" s="47"/>
      <c r="CH34" s="47"/>
      <c r="CI34" s="47"/>
      <c r="CJ34" s="47"/>
      <c r="CK34" s="47"/>
      <c r="CL34" s="47"/>
      <c r="CM34" s="47"/>
      <c r="CN34" s="47"/>
      <c r="CO34" s="47"/>
      <c r="CP34" s="47"/>
      <c r="CQ34" s="47"/>
      <c r="CR34" s="47"/>
      <c r="CS34" s="47"/>
      <c r="CT34" s="47"/>
      <c r="CU34" s="47"/>
      <c r="CV34" s="47"/>
      <c r="CW34" s="47"/>
      <c r="CX34" s="47"/>
      <c r="CY34" s="47"/>
      <c r="CZ34" s="47"/>
      <c r="DA34" s="47"/>
      <c r="DB34" s="47"/>
      <c r="DC34" s="47"/>
      <c r="DD34" s="47"/>
      <c r="DE34" s="47"/>
      <c r="DF34" s="47"/>
      <c r="DG34" s="47"/>
      <c r="DH34" s="47"/>
      <c r="DI34" s="47"/>
      <c r="DJ34" s="47"/>
      <c r="DK34" s="47"/>
      <c r="DL34" s="47"/>
      <c r="DM34" s="47"/>
      <c r="DN34" s="47"/>
      <c r="DO34" s="47"/>
      <c r="DP34" s="47"/>
      <c r="DQ34" s="47"/>
      <c r="DR34" s="47"/>
      <c r="DS34" s="47"/>
      <c r="DT34" s="47"/>
      <c r="DU34" s="47"/>
      <c r="DV34" s="47"/>
      <c r="DW34" s="47"/>
      <c r="DX34" s="47"/>
      <c r="DY34" s="47"/>
      <c r="DZ34" s="47"/>
      <c r="EA34" s="47"/>
      <c r="EB34" s="47"/>
      <c r="EC34" s="47"/>
      <c r="ED34" s="47"/>
      <c r="EE34" s="47"/>
      <c r="EF34" s="47"/>
      <c r="EG34" s="47"/>
      <c r="EH34" s="47"/>
      <c r="EI34" s="47"/>
      <c r="EJ34" s="47"/>
      <c r="EK34" s="47"/>
      <c r="EL34" s="47"/>
      <c r="EM34" s="47"/>
      <c r="EN34" s="47"/>
      <c r="EO34" s="47"/>
      <c r="EP34" s="47"/>
      <c r="EQ34" s="47"/>
      <c r="ER34" s="47"/>
      <c r="ES34" s="47"/>
      <c r="ET34" s="47"/>
      <c r="EU34" s="47"/>
      <c r="EV34" s="47"/>
      <c r="EW34" s="47"/>
      <c r="EX34" s="47"/>
      <c r="EY34" s="47"/>
      <c r="EZ34" s="47"/>
      <c r="FA34" s="47"/>
      <c r="FB34" s="47"/>
      <c r="FC34" s="47"/>
      <c r="FD34" s="47"/>
      <c r="FE34" s="47"/>
      <c r="FF34" s="47"/>
      <c r="FG34" s="47"/>
      <c r="FH34" s="47"/>
      <c r="FI34" s="47"/>
      <c r="FJ34" s="47"/>
      <c r="FK34" s="47"/>
      <c r="FL34" s="47"/>
      <c r="FM34" s="47"/>
      <c r="FN34" s="47"/>
      <c r="FO34" s="47"/>
      <c r="FP34" s="47"/>
      <c r="FQ34" s="47"/>
      <c r="FR34" s="47"/>
      <c r="FS34" s="47"/>
      <c r="FT34" s="47"/>
      <c r="FU34" s="47"/>
      <c r="FV34" s="47"/>
      <c r="FW34" s="47"/>
      <c r="FX34" s="47"/>
      <c r="FY34" s="47"/>
      <c r="FZ34" s="47"/>
      <c r="GA34" s="47"/>
      <c r="GB34" s="47"/>
      <c r="GC34" s="47"/>
      <c r="GD34" s="47"/>
      <c r="GE34" s="47"/>
      <c r="GF34" s="47"/>
      <c r="GG34" s="47"/>
      <c r="GH34" s="47"/>
      <c r="GI34" s="47"/>
      <c r="GJ34" s="47"/>
      <c r="GK34" s="47"/>
      <c r="GL34" s="47"/>
      <c r="GM34" s="47"/>
      <c r="GN34" s="47"/>
      <c r="GO34" s="47"/>
      <c r="GP34" s="47"/>
      <c r="GQ34" s="47"/>
      <c r="GR34" s="47"/>
      <c r="GS34" s="47"/>
      <c r="GT34" s="47"/>
      <c r="GU34" s="47"/>
      <c r="GV34" s="47"/>
      <c r="GW34" s="47"/>
      <c r="GX34" s="47"/>
      <c r="GY34" s="47"/>
      <c r="GZ34" s="47"/>
      <c r="HA34" s="47"/>
      <c r="HB34" s="47"/>
      <c r="HC34" s="47"/>
      <c r="HD34" s="47"/>
      <c r="HE34" s="47"/>
      <c r="HF34" s="47"/>
      <c r="HG34" s="47"/>
      <c r="HH34" s="47"/>
      <c r="HI34" s="47"/>
      <c r="HJ34" s="47"/>
      <c r="HK34" s="47"/>
      <c r="HL34" s="47"/>
      <c r="HM34" s="47"/>
      <c r="HN34" s="47"/>
      <c r="HO34" s="47"/>
      <c r="HP34" s="47"/>
      <c r="HQ34" s="47"/>
      <c r="HR34" s="47"/>
      <c r="HS34" s="47"/>
      <c r="HT34" s="47"/>
      <c r="HU34" s="47"/>
      <c r="HV34" s="47"/>
      <c r="HW34" s="47"/>
      <c r="HX34" s="47"/>
      <c r="HY34" s="47"/>
      <c r="HZ34" s="47"/>
      <c r="IA34" s="47"/>
      <c r="IB34" s="47"/>
      <c r="IC34" s="47"/>
      <c r="ID34" s="47"/>
      <c r="IE34" s="47"/>
      <c r="IF34" s="47"/>
      <c r="IG34" s="47"/>
      <c r="IH34" s="47"/>
      <c r="II34" s="47"/>
      <c r="IJ34" s="47"/>
      <c r="IK34" s="47"/>
      <c r="IL34" s="47"/>
      <c r="IM34" s="47"/>
      <c r="IN34" s="47"/>
      <c r="IO34" s="47"/>
      <c r="IP34" s="47"/>
      <c r="IQ34" s="47"/>
      <c r="IR34" s="47"/>
      <c r="IS34" s="47"/>
      <c r="IT34" s="47"/>
      <c r="IU34" s="47"/>
      <c r="IV34" s="47"/>
      <c r="IW34" s="47"/>
      <c r="IX34" s="47"/>
      <c r="IY34" s="47"/>
      <c r="IZ34" s="47"/>
      <c r="JA34" s="47"/>
      <c r="JB34" s="47"/>
      <c r="JC34" s="47"/>
      <c r="JD34" s="47"/>
      <c r="JE34" s="47"/>
      <c r="JF34" s="47"/>
      <c r="JG34" s="47"/>
      <c r="JH34" s="47"/>
      <c r="JI34" s="47"/>
      <c r="JJ34" s="47"/>
      <c r="JK34" s="47"/>
      <c r="JL34" s="47"/>
      <c r="JM34" s="47"/>
      <c r="JN34" s="47"/>
      <c r="JO34" s="47"/>
      <c r="JP34" s="47"/>
      <c r="JQ34" s="47"/>
      <c r="JR34" s="47"/>
      <c r="JS34" s="47"/>
      <c r="JT34" s="47"/>
      <c r="JU34" s="47"/>
      <c r="JV34" s="47"/>
      <c r="JW34" s="47"/>
      <c r="JX34" s="47"/>
      <c r="JY34" s="47"/>
      <c r="JZ34" s="47"/>
      <c r="KA34" s="47"/>
      <c r="KB34" s="47"/>
      <c r="KC34" s="47"/>
      <c r="KD34" s="47"/>
      <c r="KE34" s="47"/>
      <c r="KF34" s="47"/>
      <c r="KG34" s="47"/>
      <c r="KH34" s="47"/>
      <c r="KI34" s="47"/>
      <c r="KJ34" s="47"/>
      <c r="KK34" s="47"/>
      <c r="KL34" s="47"/>
      <c r="KM34" s="47"/>
      <c r="KN34" s="47"/>
      <c r="KO34" s="47"/>
      <c r="KP34" s="47"/>
      <c r="KQ34" s="47"/>
      <c r="KR34" s="47"/>
      <c r="KS34" s="47"/>
      <c r="KT34" s="47"/>
      <c r="KU34" s="47"/>
      <c r="KV34" s="47"/>
      <c r="KW34" s="47"/>
      <c r="KX34" s="47"/>
      <c r="KY34" s="47"/>
      <c r="KZ34" s="47"/>
      <c r="LA34" s="47"/>
      <c r="LB34" s="47"/>
      <c r="LC34" s="47"/>
      <c r="LD34" s="47"/>
      <c r="LE34" s="47"/>
      <c r="LF34" s="47"/>
      <c r="LG34" s="47"/>
      <c r="LH34" s="47"/>
      <c r="LI34" s="47"/>
      <c r="LJ34" s="47"/>
      <c r="LK34" s="47"/>
      <c r="LL34" s="47"/>
      <c r="LM34" s="47"/>
      <c r="LN34" s="47"/>
      <c r="LO34" s="47"/>
      <c r="LP34" s="47"/>
      <c r="LQ34" s="47"/>
      <c r="LR34" s="47"/>
      <c r="LS34" s="47"/>
      <c r="LT34" s="47"/>
      <c r="LU34" s="47"/>
      <c r="LV34" s="47"/>
      <c r="LW34" s="47"/>
      <c r="LX34" s="47"/>
      <c r="LY34" s="47"/>
      <c r="LZ34" s="47"/>
      <c r="MA34" s="47"/>
      <c r="MB34" s="47"/>
      <c r="MC34" s="47"/>
      <c r="MD34" s="47"/>
      <c r="ME34" s="47"/>
      <c r="MF34" s="47"/>
      <c r="MG34" s="47"/>
      <c r="MH34" s="47"/>
      <c r="MI34" s="47"/>
      <c r="MJ34" s="47"/>
      <c r="MK34" s="47"/>
      <c r="ML34" s="47"/>
      <c r="MM34" s="47"/>
      <c r="MN34" s="47"/>
      <c r="MO34" s="47"/>
      <c r="MP34" s="47"/>
      <c r="MQ34" s="47"/>
      <c r="MR34" s="47"/>
      <c r="MS34" s="47"/>
      <c r="MT34" s="47"/>
      <c r="MU34" s="47"/>
      <c r="MV34" s="47"/>
      <c r="MW34" s="47"/>
      <c r="MX34" s="47"/>
      <c r="MY34" s="47"/>
      <c r="MZ34" s="47"/>
      <c r="NA34" s="47"/>
      <c r="NB34" s="47"/>
      <c r="NC34" s="47"/>
      <c r="ND34" s="47"/>
      <c r="NE34" s="47"/>
      <c r="NF34" s="47"/>
      <c r="NG34" s="47"/>
      <c r="NH34" s="47"/>
      <c r="NI34" s="47"/>
      <c r="NJ34" s="47"/>
      <c r="NK34" s="47"/>
      <c r="NL34" s="47"/>
      <c r="NM34" s="47"/>
      <c r="NN34" s="47"/>
      <c r="NO34" s="47"/>
      <c r="NP34" s="47"/>
      <c r="NQ34" s="47"/>
      <c r="NR34" s="47"/>
      <c r="NS34" s="47"/>
      <c r="NT34" s="47"/>
      <c r="NU34" s="47"/>
      <c r="NV34" s="47"/>
      <c r="NW34" s="47"/>
      <c r="NX34" s="47"/>
      <c r="NY34" s="47"/>
      <c r="NZ34" s="47"/>
      <c r="OA34" s="47"/>
      <c r="OB34" s="47"/>
      <c r="OC34" s="47"/>
      <c r="OD34" s="47"/>
      <c r="OE34" s="48"/>
    </row>
    <row r="35" spans="1:395">
      <c r="A35" s="33" t="str">
        <f t="shared" si="15"/>
        <v/>
      </c>
      <c r="C35" s="2" t="str">
        <f>IF(ISBLANK($B35),"",_xlfn.XLOOKUP($B35,Task_No,Project!$C$3:$C$144,"INVALID TASK"))</f>
        <v/>
      </c>
      <c r="D35" s="27"/>
      <c r="E35" s="7" t="str">
        <f t="shared" si="17"/>
        <v/>
      </c>
      <c r="F35" s="7" t="str">
        <f t="shared" si="18"/>
        <v/>
      </c>
      <c r="G35" s="34"/>
      <c r="H35" s="34" t="str" cm="1">
        <f t="array" ref="H35">IF($C35="","",SUMPRODUCT((TEXT($AE$5:$OE$5, "mmm")=LOWER(G$3))*$AE35:$OE35))</f>
        <v/>
      </c>
      <c r="I35" s="34"/>
      <c r="J35" s="34" t="str" cm="1">
        <f t="array" ref="J35">IF($C35="","",SUMPRODUCT((TEXT($AE$5:$OE$5, "mmm")=LOWER(I$3))*$AE35:$OE35))</f>
        <v/>
      </c>
      <c r="K35" s="34"/>
      <c r="L35" s="34" t="str" cm="1">
        <f t="array" ref="L35">IF($C35="","",SUMPRODUCT((TEXT($AE$5:$OE$5, "mmm")=LOWER(K$3))*$AE35:$OE35))</f>
        <v/>
      </c>
      <c r="M35" s="34"/>
      <c r="N35" s="34" t="str" cm="1">
        <f t="array" ref="N35">IF($C35="","",SUMPRODUCT((TEXT($AE$5:$OE$5, "mmm")=LOWER(M$3))*$AE35:$OE35))</f>
        <v/>
      </c>
      <c r="O35" s="34"/>
      <c r="P35" s="34" t="str" cm="1">
        <f t="array" ref="P35">IF($C35="","",SUMPRODUCT((TEXT($AE$5:$OE$5, "mmm")=LOWER(O$3))*$AE35:$OE35))</f>
        <v/>
      </c>
      <c r="Q35" s="34"/>
      <c r="R35" s="34" t="str" cm="1">
        <f t="array" ref="R35">IF($C35="","",SUMPRODUCT((TEXT($AE$5:$OE$5, "mmm")=LOWER(Q$3))*$AE35:$OE35))</f>
        <v/>
      </c>
      <c r="S35" s="34"/>
      <c r="T35" s="34" t="str" cm="1">
        <f t="array" ref="T35">IF($C35="","",SUMPRODUCT((TEXT($AE$5:$OE$5, "mmm")=LOWER(S$3))*$AE35:$OE35))</f>
        <v/>
      </c>
      <c r="U35" s="34"/>
      <c r="V35" s="34" t="str" cm="1">
        <f t="array" ref="V35">IF($C35="","",SUMPRODUCT((TEXT($AE$5:$OE$5, "mmm")=LOWER(U$3))*$AE35:$OE35))</f>
        <v/>
      </c>
      <c r="W35" s="34"/>
      <c r="X35" s="34" t="str" cm="1">
        <f t="array" ref="X35">IF($C35="","",SUMPRODUCT((TEXT($AE$5:$OE$5, "mmm")=LOWER(W$3))*$AE35:$OE35))</f>
        <v/>
      </c>
      <c r="Y35" s="34"/>
      <c r="Z35" s="34" t="str" cm="1">
        <f t="array" ref="Z35">IF($C35="","",SUMPRODUCT((TEXT($AE$5:$OE$5, "mmm")=LOWER(Y$3))*$AE35:$OE35))</f>
        <v/>
      </c>
      <c r="AA35" s="34"/>
      <c r="AB35" s="34" t="str" cm="1">
        <f t="array" ref="AB35">IF($C35="","",SUMPRODUCT((TEXT($AE$5:$OE$5, "mmm")=LOWER(AA$3))*$AE35:$OE35))</f>
        <v/>
      </c>
      <c r="AC35" s="34"/>
      <c r="AD35" s="34" t="str" cm="1">
        <f t="array" ref="AD35">IF($C35="","",SUMPRODUCT((TEXT($AE$5:$OE$5, "mmm")=LOWER(AC$3))*$AE35:$OE35))</f>
        <v/>
      </c>
      <c r="AE35" s="47"/>
      <c r="AF35" s="47"/>
      <c r="AG35" s="47"/>
      <c r="AH35" s="47"/>
      <c r="AI35" s="47"/>
      <c r="AJ35" s="47"/>
      <c r="AK35" s="47"/>
      <c r="AL35" s="47"/>
      <c r="AM35" s="47"/>
      <c r="AN35" s="47"/>
      <c r="AO35" s="47"/>
      <c r="AP35" s="47"/>
      <c r="AQ35" s="47"/>
      <c r="AR35" s="47"/>
      <c r="AS35" s="47"/>
      <c r="AT35" s="47"/>
      <c r="AU35" s="47"/>
      <c r="AV35" s="47"/>
      <c r="AW35" s="47"/>
      <c r="AX35" s="47"/>
      <c r="AY35" s="47"/>
      <c r="AZ35" s="47"/>
      <c r="BA35" s="47"/>
      <c r="BB35" s="47"/>
      <c r="BC35" s="47"/>
      <c r="BD35" s="47"/>
      <c r="BE35" s="47"/>
      <c r="BF35" s="47"/>
      <c r="BG35" s="47"/>
      <c r="BH35" s="47"/>
      <c r="BI35" s="47"/>
      <c r="BJ35" s="47"/>
      <c r="BK35" s="47"/>
      <c r="BL35" s="47"/>
      <c r="BM35" s="47"/>
      <c r="BN35" s="47"/>
      <c r="BO35" s="47"/>
      <c r="BP35" s="47"/>
      <c r="BQ35" s="47"/>
      <c r="BR35" s="47"/>
      <c r="BS35" s="47"/>
      <c r="BT35" s="47"/>
      <c r="BU35" s="47"/>
      <c r="BV35" s="47"/>
      <c r="BW35" s="47"/>
      <c r="BX35" s="47"/>
      <c r="BY35" s="47"/>
      <c r="BZ35" s="47"/>
      <c r="CA35" s="47"/>
      <c r="CB35" s="47"/>
      <c r="CC35" s="47"/>
      <c r="CD35" s="47"/>
      <c r="CE35" s="47"/>
      <c r="CF35" s="47"/>
      <c r="CG35" s="47"/>
      <c r="CH35" s="47"/>
      <c r="CI35" s="47"/>
      <c r="CJ35" s="47"/>
      <c r="CK35" s="47"/>
      <c r="CL35" s="47"/>
      <c r="CM35" s="47"/>
      <c r="CN35" s="47"/>
      <c r="CO35" s="47"/>
      <c r="CP35" s="47"/>
      <c r="CQ35" s="47"/>
      <c r="CR35" s="47"/>
      <c r="CS35" s="47"/>
      <c r="CT35" s="47"/>
      <c r="CU35" s="47"/>
      <c r="CV35" s="47"/>
      <c r="CW35" s="47"/>
      <c r="CX35" s="47"/>
      <c r="CY35" s="47"/>
      <c r="CZ35" s="47"/>
      <c r="DA35" s="47"/>
      <c r="DB35" s="47"/>
      <c r="DC35" s="47"/>
      <c r="DD35" s="47"/>
      <c r="DE35" s="47"/>
      <c r="DF35" s="47"/>
      <c r="DG35" s="47"/>
      <c r="DH35" s="47"/>
      <c r="DI35" s="47"/>
      <c r="DJ35" s="47"/>
      <c r="DK35" s="47"/>
      <c r="DL35" s="47"/>
      <c r="DM35" s="47"/>
      <c r="DN35" s="47"/>
      <c r="DO35" s="47"/>
      <c r="DP35" s="47"/>
      <c r="DQ35" s="47"/>
      <c r="DR35" s="47"/>
      <c r="DS35" s="47"/>
      <c r="DT35" s="47"/>
      <c r="DU35" s="47"/>
      <c r="DV35" s="47"/>
      <c r="DW35" s="47"/>
      <c r="DX35" s="47"/>
      <c r="DY35" s="47"/>
      <c r="DZ35" s="47"/>
      <c r="EA35" s="47"/>
      <c r="EB35" s="47"/>
      <c r="EC35" s="47"/>
      <c r="ED35" s="47"/>
      <c r="EE35" s="47"/>
      <c r="EF35" s="47"/>
      <c r="EG35" s="47"/>
      <c r="EH35" s="47"/>
      <c r="EI35" s="47"/>
      <c r="EJ35" s="47"/>
      <c r="EK35" s="47"/>
      <c r="EL35" s="47"/>
      <c r="EM35" s="47"/>
      <c r="EN35" s="47"/>
      <c r="EO35" s="47"/>
      <c r="EP35" s="47"/>
      <c r="EQ35" s="47"/>
      <c r="ER35" s="47"/>
      <c r="ES35" s="47"/>
      <c r="ET35" s="47"/>
      <c r="EU35" s="47"/>
      <c r="EV35" s="47"/>
      <c r="EW35" s="47"/>
      <c r="EX35" s="47"/>
      <c r="EY35" s="47"/>
      <c r="EZ35" s="47"/>
      <c r="FA35" s="47"/>
      <c r="FB35" s="47"/>
      <c r="FC35" s="47"/>
      <c r="FD35" s="47"/>
      <c r="FE35" s="47"/>
      <c r="FF35" s="47"/>
      <c r="FG35" s="47"/>
      <c r="FH35" s="47"/>
      <c r="FI35" s="47"/>
      <c r="FJ35" s="47"/>
      <c r="FK35" s="47"/>
      <c r="FL35" s="47"/>
      <c r="FM35" s="47"/>
      <c r="FN35" s="47"/>
      <c r="FO35" s="47"/>
      <c r="FP35" s="47"/>
      <c r="FQ35" s="47"/>
      <c r="FR35" s="47"/>
      <c r="FS35" s="47"/>
      <c r="FT35" s="47"/>
      <c r="FU35" s="47"/>
      <c r="FV35" s="47"/>
      <c r="FW35" s="47"/>
      <c r="FX35" s="47"/>
      <c r="FY35" s="47"/>
      <c r="FZ35" s="47"/>
      <c r="GA35" s="47"/>
      <c r="GB35" s="47"/>
      <c r="GC35" s="47"/>
      <c r="GD35" s="47"/>
      <c r="GE35" s="47"/>
      <c r="GF35" s="47"/>
      <c r="GG35" s="47"/>
      <c r="GH35" s="47"/>
      <c r="GI35" s="47"/>
      <c r="GJ35" s="47"/>
      <c r="GK35" s="47"/>
      <c r="GL35" s="47"/>
      <c r="GM35" s="47"/>
      <c r="GN35" s="47"/>
      <c r="GO35" s="47"/>
      <c r="GP35" s="47"/>
      <c r="GQ35" s="47"/>
      <c r="GR35" s="47"/>
      <c r="GS35" s="47"/>
      <c r="GT35" s="47"/>
      <c r="GU35" s="47"/>
      <c r="GV35" s="47"/>
      <c r="GW35" s="47"/>
      <c r="GX35" s="47"/>
      <c r="GY35" s="47"/>
      <c r="GZ35" s="47"/>
      <c r="HA35" s="47"/>
      <c r="HB35" s="47"/>
      <c r="HC35" s="47"/>
      <c r="HD35" s="47"/>
      <c r="HE35" s="47"/>
      <c r="HF35" s="47"/>
      <c r="HG35" s="47"/>
      <c r="HH35" s="47"/>
      <c r="HI35" s="47"/>
      <c r="HJ35" s="47"/>
      <c r="HK35" s="47"/>
      <c r="HL35" s="47"/>
      <c r="HM35" s="47"/>
      <c r="HN35" s="47"/>
      <c r="HO35" s="47"/>
      <c r="HP35" s="47"/>
      <c r="HQ35" s="47"/>
      <c r="HR35" s="47"/>
      <c r="HS35" s="47"/>
      <c r="HT35" s="47"/>
      <c r="HU35" s="47"/>
      <c r="HV35" s="47"/>
      <c r="HW35" s="47"/>
      <c r="HX35" s="47"/>
      <c r="HY35" s="47"/>
      <c r="HZ35" s="47"/>
      <c r="IA35" s="47"/>
      <c r="IB35" s="47"/>
      <c r="IC35" s="47"/>
      <c r="ID35" s="47"/>
      <c r="IE35" s="47"/>
      <c r="IF35" s="47"/>
      <c r="IG35" s="47"/>
      <c r="IH35" s="47"/>
      <c r="II35" s="47"/>
      <c r="IJ35" s="47"/>
      <c r="IK35" s="47"/>
      <c r="IL35" s="47"/>
      <c r="IM35" s="47"/>
      <c r="IN35" s="47"/>
      <c r="IO35" s="47"/>
      <c r="IP35" s="47"/>
      <c r="IQ35" s="47"/>
      <c r="IR35" s="47"/>
      <c r="IS35" s="47"/>
      <c r="IT35" s="47"/>
      <c r="IU35" s="47"/>
      <c r="IV35" s="47"/>
      <c r="IW35" s="47"/>
      <c r="IX35" s="47"/>
      <c r="IY35" s="47"/>
      <c r="IZ35" s="47"/>
      <c r="JA35" s="47"/>
      <c r="JB35" s="47"/>
      <c r="JC35" s="47"/>
      <c r="JD35" s="47"/>
      <c r="JE35" s="47"/>
      <c r="JF35" s="47"/>
      <c r="JG35" s="47"/>
      <c r="JH35" s="47"/>
      <c r="JI35" s="47"/>
      <c r="JJ35" s="47"/>
      <c r="JK35" s="47"/>
      <c r="JL35" s="47"/>
      <c r="JM35" s="47"/>
      <c r="JN35" s="47"/>
      <c r="JO35" s="47"/>
      <c r="JP35" s="47"/>
      <c r="JQ35" s="47"/>
      <c r="JR35" s="47"/>
      <c r="JS35" s="47"/>
      <c r="JT35" s="47"/>
      <c r="JU35" s="47"/>
      <c r="JV35" s="47"/>
      <c r="JW35" s="47"/>
      <c r="JX35" s="47"/>
      <c r="JY35" s="47"/>
      <c r="JZ35" s="47"/>
      <c r="KA35" s="47"/>
      <c r="KB35" s="47"/>
      <c r="KC35" s="47"/>
      <c r="KD35" s="47"/>
      <c r="KE35" s="47"/>
      <c r="KF35" s="47"/>
      <c r="KG35" s="47"/>
      <c r="KH35" s="47"/>
      <c r="KI35" s="47"/>
      <c r="KJ35" s="47"/>
      <c r="KK35" s="47"/>
      <c r="KL35" s="47"/>
      <c r="KM35" s="47"/>
      <c r="KN35" s="47"/>
      <c r="KO35" s="47"/>
      <c r="KP35" s="47"/>
      <c r="KQ35" s="47"/>
      <c r="KR35" s="47"/>
      <c r="KS35" s="47"/>
      <c r="KT35" s="47"/>
      <c r="KU35" s="47"/>
      <c r="KV35" s="47"/>
      <c r="KW35" s="47"/>
      <c r="KX35" s="47"/>
      <c r="KY35" s="47"/>
      <c r="KZ35" s="47"/>
      <c r="LA35" s="47"/>
      <c r="LB35" s="47"/>
      <c r="LC35" s="47"/>
      <c r="LD35" s="47"/>
      <c r="LE35" s="47"/>
      <c r="LF35" s="47"/>
      <c r="LG35" s="47"/>
      <c r="LH35" s="47"/>
      <c r="LI35" s="47"/>
      <c r="LJ35" s="47"/>
      <c r="LK35" s="47"/>
      <c r="LL35" s="47"/>
      <c r="LM35" s="47"/>
      <c r="LN35" s="47"/>
      <c r="LO35" s="47"/>
      <c r="LP35" s="47"/>
      <c r="LQ35" s="47"/>
      <c r="LR35" s="47"/>
      <c r="LS35" s="47"/>
      <c r="LT35" s="47"/>
      <c r="LU35" s="47"/>
      <c r="LV35" s="47"/>
      <c r="LW35" s="47"/>
      <c r="LX35" s="47"/>
      <c r="LY35" s="47"/>
      <c r="LZ35" s="47"/>
      <c r="MA35" s="47"/>
      <c r="MB35" s="47"/>
      <c r="MC35" s="47"/>
      <c r="MD35" s="47"/>
      <c r="ME35" s="47"/>
      <c r="MF35" s="47"/>
      <c r="MG35" s="47"/>
      <c r="MH35" s="47"/>
      <c r="MI35" s="47"/>
      <c r="MJ35" s="47"/>
      <c r="MK35" s="47"/>
      <c r="ML35" s="47"/>
      <c r="MM35" s="47"/>
      <c r="MN35" s="47"/>
      <c r="MO35" s="47"/>
      <c r="MP35" s="47"/>
      <c r="MQ35" s="47"/>
      <c r="MR35" s="47"/>
      <c r="MS35" s="47"/>
      <c r="MT35" s="47"/>
      <c r="MU35" s="47"/>
      <c r="MV35" s="47"/>
      <c r="MW35" s="47"/>
      <c r="MX35" s="47"/>
      <c r="MY35" s="47"/>
      <c r="MZ35" s="47"/>
      <c r="NA35" s="47"/>
      <c r="NB35" s="47"/>
      <c r="NC35" s="47"/>
      <c r="ND35" s="47"/>
      <c r="NE35" s="47"/>
      <c r="NF35" s="47"/>
      <c r="NG35" s="47"/>
      <c r="NH35" s="47"/>
      <c r="NI35" s="47"/>
      <c r="NJ35" s="47"/>
      <c r="NK35" s="47"/>
      <c r="NL35" s="47"/>
      <c r="NM35" s="47"/>
      <c r="NN35" s="47"/>
      <c r="NO35" s="47"/>
      <c r="NP35" s="47"/>
      <c r="NQ35" s="47"/>
      <c r="NR35" s="47"/>
      <c r="NS35" s="47"/>
      <c r="NT35" s="47"/>
      <c r="NU35" s="47"/>
      <c r="NV35" s="47"/>
      <c r="NW35" s="47"/>
      <c r="NX35" s="47"/>
      <c r="NY35" s="47"/>
      <c r="NZ35" s="47"/>
      <c r="OA35" s="47"/>
      <c r="OB35" s="47"/>
      <c r="OC35" s="47"/>
      <c r="OD35" s="47"/>
      <c r="OE35" s="48"/>
    </row>
    <row r="36" spans="1:395">
      <c r="A36" s="33" t="str">
        <f t="shared" si="15"/>
        <v/>
      </c>
      <c r="C36" s="2" t="str">
        <f>IF(ISBLANK($B36),"",_xlfn.XLOOKUP($B36,Task_No,Project!$C$3:$C$144,"INVALID TASK"))</f>
        <v/>
      </c>
      <c r="D36" s="27"/>
      <c r="E36" s="7" t="str">
        <f t="shared" si="17"/>
        <v/>
      </c>
      <c r="F36" s="7" t="str">
        <f t="shared" si="18"/>
        <v/>
      </c>
      <c r="G36" s="34"/>
      <c r="H36" s="34" t="str" cm="1">
        <f t="array" ref="H36">IF($C36="","",SUMPRODUCT((TEXT($AE$5:$OE$5, "mmm")=LOWER(G$3))*$AE36:$OE36))</f>
        <v/>
      </c>
      <c r="I36" s="34"/>
      <c r="J36" s="34" t="str" cm="1">
        <f t="array" ref="J36">IF($C36="","",SUMPRODUCT((TEXT($AE$5:$OE$5, "mmm")=LOWER(I$3))*$AE36:$OE36))</f>
        <v/>
      </c>
      <c r="K36" s="34"/>
      <c r="L36" s="34" t="str" cm="1">
        <f t="array" ref="L36">IF($C36="","",SUMPRODUCT((TEXT($AE$5:$OE$5, "mmm")=LOWER(K$3))*$AE36:$OE36))</f>
        <v/>
      </c>
      <c r="M36" s="34"/>
      <c r="N36" s="34" t="str" cm="1">
        <f t="array" ref="N36">IF($C36="","",SUMPRODUCT((TEXT($AE$5:$OE$5, "mmm")=LOWER(M$3))*$AE36:$OE36))</f>
        <v/>
      </c>
      <c r="O36" s="34"/>
      <c r="P36" s="34" t="str" cm="1">
        <f t="array" ref="P36">IF($C36="","",SUMPRODUCT((TEXT($AE$5:$OE$5, "mmm")=LOWER(O$3))*$AE36:$OE36))</f>
        <v/>
      </c>
      <c r="Q36" s="34"/>
      <c r="R36" s="34" t="str" cm="1">
        <f t="array" ref="R36">IF($C36="","",SUMPRODUCT((TEXT($AE$5:$OE$5, "mmm")=LOWER(Q$3))*$AE36:$OE36))</f>
        <v/>
      </c>
      <c r="S36" s="34"/>
      <c r="T36" s="34" t="str" cm="1">
        <f t="array" ref="T36">IF($C36="","",SUMPRODUCT((TEXT($AE$5:$OE$5, "mmm")=LOWER(S$3))*$AE36:$OE36))</f>
        <v/>
      </c>
      <c r="U36" s="34"/>
      <c r="V36" s="34" t="str" cm="1">
        <f t="array" ref="V36">IF($C36="","",SUMPRODUCT((TEXT($AE$5:$OE$5, "mmm")=LOWER(U$3))*$AE36:$OE36))</f>
        <v/>
      </c>
      <c r="W36" s="34"/>
      <c r="X36" s="34" t="str" cm="1">
        <f t="array" ref="X36">IF($C36="","",SUMPRODUCT((TEXT($AE$5:$OE$5, "mmm")=LOWER(W$3))*$AE36:$OE36))</f>
        <v/>
      </c>
      <c r="Y36" s="34"/>
      <c r="Z36" s="34" t="str" cm="1">
        <f t="array" ref="Z36">IF($C36="","",SUMPRODUCT((TEXT($AE$5:$OE$5, "mmm")=LOWER(Y$3))*$AE36:$OE36))</f>
        <v/>
      </c>
      <c r="AA36" s="34"/>
      <c r="AB36" s="34" t="str" cm="1">
        <f t="array" ref="AB36">IF($C36="","",SUMPRODUCT((TEXT($AE$5:$OE$5, "mmm")=LOWER(AA$3))*$AE36:$OE36))</f>
        <v/>
      </c>
      <c r="AC36" s="34"/>
      <c r="AD36" s="34" t="str" cm="1">
        <f t="array" ref="AD36">IF($C36="","",SUMPRODUCT((TEXT($AE$5:$OE$5, "mmm")=LOWER(AC$3))*$AE36:$OE36))</f>
        <v/>
      </c>
      <c r="AE36" s="47"/>
      <c r="AF36" s="47"/>
      <c r="AG36" s="47"/>
      <c r="AH36" s="47"/>
      <c r="AI36" s="47"/>
      <c r="AJ36" s="47"/>
      <c r="AK36" s="47"/>
      <c r="AL36" s="47"/>
      <c r="AM36" s="47"/>
      <c r="AN36" s="47"/>
      <c r="AO36" s="47"/>
      <c r="AP36" s="47"/>
      <c r="AQ36" s="47"/>
      <c r="AR36" s="47"/>
      <c r="AS36" s="47"/>
      <c r="AT36" s="47"/>
      <c r="AU36" s="47"/>
      <c r="AV36" s="47"/>
      <c r="AW36" s="47"/>
      <c r="AX36" s="47"/>
      <c r="AY36" s="47"/>
      <c r="AZ36" s="47"/>
      <c r="BA36" s="47"/>
      <c r="BB36" s="47"/>
      <c r="BC36" s="47"/>
      <c r="BD36" s="47"/>
      <c r="BE36" s="47"/>
      <c r="BF36" s="47"/>
      <c r="BG36" s="47"/>
      <c r="BH36" s="47"/>
      <c r="BI36" s="47"/>
      <c r="BJ36" s="47"/>
      <c r="BK36" s="47"/>
      <c r="BL36" s="47"/>
      <c r="BM36" s="47"/>
      <c r="BN36" s="47"/>
      <c r="BO36" s="47"/>
      <c r="BP36" s="47"/>
      <c r="BQ36" s="47"/>
      <c r="BR36" s="47"/>
      <c r="BS36" s="47"/>
      <c r="BT36" s="47"/>
      <c r="BU36" s="47"/>
      <c r="BV36" s="47"/>
      <c r="BW36" s="47"/>
      <c r="BX36" s="47"/>
      <c r="BY36" s="47"/>
      <c r="BZ36" s="47"/>
      <c r="CA36" s="47"/>
      <c r="CB36" s="47"/>
      <c r="CC36" s="47"/>
      <c r="CD36" s="47"/>
      <c r="CE36" s="47"/>
      <c r="CF36" s="47"/>
      <c r="CG36" s="47"/>
      <c r="CH36" s="47"/>
      <c r="CI36" s="47"/>
      <c r="CJ36" s="47"/>
      <c r="CK36" s="47"/>
      <c r="CL36" s="47"/>
      <c r="CM36" s="47"/>
      <c r="CN36" s="47"/>
      <c r="CO36" s="47"/>
      <c r="CP36" s="47"/>
      <c r="CQ36" s="47"/>
      <c r="CR36" s="47"/>
      <c r="CS36" s="47"/>
      <c r="CT36" s="47"/>
      <c r="CU36" s="47"/>
      <c r="CV36" s="47"/>
      <c r="CW36" s="47"/>
      <c r="CX36" s="47"/>
      <c r="CY36" s="47"/>
      <c r="CZ36" s="47"/>
      <c r="DA36" s="47"/>
      <c r="DB36" s="47"/>
      <c r="DC36" s="47"/>
      <c r="DD36" s="47"/>
      <c r="DE36" s="47"/>
      <c r="DF36" s="47"/>
      <c r="DG36" s="47"/>
      <c r="DH36" s="47"/>
      <c r="DI36" s="47"/>
      <c r="DJ36" s="47"/>
      <c r="DK36" s="47"/>
      <c r="DL36" s="47"/>
      <c r="DM36" s="47"/>
      <c r="DN36" s="47"/>
      <c r="DO36" s="47"/>
      <c r="DP36" s="47"/>
      <c r="DQ36" s="47"/>
      <c r="DR36" s="47"/>
      <c r="DS36" s="47"/>
      <c r="DT36" s="47"/>
      <c r="DU36" s="47"/>
      <c r="DV36" s="47"/>
      <c r="DW36" s="47"/>
      <c r="DX36" s="47"/>
      <c r="DY36" s="47"/>
      <c r="DZ36" s="47"/>
      <c r="EA36" s="47"/>
      <c r="EB36" s="47"/>
      <c r="EC36" s="47"/>
      <c r="ED36" s="47"/>
      <c r="EE36" s="47"/>
      <c r="EF36" s="47"/>
      <c r="EG36" s="47"/>
      <c r="EH36" s="47"/>
      <c r="EI36" s="47"/>
      <c r="EJ36" s="47"/>
      <c r="EK36" s="47"/>
      <c r="EL36" s="47"/>
      <c r="EM36" s="47"/>
      <c r="EN36" s="47"/>
      <c r="EO36" s="47"/>
      <c r="EP36" s="47"/>
      <c r="EQ36" s="47"/>
      <c r="ER36" s="47"/>
      <c r="ES36" s="47"/>
      <c r="ET36" s="47"/>
      <c r="EU36" s="47"/>
      <c r="EV36" s="47"/>
      <c r="EW36" s="47"/>
      <c r="EX36" s="47"/>
      <c r="EY36" s="47"/>
      <c r="EZ36" s="47"/>
      <c r="FA36" s="47"/>
      <c r="FB36" s="47"/>
      <c r="FC36" s="47"/>
      <c r="FD36" s="47"/>
      <c r="FE36" s="47"/>
      <c r="FF36" s="47"/>
      <c r="FG36" s="47"/>
      <c r="FH36" s="47"/>
      <c r="FI36" s="47"/>
      <c r="FJ36" s="47"/>
      <c r="FK36" s="47"/>
      <c r="FL36" s="47"/>
      <c r="FM36" s="47"/>
      <c r="FN36" s="47"/>
      <c r="FO36" s="47"/>
      <c r="FP36" s="47"/>
      <c r="FQ36" s="47"/>
      <c r="FR36" s="47"/>
      <c r="FS36" s="47"/>
      <c r="FT36" s="47"/>
      <c r="FU36" s="47"/>
      <c r="FV36" s="47"/>
      <c r="FW36" s="47"/>
      <c r="FX36" s="47"/>
      <c r="FY36" s="47"/>
      <c r="FZ36" s="47"/>
      <c r="GA36" s="47"/>
      <c r="GB36" s="47"/>
      <c r="GC36" s="47"/>
      <c r="GD36" s="47"/>
      <c r="GE36" s="47"/>
      <c r="GF36" s="47"/>
      <c r="GG36" s="47"/>
      <c r="GH36" s="47"/>
      <c r="GI36" s="47"/>
      <c r="GJ36" s="47"/>
      <c r="GK36" s="47"/>
      <c r="GL36" s="47"/>
      <c r="GM36" s="47"/>
      <c r="GN36" s="47"/>
      <c r="GO36" s="47"/>
      <c r="GP36" s="47"/>
      <c r="GQ36" s="47"/>
      <c r="GR36" s="47"/>
      <c r="GS36" s="47"/>
      <c r="GT36" s="47"/>
      <c r="GU36" s="47"/>
      <c r="GV36" s="47"/>
      <c r="GW36" s="47"/>
      <c r="GX36" s="47"/>
      <c r="GY36" s="47"/>
      <c r="GZ36" s="47"/>
      <c r="HA36" s="47"/>
      <c r="HB36" s="47"/>
      <c r="HC36" s="47"/>
      <c r="HD36" s="47"/>
      <c r="HE36" s="47"/>
      <c r="HF36" s="47"/>
      <c r="HG36" s="47"/>
      <c r="HH36" s="47"/>
      <c r="HI36" s="47"/>
      <c r="HJ36" s="47"/>
      <c r="HK36" s="47"/>
      <c r="HL36" s="47"/>
      <c r="HM36" s="47"/>
      <c r="HN36" s="47"/>
      <c r="HO36" s="47"/>
      <c r="HP36" s="47"/>
      <c r="HQ36" s="47"/>
      <c r="HR36" s="47"/>
      <c r="HS36" s="47"/>
      <c r="HT36" s="47"/>
      <c r="HU36" s="47"/>
      <c r="HV36" s="47"/>
      <c r="HW36" s="47"/>
      <c r="HX36" s="47"/>
      <c r="HY36" s="47"/>
      <c r="HZ36" s="47"/>
      <c r="IA36" s="47"/>
      <c r="IB36" s="47"/>
      <c r="IC36" s="47"/>
      <c r="ID36" s="47"/>
      <c r="IE36" s="47"/>
      <c r="IF36" s="47"/>
      <c r="IG36" s="47"/>
      <c r="IH36" s="47"/>
      <c r="II36" s="47"/>
      <c r="IJ36" s="47"/>
      <c r="IK36" s="47"/>
      <c r="IL36" s="47"/>
      <c r="IM36" s="47"/>
      <c r="IN36" s="47"/>
      <c r="IO36" s="47"/>
      <c r="IP36" s="47"/>
      <c r="IQ36" s="47"/>
      <c r="IR36" s="47"/>
      <c r="IS36" s="47"/>
      <c r="IT36" s="47"/>
      <c r="IU36" s="47"/>
      <c r="IV36" s="47"/>
      <c r="IW36" s="47"/>
      <c r="IX36" s="47"/>
      <c r="IY36" s="47"/>
      <c r="IZ36" s="47"/>
      <c r="JA36" s="47"/>
      <c r="JB36" s="47"/>
      <c r="JC36" s="47"/>
      <c r="JD36" s="47"/>
      <c r="JE36" s="47"/>
      <c r="JF36" s="47"/>
      <c r="JG36" s="47"/>
      <c r="JH36" s="47"/>
      <c r="JI36" s="47"/>
      <c r="JJ36" s="47"/>
      <c r="JK36" s="47"/>
      <c r="JL36" s="47"/>
      <c r="JM36" s="47"/>
      <c r="JN36" s="47"/>
      <c r="JO36" s="47"/>
      <c r="JP36" s="47"/>
      <c r="JQ36" s="47"/>
      <c r="JR36" s="47"/>
      <c r="JS36" s="47"/>
      <c r="JT36" s="47"/>
      <c r="JU36" s="47"/>
      <c r="JV36" s="47"/>
      <c r="JW36" s="47"/>
      <c r="JX36" s="47"/>
      <c r="JY36" s="47"/>
      <c r="JZ36" s="47"/>
      <c r="KA36" s="47"/>
      <c r="KB36" s="47"/>
      <c r="KC36" s="47"/>
      <c r="KD36" s="47"/>
      <c r="KE36" s="47"/>
      <c r="KF36" s="47"/>
      <c r="KG36" s="47"/>
      <c r="KH36" s="47"/>
      <c r="KI36" s="47"/>
      <c r="KJ36" s="47"/>
      <c r="KK36" s="47"/>
      <c r="KL36" s="47"/>
      <c r="KM36" s="47"/>
      <c r="KN36" s="47"/>
      <c r="KO36" s="47"/>
      <c r="KP36" s="47"/>
      <c r="KQ36" s="47"/>
      <c r="KR36" s="47"/>
      <c r="KS36" s="47"/>
      <c r="KT36" s="47"/>
      <c r="KU36" s="47"/>
      <c r="KV36" s="47"/>
      <c r="KW36" s="47"/>
      <c r="KX36" s="47"/>
      <c r="KY36" s="47"/>
      <c r="KZ36" s="47"/>
      <c r="LA36" s="47"/>
      <c r="LB36" s="47"/>
      <c r="LC36" s="47"/>
      <c r="LD36" s="47"/>
      <c r="LE36" s="47"/>
      <c r="LF36" s="47"/>
      <c r="LG36" s="47"/>
      <c r="LH36" s="47"/>
      <c r="LI36" s="47"/>
      <c r="LJ36" s="47"/>
      <c r="LK36" s="47"/>
      <c r="LL36" s="47"/>
      <c r="LM36" s="47"/>
      <c r="LN36" s="47"/>
      <c r="LO36" s="47"/>
      <c r="LP36" s="47"/>
      <c r="LQ36" s="47"/>
      <c r="LR36" s="47"/>
      <c r="LS36" s="47"/>
      <c r="LT36" s="47"/>
      <c r="LU36" s="47"/>
      <c r="LV36" s="47"/>
      <c r="LW36" s="47"/>
      <c r="LX36" s="47"/>
      <c r="LY36" s="47"/>
      <c r="LZ36" s="47"/>
      <c r="MA36" s="47"/>
      <c r="MB36" s="47"/>
      <c r="MC36" s="47"/>
      <c r="MD36" s="47"/>
      <c r="ME36" s="47"/>
      <c r="MF36" s="47"/>
      <c r="MG36" s="47"/>
      <c r="MH36" s="47"/>
      <c r="MI36" s="47"/>
      <c r="MJ36" s="47"/>
      <c r="MK36" s="47"/>
      <c r="ML36" s="47"/>
      <c r="MM36" s="47"/>
      <c r="MN36" s="47"/>
      <c r="MO36" s="47"/>
      <c r="MP36" s="47"/>
      <c r="MQ36" s="47"/>
      <c r="MR36" s="47"/>
      <c r="MS36" s="47"/>
      <c r="MT36" s="47"/>
      <c r="MU36" s="47"/>
      <c r="MV36" s="47"/>
      <c r="MW36" s="47"/>
      <c r="MX36" s="47"/>
      <c r="MY36" s="47"/>
      <c r="MZ36" s="47"/>
      <c r="NA36" s="47"/>
      <c r="NB36" s="47"/>
      <c r="NC36" s="47"/>
      <c r="ND36" s="47"/>
      <c r="NE36" s="47"/>
      <c r="NF36" s="47"/>
      <c r="NG36" s="47"/>
      <c r="NH36" s="47"/>
      <c r="NI36" s="47"/>
      <c r="NJ36" s="47"/>
      <c r="NK36" s="47"/>
      <c r="NL36" s="47"/>
      <c r="NM36" s="47"/>
      <c r="NN36" s="47"/>
      <c r="NO36" s="47"/>
      <c r="NP36" s="47"/>
      <c r="NQ36" s="47"/>
      <c r="NR36" s="47"/>
      <c r="NS36" s="47"/>
      <c r="NT36" s="47"/>
      <c r="NU36" s="47"/>
      <c r="NV36" s="47"/>
      <c r="NW36" s="47"/>
      <c r="NX36" s="47"/>
      <c r="NY36" s="47"/>
      <c r="NZ36" s="47"/>
      <c r="OA36" s="47"/>
      <c r="OB36" s="47"/>
      <c r="OC36" s="47"/>
      <c r="OD36" s="47"/>
      <c r="OE36" s="48"/>
    </row>
    <row r="37" spans="1:395">
      <c r="A37" s="33" t="str">
        <f t="shared" si="15"/>
        <v/>
      </c>
      <c r="C37" s="2" t="str">
        <f>IF(ISBLANK($B37),"",_xlfn.XLOOKUP($B37,Task_No,Project!$C$3:$C$144,"INVALID TASK"))</f>
        <v/>
      </c>
      <c r="D37" s="27"/>
      <c r="E37" s="7" t="str">
        <f t="shared" si="17"/>
        <v/>
      </c>
      <c r="F37" s="7" t="str">
        <f t="shared" si="18"/>
        <v/>
      </c>
      <c r="G37" s="34"/>
      <c r="H37" s="34" t="str" cm="1">
        <f t="array" ref="H37">IF($C37="","",SUMPRODUCT((TEXT($AE$5:$OE$5, "mmm")=LOWER(G$3))*$AE37:$OE37))</f>
        <v/>
      </c>
      <c r="I37" s="34"/>
      <c r="J37" s="34" t="str" cm="1">
        <f t="array" ref="J37">IF($C37="","",SUMPRODUCT((TEXT($AE$5:$OE$5, "mmm")=LOWER(I$3))*$AE37:$OE37))</f>
        <v/>
      </c>
      <c r="K37" s="34"/>
      <c r="L37" s="34" t="str" cm="1">
        <f t="array" ref="L37">IF($C37="","",SUMPRODUCT((TEXT($AE$5:$OE$5, "mmm")=LOWER(K$3))*$AE37:$OE37))</f>
        <v/>
      </c>
      <c r="M37" s="34"/>
      <c r="N37" s="34" t="str" cm="1">
        <f t="array" ref="N37">IF($C37="","",SUMPRODUCT((TEXT($AE$5:$OE$5, "mmm")=LOWER(M$3))*$AE37:$OE37))</f>
        <v/>
      </c>
      <c r="O37" s="34"/>
      <c r="P37" s="34" t="str" cm="1">
        <f t="array" ref="P37">IF($C37="","",SUMPRODUCT((TEXT($AE$5:$OE$5, "mmm")=LOWER(O$3))*$AE37:$OE37))</f>
        <v/>
      </c>
      <c r="Q37" s="34"/>
      <c r="R37" s="34" t="str" cm="1">
        <f t="array" ref="R37">IF($C37="","",SUMPRODUCT((TEXT($AE$5:$OE$5, "mmm")=LOWER(Q$3))*$AE37:$OE37))</f>
        <v/>
      </c>
      <c r="S37" s="34"/>
      <c r="T37" s="34" t="str" cm="1">
        <f t="array" ref="T37">IF($C37="","",SUMPRODUCT((TEXT($AE$5:$OE$5, "mmm")=LOWER(S$3))*$AE37:$OE37))</f>
        <v/>
      </c>
      <c r="U37" s="34"/>
      <c r="V37" s="34" t="str" cm="1">
        <f t="array" ref="V37">IF($C37="","",SUMPRODUCT((TEXT($AE$5:$OE$5, "mmm")=LOWER(U$3))*$AE37:$OE37))</f>
        <v/>
      </c>
      <c r="W37" s="34"/>
      <c r="X37" s="34" t="str" cm="1">
        <f t="array" ref="X37">IF($C37="","",SUMPRODUCT((TEXT($AE$5:$OE$5, "mmm")=LOWER(W$3))*$AE37:$OE37))</f>
        <v/>
      </c>
      <c r="Y37" s="34"/>
      <c r="Z37" s="34" t="str" cm="1">
        <f t="array" ref="Z37">IF($C37="","",SUMPRODUCT((TEXT($AE$5:$OE$5, "mmm")=LOWER(Y$3))*$AE37:$OE37))</f>
        <v/>
      </c>
      <c r="AA37" s="34"/>
      <c r="AB37" s="34" t="str" cm="1">
        <f t="array" ref="AB37">IF($C37="","",SUMPRODUCT((TEXT($AE$5:$OE$5, "mmm")=LOWER(AA$3))*$AE37:$OE37))</f>
        <v/>
      </c>
      <c r="AC37" s="34"/>
      <c r="AD37" s="34" t="str" cm="1">
        <f t="array" ref="AD37">IF($C37="","",SUMPRODUCT((TEXT($AE$5:$OE$5, "mmm")=LOWER(AC$3))*$AE37:$OE37))</f>
        <v/>
      </c>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c r="CT37" s="47"/>
      <c r="CU37" s="47"/>
      <c r="CV37" s="47"/>
      <c r="CW37" s="47"/>
      <c r="CX37" s="47"/>
      <c r="CY37" s="47"/>
      <c r="CZ37" s="47"/>
      <c r="DA37" s="47"/>
      <c r="DB37" s="47"/>
      <c r="DC37" s="47"/>
      <c r="DD37" s="47"/>
      <c r="DE37" s="47"/>
      <c r="DF37" s="47"/>
      <c r="DG37" s="47"/>
      <c r="DH37" s="47"/>
      <c r="DI37" s="47"/>
      <c r="DJ37" s="47"/>
      <c r="DK37" s="47"/>
      <c r="DL37" s="47"/>
      <c r="DM37" s="47"/>
      <c r="DN37" s="47"/>
      <c r="DO37" s="47"/>
      <c r="DP37" s="47"/>
      <c r="DQ37" s="47"/>
      <c r="DR37" s="47"/>
      <c r="DS37" s="47"/>
      <c r="DT37" s="47"/>
      <c r="DU37" s="47"/>
      <c r="DV37" s="47"/>
      <c r="DW37" s="47"/>
      <c r="DX37" s="47"/>
      <c r="DY37" s="47"/>
      <c r="DZ37" s="47"/>
      <c r="EA37" s="47"/>
      <c r="EB37" s="47"/>
      <c r="EC37" s="47"/>
      <c r="ED37" s="47"/>
      <c r="EE37" s="47"/>
      <c r="EF37" s="47"/>
      <c r="EG37" s="47"/>
      <c r="EH37" s="47"/>
      <c r="EI37" s="47"/>
      <c r="EJ37" s="47"/>
      <c r="EK37" s="47"/>
      <c r="EL37" s="47"/>
      <c r="EM37" s="47"/>
      <c r="EN37" s="47"/>
      <c r="EO37" s="47"/>
      <c r="EP37" s="47"/>
      <c r="EQ37" s="47"/>
      <c r="ER37" s="47"/>
      <c r="ES37" s="47"/>
      <c r="ET37" s="47"/>
      <c r="EU37" s="47"/>
      <c r="EV37" s="47"/>
      <c r="EW37" s="47"/>
      <c r="EX37" s="47"/>
      <c r="EY37" s="47"/>
      <c r="EZ37" s="47"/>
      <c r="FA37" s="47"/>
      <c r="FB37" s="47"/>
      <c r="FC37" s="47"/>
      <c r="FD37" s="47"/>
      <c r="FE37" s="47"/>
      <c r="FF37" s="47"/>
      <c r="FG37" s="47"/>
      <c r="FH37" s="47"/>
      <c r="FI37" s="47"/>
      <c r="FJ37" s="47"/>
      <c r="FK37" s="47"/>
      <c r="FL37" s="47"/>
      <c r="FM37" s="47"/>
      <c r="FN37" s="47"/>
      <c r="FO37" s="47"/>
      <c r="FP37" s="47"/>
      <c r="FQ37" s="47"/>
      <c r="FR37" s="47"/>
      <c r="FS37" s="47"/>
      <c r="FT37" s="47"/>
      <c r="FU37" s="47"/>
      <c r="FV37" s="47"/>
      <c r="FW37" s="47"/>
      <c r="FX37" s="47"/>
      <c r="FY37" s="47"/>
      <c r="FZ37" s="47"/>
      <c r="GA37" s="47"/>
      <c r="GB37" s="47"/>
      <c r="GC37" s="47"/>
      <c r="GD37" s="47"/>
      <c r="GE37" s="47"/>
      <c r="GF37" s="47"/>
      <c r="GG37" s="47"/>
      <c r="GH37" s="47"/>
      <c r="GI37" s="47"/>
      <c r="GJ37" s="47"/>
      <c r="GK37" s="47"/>
      <c r="GL37" s="47"/>
      <c r="GM37" s="47"/>
      <c r="GN37" s="47"/>
      <c r="GO37" s="47"/>
      <c r="GP37" s="47"/>
      <c r="GQ37" s="47"/>
      <c r="GR37" s="47"/>
      <c r="GS37" s="47"/>
      <c r="GT37" s="47"/>
      <c r="GU37" s="47"/>
      <c r="GV37" s="47"/>
      <c r="GW37" s="47"/>
      <c r="GX37" s="47"/>
      <c r="GY37" s="47"/>
      <c r="GZ37" s="47"/>
      <c r="HA37" s="47"/>
      <c r="HB37" s="47"/>
      <c r="HC37" s="47"/>
      <c r="HD37" s="47"/>
      <c r="HE37" s="47"/>
      <c r="HF37" s="47"/>
      <c r="HG37" s="47"/>
      <c r="HH37" s="47"/>
      <c r="HI37" s="47"/>
      <c r="HJ37" s="47"/>
      <c r="HK37" s="47"/>
      <c r="HL37" s="47"/>
      <c r="HM37" s="47"/>
      <c r="HN37" s="47"/>
      <c r="HO37" s="47"/>
      <c r="HP37" s="47"/>
      <c r="HQ37" s="47"/>
      <c r="HR37" s="47"/>
      <c r="HS37" s="47"/>
      <c r="HT37" s="47"/>
      <c r="HU37" s="47"/>
      <c r="HV37" s="47"/>
      <c r="HW37" s="47"/>
      <c r="HX37" s="47"/>
      <c r="HY37" s="47"/>
      <c r="HZ37" s="47"/>
      <c r="IA37" s="47"/>
      <c r="IB37" s="47"/>
      <c r="IC37" s="47"/>
      <c r="ID37" s="47"/>
      <c r="IE37" s="47"/>
      <c r="IF37" s="47"/>
      <c r="IG37" s="47"/>
      <c r="IH37" s="47"/>
      <c r="II37" s="47"/>
      <c r="IJ37" s="47"/>
      <c r="IK37" s="47"/>
      <c r="IL37" s="47"/>
      <c r="IM37" s="47"/>
      <c r="IN37" s="47"/>
      <c r="IO37" s="47"/>
      <c r="IP37" s="47"/>
      <c r="IQ37" s="47"/>
      <c r="IR37" s="47"/>
      <c r="IS37" s="47"/>
      <c r="IT37" s="47"/>
      <c r="IU37" s="47"/>
      <c r="IV37" s="47"/>
      <c r="IW37" s="47"/>
      <c r="IX37" s="47"/>
      <c r="IY37" s="47"/>
      <c r="IZ37" s="47"/>
      <c r="JA37" s="47"/>
      <c r="JB37" s="47"/>
      <c r="JC37" s="47"/>
      <c r="JD37" s="47"/>
      <c r="JE37" s="47"/>
      <c r="JF37" s="47"/>
      <c r="JG37" s="47"/>
      <c r="JH37" s="47"/>
      <c r="JI37" s="47"/>
      <c r="JJ37" s="47"/>
      <c r="JK37" s="47"/>
      <c r="JL37" s="47"/>
      <c r="JM37" s="47"/>
      <c r="JN37" s="47"/>
      <c r="JO37" s="47"/>
      <c r="JP37" s="47"/>
      <c r="JQ37" s="47"/>
      <c r="JR37" s="47"/>
      <c r="JS37" s="47"/>
      <c r="JT37" s="47"/>
      <c r="JU37" s="47"/>
      <c r="JV37" s="47"/>
      <c r="JW37" s="47"/>
      <c r="JX37" s="47"/>
      <c r="JY37" s="47"/>
      <c r="JZ37" s="47"/>
      <c r="KA37" s="47"/>
      <c r="KB37" s="47"/>
      <c r="KC37" s="47"/>
      <c r="KD37" s="47"/>
      <c r="KE37" s="47"/>
      <c r="KF37" s="47"/>
      <c r="KG37" s="47"/>
      <c r="KH37" s="47"/>
      <c r="KI37" s="47"/>
      <c r="KJ37" s="47"/>
      <c r="KK37" s="47"/>
      <c r="KL37" s="47"/>
      <c r="KM37" s="47"/>
      <c r="KN37" s="47"/>
      <c r="KO37" s="47"/>
      <c r="KP37" s="47"/>
      <c r="KQ37" s="47"/>
      <c r="KR37" s="47"/>
      <c r="KS37" s="47"/>
      <c r="KT37" s="47"/>
      <c r="KU37" s="47"/>
      <c r="KV37" s="47"/>
      <c r="KW37" s="47"/>
      <c r="KX37" s="47"/>
      <c r="KY37" s="47"/>
      <c r="KZ37" s="47"/>
      <c r="LA37" s="47"/>
      <c r="LB37" s="47"/>
      <c r="LC37" s="47"/>
      <c r="LD37" s="47"/>
      <c r="LE37" s="47"/>
      <c r="LF37" s="47"/>
      <c r="LG37" s="47"/>
      <c r="LH37" s="47"/>
      <c r="LI37" s="47"/>
      <c r="LJ37" s="47"/>
      <c r="LK37" s="47"/>
      <c r="LL37" s="47"/>
      <c r="LM37" s="47"/>
      <c r="LN37" s="47"/>
      <c r="LO37" s="47"/>
      <c r="LP37" s="47"/>
      <c r="LQ37" s="47"/>
      <c r="LR37" s="47"/>
      <c r="LS37" s="47"/>
      <c r="LT37" s="47"/>
      <c r="LU37" s="47"/>
      <c r="LV37" s="47"/>
      <c r="LW37" s="47"/>
      <c r="LX37" s="47"/>
      <c r="LY37" s="47"/>
      <c r="LZ37" s="47"/>
      <c r="MA37" s="47"/>
      <c r="MB37" s="47"/>
      <c r="MC37" s="47"/>
      <c r="MD37" s="47"/>
      <c r="ME37" s="47"/>
      <c r="MF37" s="47"/>
      <c r="MG37" s="47"/>
      <c r="MH37" s="47"/>
      <c r="MI37" s="47"/>
      <c r="MJ37" s="47"/>
      <c r="MK37" s="47"/>
      <c r="ML37" s="47"/>
      <c r="MM37" s="47"/>
      <c r="MN37" s="47"/>
      <c r="MO37" s="47"/>
      <c r="MP37" s="47"/>
      <c r="MQ37" s="47"/>
      <c r="MR37" s="47"/>
      <c r="MS37" s="47"/>
      <c r="MT37" s="47"/>
      <c r="MU37" s="47"/>
      <c r="MV37" s="47"/>
      <c r="MW37" s="47"/>
      <c r="MX37" s="47"/>
      <c r="MY37" s="47"/>
      <c r="MZ37" s="47"/>
      <c r="NA37" s="47"/>
      <c r="NB37" s="47"/>
      <c r="NC37" s="47"/>
      <c r="ND37" s="47"/>
      <c r="NE37" s="47"/>
      <c r="NF37" s="47"/>
      <c r="NG37" s="47"/>
      <c r="NH37" s="47"/>
      <c r="NI37" s="47"/>
      <c r="NJ37" s="47"/>
      <c r="NK37" s="47"/>
      <c r="NL37" s="47"/>
      <c r="NM37" s="47"/>
      <c r="NN37" s="47"/>
      <c r="NO37" s="47"/>
      <c r="NP37" s="47"/>
      <c r="NQ37" s="47"/>
      <c r="NR37" s="47"/>
      <c r="NS37" s="47"/>
      <c r="NT37" s="47"/>
      <c r="NU37" s="47"/>
      <c r="NV37" s="47"/>
      <c r="NW37" s="47"/>
      <c r="NX37" s="47"/>
      <c r="NY37" s="47"/>
      <c r="NZ37" s="47"/>
      <c r="OA37" s="47"/>
      <c r="OB37" s="47"/>
      <c r="OC37" s="47"/>
      <c r="OD37" s="47"/>
      <c r="OE37" s="48"/>
    </row>
    <row r="38" spans="1:395">
      <c r="A38" s="33" t="str">
        <f t="shared" si="15"/>
        <v/>
      </c>
      <c r="C38" s="2" t="str">
        <f>IF(ISBLANK($B38),"",_xlfn.XLOOKUP($B38,Task_No,Project!$C$3:$C$144,"INVALID TASK"))</f>
        <v/>
      </c>
      <c r="D38" s="27"/>
      <c r="E38" s="7" t="str">
        <f t="shared" si="17"/>
        <v/>
      </c>
      <c r="F38" s="7" t="str">
        <f t="shared" si="18"/>
        <v/>
      </c>
      <c r="G38" s="34"/>
      <c r="H38" s="34" t="str" cm="1">
        <f t="array" ref="H38">IF($C38="","",SUMPRODUCT((TEXT($AE$5:$OE$5, "mmm")=LOWER(G$3))*$AE38:$OE38))</f>
        <v/>
      </c>
      <c r="I38" s="34"/>
      <c r="J38" s="34" t="str" cm="1">
        <f t="array" ref="J38">IF($C38="","",SUMPRODUCT((TEXT($AE$5:$OE$5, "mmm")=LOWER(I$3))*$AE38:$OE38))</f>
        <v/>
      </c>
      <c r="K38" s="34"/>
      <c r="L38" s="34" t="str" cm="1">
        <f t="array" ref="L38">IF($C38="","",SUMPRODUCT((TEXT($AE$5:$OE$5, "mmm")=LOWER(K$3))*$AE38:$OE38))</f>
        <v/>
      </c>
      <c r="M38" s="34"/>
      <c r="N38" s="34" t="str" cm="1">
        <f t="array" ref="N38">IF($C38="","",SUMPRODUCT((TEXT($AE$5:$OE$5, "mmm")=LOWER(M$3))*$AE38:$OE38))</f>
        <v/>
      </c>
      <c r="O38" s="34"/>
      <c r="P38" s="34" t="str" cm="1">
        <f t="array" ref="P38">IF($C38="","",SUMPRODUCT((TEXT($AE$5:$OE$5, "mmm")=LOWER(O$3))*$AE38:$OE38))</f>
        <v/>
      </c>
      <c r="Q38" s="34"/>
      <c r="R38" s="34" t="str" cm="1">
        <f t="array" ref="R38">IF($C38="","",SUMPRODUCT((TEXT($AE$5:$OE$5, "mmm")=LOWER(Q$3))*$AE38:$OE38))</f>
        <v/>
      </c>
      <c r="S38" s="34"/>
      <c r="T38" s="34" t="str" cm="1">
        <f t="array" ref="T38">IF($C38="","",SUMPRODUCT((TEXT($AE$5:$OE$5, "mmm")=LOWER(S$3))*$AE38:$OE38))</f>
        <v/>
      </c>
      <c r="U38" s="34"/>
      <c r="V38" s="34" t="str" cm="1">
        <f t="array" ref="V38">IF($C38="","",SUMPRODUCT((TEXT($AE$5:$OE$5, "mmm")=LOWER(U$3))*$AE38:$OE38))</f>
        <v/>
      </c>
      <c r="W38" s="34"/>
      <c r="X38" s="34" t="str" cm="1">
        <f t="array" ref="X38">IF($C38="","",SUMPRODUCT((TEXT($AE$5:$OE$5, "mmm")=LOWER(W$3))*$AE38:$OE38))</f>
        <v/>
      </c>
      <c r="Y38" s="34"/>
      <c r="Z38" s="34" t="str" cm="1">
        <f t="array" ref="Z38">IF($C38="","",SUMPRODUCT((TEXT($AE$5:$OE$5, "mmm")=LOWER(Y$3))*$AE38:$OE38))</f>
        <v/>
      </c>
      <c r="AA38" s="34"/>
      <c r="AB38" s="34" t="str" cm="1">
        <f t="array" ref="AB38">IF($C38="","",SUMPRODUCT((TEXT($AE$5:$OE$5, "mmm")=LOWER(AA$3))*$AE38:$OE38))</f>
        <v/>
      </c>
      <c r="AC38" s="34"/>
      <c r="AD38" s="34" t="str" cm="1">
        <f t="array" ref="AD38">IF($C38="","",SUMPRODUCT((TEXT($AE$5:$OE$5, "mmm")=LOWER(AC$3))*$AE38:$OE38))</f>
        <v/>
      </c>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c r="CG38" s="47"/>
      <c r="CH38" s="47"/>
      <c r="CI38" s="47"/>
      <c r="CJ38" s="47"/>
      <c r="CK38" s="47"/>
      <c r="CL38" s="47"/>
      <c r="CM38" s="47"/>
      <c r="CN38" s="47"/>
      <c r="CO38" s="47"/>
      <c r="CP38" s="47"/>
      <c r="CQ38" s="47"/>
      <c r="CR38" s="47"/>
      <c r="CS38" s="47"/>
      <c r="CT38" s="47"/>
      <c r="CU38" s="47"/>
      <c r="CV38" s="47"/>
      <c r="CW38" s="47"/>
      <c r="CX38" s="47"/>
      <c r="CY38" s="47"/>
      <c r="CZ38" s="47"/>
      <c r="DA38" s="47"/>
      <c r="DB38" s="47"/>
      <c r="DC38" s="47"/>
      <c r="DD38" s="47"/>
      <c r="DE38" s="47"/>
      <c r="DF38" s="47"/>
      <c r="DG38" s="47"/>
      <c r="DH38" s="47"/>
      <c r="DI38" s="47"/>
      <c r="DJ38" s="47"/>
      <c r="DK38" s="47"/>
      <c r="DL38" s="47"/>
      <c r="DM38" s="47"/>
      <c r="DN38" s="47"/>
      <c r="DO38" s="47"/>
      <c r="DP38" s="47"/>
      <c r="DQ38" s="47"/>
      <c r="DR38" s="47"/>
      <c r="DS38" s="47"/>
      <c r="DT38" s="47"/>
      <c r="DU38" s="47"/>
      <c r="DV38" s="47"/>
      <c r="DW38" s="47"/>
      <c r="DX38" s="47"/>
      <c r="DY38" s="47"/>
      <c r="DZ38" s="47"/>
      <c r="EA38" s="47"/>
      <c r="EB38" s="47"/>
      <c r="EC38" s="47"/>
      <c r="ED38" s="47"/>
      <c r="EE38" s="47"/>
      <c r="EF38" s="47"/>
      <c r="EG38" s="47"/>
      <c r="EH38" s="47"/>
      <c r="EI38" s="47"/>
      <c r="EJ38" s="47"/>
      <c r="EK38" s="47"/>
      <c r="EL38" s="47"/>
      <c r="EM38" s="47"/>
      <c r="EN38" s="47"/>
      <c r="EO38" s="47"/>
      <c r="EP38" s="47"/>
      <c r="EQ38" s="47"/>
      <c r="ER38" s="47"/>
      <c r="ES38" s="47"/>
      <c r="ET38" s="47"/>
      <c r="EU38" s="47"/>
      <c r="EV38" s="47"/>
      <c r="EW38" s="47"/>
      <c r="EX38" s="47"/>
      <c r="EY38" s="47"/>
      <c r="EZ38" s="47"/>
      <c r="FA38" s="47"/>
      <c r="FB38" s="47"/>
      <c r="FC38" s="47"/>
      <c r="FD38" s="47"/>
      <c r="FE38" s="47"/>
      <c r="FF38" s="47"/>
      <c r="FG38" s="47"/>
      <c r="FH38" s="47"/>
      <c r="FI38" s="47"/>
      <c r="FJ38" s="47"/>
      <c r="FK38" s="47"/>
      <c r="FL38" s="47"/>
      <c r="FM38" s="47"/>
      <c r="FN38" s="47"/>
      <c r="FO38" s="47"/>
      <c r="FP38" s="47"/>
      <c r="FQ38" s="47"/>
      <c r="FR38" s="47"/>
      <c r="FS38" s="47"/>
      <c r="FT38" s="47"/>
      <c r="FU38" s="47"/>
      <c r="FV38" s="47"/>
      <c r="FW38" s="47"/>
      <c r="FX38" s="47"/>
      <c r="FY38" s="47"/>
      <c r="FZ38" s="47"/>
      <c r="GA38" s="47"/>
      <c r="GB38" s="47"/>
      <c r="GC38" s="47"/>
      <c r="GD38" s="47"/>
      <c r="GE38" s="47"/>
      <c r="GF38" s="47"/>
      <c r="GG38" s="47"/>
      <c r="GH38" s="47"/>
      <c r="GI38" s="47"/>
      <c r="GJ38" s="47"/>
      <c r="GK38" s="47"/>
      <c r="GL38" s="47"/>
      <c r="GM38" s="47"/>
      <c r="GN38" s="47"/>
      <c r="GO38" s="47"/>
      <c r="GP38" s="47"/>
      <c r="GQ38" s="47"/>
      <c r="GR38" s="47"/>
      <c r="GS38" s="47"/>
      <c r="GT38" s="47"/>
      <c r="GU38" s="47"/>
      <c r="GV38" s="47"/>
      <c r="GW38" s="47"/>
      <c r="GX38" s="47"/>
      <c r="GY38" s="47"/>
      <c r="GZ38" s="47"/>
      <c r="HA38" s="47"/>
      <c r="HB38" s="47"/>
      <c r="HC38" s="47"/>
      <c r="HD38" s="47"/>
      <c r="HE38" s="47"/>
      <c r="HF38" s="47"/>
      <c r="HG38" s="47"/>
      <c r="HH38" s="47"/>
      <c r="HI38" s="47"/>
      <c r="HJ38" s="47"/>
      <c r="HK38" s="47"/>
      <c r="HL38" s="47"/>
      <c r="HM38" s="47"/>
      <c r="HN38" s="47"/>
      <c r="HO38" s="47"/>
      <c r="HP38" s="47"/>
      <c r="HQ38" s="47"/>
      <c r="HR38" s="47"/>
      <c r="HS38" s="47"/>
      <c r="HT38" s="47"/>
      <c r="HU38" s="47"/>
      <c r="HV38" s="47"/>
      <c r="HW38" s="47"/>
      <c r="HX38" s="47"/>
      <c r="HY38" s="47"/>
      <c r="HZ38" s="47"/>
      <c r="IA38" s="47"/>
      <c r="IB38" s="47"/>
      <c r="IC38" s="47"/>
      <c r="ID38" s="47"/>
      <c r="IE38" s="47"/>
      <c r="IF38" s="47"/>
      <c r="IG38" s="47"/>
      <c r="IH38" s="47"/>
      <c r="II38" s="47"/>
      <c r="IJ38" s="47"/>
      <c r="IK38" s="47"/>
      <c r="IL38" s="47"/>
      <c r="IM38" s="47"/>
      <c r="IN38" s="47"/>
      <c r="IO38" s="47"/>
      <c r="IP38" s="47"/>
      <c r="IQ38" s="47"/>
      <c r="IR38" s="47"/>
      <c r="IS38" s="47"/>
      <c r="IT38" s="47"/>
      <c r="IU38" s="47"/>
      <c r="IV38" s="47"/>
      <c r="IW38" s="47"/>
      <c r="IX38" s="47"/>
      <c r="IY38" s="47"/>
      <c r="IZ38" s="47"/>
      <c r="JA38" s="47"/>
      <c r="JB38" s="47"/>
      <c r="JC38" s="47"/>
      <c r="JD38" s="47"/>
      <c r="JE38" s="47"/>
      <c r="JF38" s="47"/>
      <c r="JG38" s="47"/>
      <c r="JH38" s="47"/>
      <c r="JI38" s="47"/>
      <c r="JJ38" s="47"/>
      <c r="JK38" s="47"/>
      <c r="JL38" s="47"/>
      <c r="JM38" s="47"/>
      <c r="JN38" s="47"/>
      <c r="JO38" s="47"/>
      <c r="JP38" s="47"/>
      <c r="JQ38" s="47"/>
      <c r="JR38" s="47"/>
      <c r="JS38" s="47"/>
      <c r="JT38" s="47"/>
      <c r="JU38" s="47"/>
      <c r="JV38" s="47"/>
      <c r="JW38" s="47"/>
      <c r="JX38" s="47"/>
      <c r="JY38" s="47"/>
      <c r="JZ38" s="47"/>
      <c r="KA38" s="47"/>
      <c r="KB38" s="47"/>
      <c r="KC38" s="47"/>
      <c r="KD38" s="47"/>
      <c r="KE38" s="47"/>
      <c r="KF38" s="47"/>
      <c r="KG38" s="47"/>
      <c r="KH38" s="47"/>
      <c r="KI38" s="47"/>
      <c r="KJ38" s="47"/>
      <c r="KK38" s="47"/>
      <c r="KL38" s="47"/>
      <c r="KM38" s="47"/>
      <c r="KN38" s="47"/>
      <c r="KO38" s="47"/>
      <c r="KP38" s="47"/>
      <c r="KQ38" s="47"/>
      <c r="KR38" s="47"/>
      <c r="KS38" s="47"/>
      <c r="KT38" s="47"/>
      <c r="KU38" s="47"/>
      <c r="KV38" s="47"/>
      <c r="KW38" s="47"/>
      <c r="KX38" s="47"/>
      <c r="KY38" s="47"/>
      <c r="KZ38" s="47"/>
      <c r="LA38" s="47"/>
      <c r="LB38" s="47"/>
      <c r="LC38" s="47"/>
      <c r="LD38" s="47"/>
      <c r="LE38" s="47"/>
      <c r="LF38" s="47"/>
      <c r="LG38" s="47"/>
      <c r="LH38" s="47"/>
      <c r="LI38" s="47"/>
      <c r="LJ38" s="47"/>
      <c r="LK38" s="47"/>
      <c r="LL38" s="47"/>
      <c r="LM38" s="47"/>
      <c r="LN38" s="47"/>
      <c r="LO38" s="47"/>
      <c r="LP38" s="47"/>
      <c r="LQ38" s="47"/>
      <c r="LR38" s="47"/>
      <c r="LS38" s="47"/>
      <c r="LT38" s="47"/>
      <c r="LU38" s="47"/>
      <c r="LV38" s="47"/>
      <c r="LW38" s="47"/>
      <c r="LX38" s="47"/>
      <c r="LY38" s="47"/>
      <c r="LZ38" s="47"/>
      <c r="MA38" s="47"/>
      <c r="MB38" s="47"/>
      <c r="MC38" s="47"/>
      <c r="MD38" s="47"/>
      <c r="ME38" s="47"/>
      <c r="MF38" s="47"/>
      <c r="MG38" s="47"/>
      <c r="MH38" s="47"/>
      <c r="MI38" s="47"/>
      <c r="MJ38" s="47"/>
      <c r="MK38" s="47"/>
      <c r="ML38" s="47"/>
      <c r="MM38" s="47"/>
      <c r="MN38" s="47"/>
      <c r="MO38" s="47"/>
      <c r="MP38" s="47"/>
      <c r="MQ38" s="47"/>
      <c r="MR38" s="47"/>
      <c r="MS38" s="47"/>
      <c r="MT38" s="47"/>
      <c r="MU38" s="47"/>
      <c r="MV38" s="47"/>
      <c r="MW38" s="47"/>
      <c r="MX38" s="47"/>
      <c r="MY38" s="47"/>
      <c r="MZ38" s="47"/>
      <c r="NA38" s="47"/>
      <c r="NB38" s="47"/>
      <c r="NC38" s="47"/>
      <c r="ND38" s="47"/>
      <c r="NE38" s="47"/>
      <c r="NF38" s="47"/>
      <c r="NG38" s="47"/>
      <c r="NH38" s="47"/>
      <c r="NI38" s="47"/>
      <c r="NJ38" s="47"/>
      <c r="NK38" s="47"/>
      <c r="NL38" s="47"/>
      <c r="NM38" s="47"/>
      <c r="NN38" s="47"/>
      <c r="NO38" s="47"/>
      <c r="NP38" s="47"/>
      <c r="NQ38" s="47"/>
      <c r="NR38" s="47"/>
      <c r="NS38" s="47"/>
      <c r="NT38" s="47"/>
      <c r="NU38" s="47"/>
      <c r="NV38" s="47"/>
      <c r="NW38" s="47"/>
      <c r="NX38" s="47"/>
      <c r="NY38" s="47"/>
      <c r="NZ38" s="47"/>
      <c r="OA38" s="47"/>
      <c r="OB38" s="47"/>
      <c r="OC38" s="47"/>
      <c r="OD38" s="47"/>
      <c r="OE38" s="48"/>
    </row>
    <row r="39" spans="1:395">
      <c r="A39" s="33" t="str">
        <f t="shared" si="15"/>
        <v/>
      </c>
      <c r="C39" s="2" t="str">
        <f>IF(ISBLANK($B39),"",_xlfn.XLOOKUP($B39,Task_No,Project!$C$3:$C$144,"INVALID TASK"))</f>
        <v/>
      </c>
      <c r="D39" s="27"/>
      <c r="E39" s="7" t="str">
        <f t="shared" si="17"/>
        <v/>
      </c>
      <c r="F39" s="7" t="str">
        <f t="shared" si="18"/>
        <v/>
      </c>
      <c r="G39" s="34"/>
      <c r="H39" s="34" t="str" cm="1">
        <f t="array" ref="H39">IF($C39="","",SUMPRODUCT((TEXT($AE$5:$OE$5, "mmm")=LOWER(G$3))*$AE39:$OE39))</f>
        <v/>
      </c>
      <c r="I39" s="34"/>
      <c r="J39" s="34" t="str" cm="1">
        <f t="array" ref="J39">IF($C39="","",SUMPRODUCT((TEXT($AE$5:$OE$5, "mmm")=LOWER(I$3))*$AE39:$OE39))</f>
        <v/>
      </c>
      <c r="K39" s="34"/>
      <c r="L39" s="34" t="str" cm="1">
        <f t="array" ref="L39">IF($C39="","",SUMPRODUCT((TEXT($AE$5:$OE$5, "mmm")=LOWER(K$3))*$AE39:$OE39))</f>
        <v/>
      </c>
      <c r="M39" s="34"/>
      <c r="N39" s="34" t="str" cm="1">
        <f t="array" ref="N39">IF($C39="","",SUMPRODUCT((TEXT($AE$5:$OE$5, "mmm")=LOWER(M$3))*$AE39:$OE39))</f>
        <v/>
      </c>
      <c r="O39" s="34"/>
      <c r="P39" s="34" t="str" cm="1">
        <f t="array" ref="P39">IF($C39="","",SUMPRODUCT((TEXT($AE$5:$OE$5, "mmm")=LOWER(O$3))*$AE39:$OE39))</f>
        <v/>
      </c>
      <c r="Q39" s="34"/>
      <c r="R39" s="34" t="str" cm="1">
        <f t="array" ref="R39">IF($C39="","",SUMPRODUCT((TEXT($AE$5:$OE$5, "mmm")=LOWER(Q$3))*$AE39:$OE39))</f>
        <v/>
      </c>
      <c r="S39" s="34"/>
      <c r="T39" s="34" t="str" cm="1">
        <f t="array" ref="T39">IF($C39="","",SUMPRODUCT((TEXT($AE$5:$OE$5, "mmm")=LOWER(S$3))*$AE39:$OE39))</f>
        <v/>
      </c>
      <c r="U39" s="34"/>
      <c r="V39" s="34" t="str" cm="1">
        <f t="array" ref="V39">IF($C39="","",SUMPRODUCT((TEXT($AE$5:$OE$5, "mmm")=LOWER(U$3))*$AE39:$OE39))</f>
        <v/>
      </c>
      <c r="W39" s="34"/>
      <c r="X39" s="34" t="str" cm="1">
        <f t="array" ref="X39">IF($C39="","",SUMPRODUCT((TEXT($AE$5:$OE$5, "mmm")=LOWER(W$3))*$AE39:$OE39))</f>
        <v/>
      </c>
      <c r="Y39" s="34"/>
      <c r="Z39" s="34" t="str" cm="1">
        <f t="array" ref="Z39">IF($C39="","",SUMPRODUCT((TEXT($AE$5:$OE$5, "mmm")=LOWER(Y$3))*$AE39:$OE39))</f>
        <v/>
      </c>
      <c r="AA39" s="34"/>
      <c r="AB39" s="34" t="str" cm="1">
        <f t="array" ref="AB39">IF($C39="","",SUMPRODUCT((TEXT($AE$5:$OE$5, "mmm")=LOWER(AA$3))*$AE39:$OE39))</f>
        <v/>
      </c>
      <c r="AC39" s="34"/>
      <c r="AD39" s="34" t="str" cm="1">
        <f t="array" ref="AD39">IF($C39="","",SUMPRODUCT((TEXT($AE$5:$OE$5, "mmm")=LOWER(AC$3))*$AE39:$OE39))</f>
        <v/>
      </c>
      <c r="AE39" s="47"/>
      <c r="AF39" s="47"/>
      <c r="AG39" s="47"/>
      <c r="AH39" s="47"/>
      <c r="AI39" s="47"/>
      <c r="AJ39" s="47"/>
      <c r="AK39" s="47"/>
      <c r="AL39" s="47"/>
      <c r="AM39" s="47"/>
      <c r="AN39" s="47"/>
      <c r="AO39" s="47"/>
      <c r="AP39" s="47"/>
      <c r="AQ39" s="47"/>
      <c r="AR39" s="47"/>
      <c r="AS39" s="47"/>
      <c r="AT39" s="47"/>
      <c r="AU39" s="47"/>
      <c r="AV39" s="47"/>
      <c r="AW39" s="47"/>
      <c r="AX39" s="47"/>
      <c r="AY39" s="47"/>
      <c r="AZ39" s="47"/>
      <c r="BA39" s="47"/>
      <c r="BB39" s="47"/>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c r="CK39" s="47"/>
      <c r="CL39" s="47"/>
      <c r="CM39" s="47"/>
      <c r="CN39" s="47"/>
      <c r="CO39" s="47"/>
      <c r="CP39" s="47"/>
      <c r="CQ39" s="47"/>
      <c r="CR39" s="47"/>
      <c r="CS39" s="47"/>
      <c r="CT39" s="47"/>
      <c r="CU39" s="47"/>
      <c r="CV39" s="47"/>
      <c r="CW39" s="47"/>
      <c r="CX39" s="47"/>
      <c r="CY39" s="47"/>
      <c r="CZ39" s="47"/>
      <c r="DA39" s="47"/>
      <c r="DB39" s="47"/>
      <c r="DC39" s="47"/>
      <c r="DD39" s="47"/>
      <c r="DE39" s="47"/>
      <c r="DF39" s="47"/>
      <c r="DG39" s="47"/>
      <c r="DH39" s="47"/>
      <c r="DI39" s="47"/>
      <c r="DJ39" s="47"/>
      <c r="DK39" s="47"/>
      <c r="DL39" s="47"/>
      <c r="DM39" s="47"/>
      <c r="DN39" s="47"/>
      <c r="DO39" s="47"/>
      <c r="DP39" s="47"/>
      <c r="DQ39" s="47"/>
      <c r="DR39" s="47"/>
      <c r="DS39" s="47"/>
      <c r="DT39" s="47"/>
      <c r="DU39" s="47"/>
      <c r="DV39" s="47"/>
      <c r="DW39" s="47"/>
      <c r="DX39" s="47"/>
      <c r="DY39" s="47"/>
      <c r="DZ39" s="47"/>
      <c r="EA39" s="47"/>
      <c r="EB39" s="47"/>
      <c r="EC39" s="47"/>
      <c r="ED39" s="47"/>
      <c r="EE39" s="47"/>
      <c r="EF39" s="47"/>
      <c r="EG39" s="47"/>
      <c r="EH39" s="47"/>
      <c r="EI39" s="47"/>
      <c r="EJ39" s="47"/>
      <c r="EK39" s="47"/>
      <c r="EL39" s="47"/>
      <c r="EM39" s="47"/>
      <c r="EN39" s="47"/>
      <c r="EO39" s="47"/>
      <c r="EP39" s="47"/>
      <c r="EQ39" s="47"/>
      <c r="ER39" s="47"/>
      <c r="ES39" s="47"/>
      <c r="ET39" s="47"/>
      <c r="EU39" s="47"/>
      <c r="EV39" s="47"/>
      <c r="EW39" s="47"/>
      <c r="EX39" s="47"/>
      <c r="EY39" s="47"/>
      <c r="EZ39" s="47"/>
      <c r="FA39" s="47"/>
      <c r="FB39" s="47"/>
      <c r="FC39" s="47"/>
      <c r="FD39" s="47"/>
      <c r="FE39" s="47"/>
      <c r="FF39" s="47"/>
      <c r="FG39" s="47"/>
      <c r="FH39" s="47"/>
      <c r="FI39" s="47"/>
      <c r="FJ39" s="47"/>
      <c r="FK39" s="47"/>
      <c r="FL39" s="47"/>
      <c r="FM39" s="47"/>
      <c r="FN39" s="47"/>
      <c r="FO39" s="47"/>
      <c r="FP39" s="47"/>
      <c r="FQ39" s="47"/>
      <c r="FR39" s="47"/>
      <c r="FS39" s="47"/>
      <c r="FT39" s="47"/>
      <c r="FU39" s="47"/>
      <c r="FV39" s="47"/>
      <c r="FW39" s="47"/>
      <c r="FX39" s="47"/>
      <c r="FY39" s="47"/>
      <c r="FZ39" s="47"/>
      <c r="GA39" s="47"/>
      <c r="GB39" s="47"/>
      <c r="GC39" s="47"/>
      <c r="GD39" s="47"/>
      <c r="GE39" s="47"/>
      <c r="GF39" s="47"/>
      <c r="GG39" s="47"/>
      <c r="GH39" s="47"/>
      <c r="GI39" s="47"/>
      <c r="GJ39" s="47"/>
      <c r="GK39" s="47"/>
      <c r="GL39" s="47"/>
      <c r="GM39" s="47"/>
      <c r="GN39" s="47"/>
      <c r="GO39" s="47"/>
      <c r="GP39" s="47"/>
      <c r="GQ39" s="47"/>
      <c r="GR39" s="47"/>
      <c r="GS39" s="47"/>
      <c r="GT39" s="47"/>
      <c r="GU39" s="47"/>
      <c r="GV39" s="47"/>
      <c r="GW39" s="47"/>
      <c r="GX39" s="47"/>
      <c r="GY39" s="47"/>
      <c r="GZ39" s="47"/>
      <c r="HA39" s="47"/>
      <c r="HB39" s="47"/>
      <c r="HC39" s="47"/>
      <c r="HD39" s="47"/>
      <c r="HE39" s="47"/>
      <c r="HF39" s="47"/>
      <c r="HG39" s="47"/>
      <c r="HH39" s="47"/>
      <c r="HI39" s="47"/>
      <c r="HJ39" s="47"/>
      <c r="HK39" s="47"/>
      <c r="HL39" s="47"/>
      <c r="HM39" s="47"/>
      <c r="HN39" s="47"/>
      <c r="HO39" s="47"/>
      <c r="HP39" s="47"/>
      <c r="HQ39" s="47"/>
      <c r="HR39" s="47"/>
      <c r="HS39" s="47"/>
      <c r="HT39" s="47"/>
      <c r="HU39" s="47"/>
      <c r="HV39" s="47"/>
      <c r="HW39" s="47"/>
      <c r="HX39" s="47"/>
      <c r="HY39" s="47"/>
      <c r="HZ39" s="47"/>
      <c r="IA39" s="47"/>
      <c r="IB39" s="47"/>
      <c r="IC39" s="47"/>
      <c r="ID39" s="47"/>
      <c r="IE39" s="47"/>
      <c r="IF39" s="47"/>
      <c r="IG39" s="47"/>
      <c r="IH39" s="47"/>
      <c r="II39" s="47"/>
      <c r="IJ39" s="47"/>
      <c r="IK39" s="47"/>
      <c r="IL39" s="47"/>
      <c r="IM39" s="47"/>
      <c r="IN39" s="47"/>
      <c r="IO39" s="47"/>
      <c r="IP39" s="47"/>
      <c r="IQ39" s="47"/>
      <c r="IR39" s="47"/>
      <c r="IS39" s="47"/>
      <c r="IT39" s="47"/>
      <c r="IU39" s="47"/>
      <c r="IV39" s="47"/>
      <c r="IW39" s="47"/>
      <c r="IX39" s="47"/>
      <c r="IY39" s="47"/>
      <c r="IZ39" s="47"/>
      <c r="JA39" s="47"/>
      <c r="JB39" s="47"/>
      <c r="JC39" s="47"/>
      <c r="JD39" s="47"/>
      <c r="JE39" s="47"/>
      <c r="JF39" s="47"/>
      <c r="JG39" s="47"/>
      <c r="JH39" s="47"/>
      <c r="JI39" s="47"/>
      <c r="JJ39" s="47"/>
      <c r="JK39" s="47"/>
      <c r="JL39" s="47"/>
      <c r="JM39" s="47"/>
      <c r="JN39" s="47"/>
      <c r="JO39" s="47"/>
      <c r="JP39" s="47"/>
      <c r="JQ39" s="47"/>
      <c r="JR39" s="47"/>
      <c r="JS39" s="47"/>
      <c r="JT39" s="47"/>
      <c r="JU39" s="47"/>
      <c r="JV39" s="47"/>
      <c r="JW39" s="47"/>
      <c r="JX39" s="47"/>
      <c r="JY39" s="47"/>
      <c r="JZ39" s="47"/>
      <c r="KA39" s="47"/>
      <c r="KB39" s="47"/>
      <c r="KC39" s="47"/>
      <c r="KD39" s="47"/>
      <c r="KE39" s="47"/>
      <c r="KF39" s="47"/>
      <c r="KG39" s="47"/>
      <c r="KH39" s="47"/>
      <c r="KI39" s="47"/>
      <c r="KJ39" s="47"/>
      <c r="KK39" s="47"/>
      <c r="KL39" s="47"/>
      <c r="KM39" s="47"/>
      <c r="KN39" s="47"/>
      <c r="KO39" s="47"/>
      <c r="KP39" s="47"/>
      <c r="KQ39" s="47"/>
      <c r="KR39" s="47"/>
      <c r="KS39" s="47"/>
      <c r="KT39" s="47"/>
      <c r="KU39" s="47"/>
      <c r="KV39" s="47"/>
      <c r="KW39" s="47"/>
      <c r="KX39" s="47"/>
      <c r="KY39" s="47"/>
      <c r="KZ39" s="47"/>
      <c r="LA39" s="47"/>
      <c r="LB39" s="47"/>
      <c r="LC39" s="47"/>
      <c r="LD39" s="47"/>
      <c r="LE39" s="47"/>
      <c r="LF39" s="47"/>
      <c r="LG39" s="47"/>
      <c r="LH39" s="47"/>
      <c r="LI39" s="47"/>
      <c r="LJ39" s="47"/>
      <c r="LK39" s="47"/>
      <c r="LL39" s="47"/>
      <c r="LM39" s="47"/>
      <c r="LN39" s="47"/>
      <c r="LO39" s="47"/>
      <c r="LP39" s="47"/>
      <c r="LQ39" s="47"/>
      <c r="LR39" s="47"/>
      <c r="LS39" s="47"/>
      <c r="LT39" s="47"/>
      <c r="LU39" s="47"/>
      <c r="LV39" s="47"/>
      <c r="LW39" s="47"/>
      <c r="LX39" s="47"/>
      <c r="LY39" s="47"/>
      <c r="LZ39" s="47"/>
      <c r="MA39" s="47"/>
      <c r="MB39" s="47"/>
      <c r="MC39" s="47"/>
      <c r="MD39" s="47"/>
      <c r="ME39" s="47"/>
      <c r="MF39" s="47"/>
      <c r="MG39" s="47"/>
      <c r="MH39" s="47"/>
      <c r="MI39" s="47"/>
      <c r="MJ39" s="47"/>
      <c r="MK39" s="47"/>
      <c r="ML39" s="47"/>
      <c r="MM39" s="47"/>
      <c r="MN39" s="47"/>
      <c r="MO39" s="47"/>
      <c r="MP39" s="47"/>
      <c r="MQ39" s="47"/>
      <c r="MR39" s="47"/>
      <c r="MS39" s="47"/>
      <c r="MT39" s="47"/>
      <c r="MU39" s="47"/>
      <c r="MV39" s="47"/>
      <c r="MW39" s="47"/>
      <c r="MX39" s="47"/>
      <c r="MY39" s="47"/>
      <c r="MZ39" s="47"/>
      <c r="NA39" s="47"/>
      <c r="NB39" s="47"/>
      <c r="NC39" s="47"/>
      <c r="ND39" s="47"/>
      <c r="NE39" s="47"/>
      <c r="NF39" s="47"/>
      <c r="NG39" s="47"/>
      <c r="NH39" s="47"/>
      <c r="NI39" s="47"/>
      <c r="NJ39" s="47"/>
      <c r="NK39" s="47"/>
      <c r="NL39" s="47"/>
      <c r="NM39" s="47"/>
      <c r="NN39" s="47"/>
      <c r="NO39" s="47"/>
      <c r="NP39" s="47"/>
      <c r="NQ39" s="47"/>
      <c r="NR39" s="47"/>
      <c r="NS39" s="47"/>
      <c r="NT39" s="47"/>
      <c r="NU39" s="47"/>
      <c r="NV39" s="47"/>
      <c r="NW39" s="47"/>
      <c r="NX39" s="47"/>
      <c r="NY39" s="47"/>
      <c r="NZ39" s="47"/>
      <c r="OA39" s="47"/>
      <c r="OB39" s="47"/>
      <c r="OC39" s="47"/>
      <c r="OD39" s="47"/>
      <c r="OE39" s="48"/>
    </row>
    <row r="40" spans="1:395">
      <c r="A40" s="33" t="str">
        <f t="shared" si="15"/>
        <v/>
      </c>
      <c r="C40" s="2" t="str">
        <f>IF(ISBLANK($B40),"",_xlfn.XLOOKUP($B40,Task_No,Project!$C$3:$C$144,"INVALID TASK"))</f>
        <v/>
      </c>
      <c r="D40" s="27"/>
      <c r="E40" s="7" t="str">
        <f t="shared" si="17"/>
        <v/>
      </c>
      <c r="F40" s="7" t="str">
        <f t="shared" si="18"/>
        <v/>
      </c>
      <c r="G40" s="34"/>
      <c r="H40" s="34" t="str" cm="1">
        <f t="array" ref="H40">IF($C40="","",SUMPRODUCT((TEXT($AE$5:$OE$5, "mmm")=LOWER(G$3))*$AE40:$OE40))</f>
        <v/>
      </c>
      <c r="I40" s="34"/>
      <c r="J40" s="34" t="str" cm="1">
        <f t="array" ref="J40">IF($C40="","",SUMPRODUCT((TEXT($AE$5:$OE$5, "mmm")=LOWER(I$3))*$AE40:$OE40))</f>
        <v/>
      </c>
      <c r="K40" s="34"/>
      <c r="L40" s="34" t="str" cm="1">
        <f t="array" ref="L40">IF($C40="","",SUMPRODUCT((TEXT($AE$5:$OE$5, "mmm")=LOWER(K$3))*$AE40:$OE40))</f>
        <v/>
      </c>
      <c r="M40" s="34"/>
      <c r="N40" s="34" t="str" cm="1">
        <f t="array" ref="N40">IF($C40="","",SUMPRODUCT((TEXT($AE$5:$OE$5, "mmm")=LOWER(M$3))*$AE40:$OE40))</f>
        <v/>
      </c>
      <c r="O40" s="34"/>
      <c r="P40" s="34" t="str" cm="1">
        <f t="array" ref="P40">IF($C40="","",SUMPRODUCT((TEXT($AE$5:$OE$5, "mmm")=LOWER(O$3))*$AE40:$OE40))</f>
        <v/>
      </c>
      <c r="Q40" s="34"/>
      <c r="R40" s="34" t="str" cm="1">
        <f t="array" ref="R40">IF($C40="","",SUMPRODUCT((TEXT($AE$5:$OE$5, "mmm")=LOWER(Q$3))*$AE40:$OE40))</f>
        <v/>
      </c>
      <c r="S40" s="34"/>
      <c r="T40" s="34" t="str" cm="1">
        <f t="array" ref="T40">IF($C40="","",SUMPRODUCT((TEXT($AE$5:$OE$5, "mmm")=LOWER(S$3))*$AE40:$OE40))</f>
        <v/>
      </c>
      <c r="U40" s="34"/>
      <c r="V40" s="34" t="str" cm="1">
        <f t="array" ref="V40">IF($C40="","",SUMPRODUCT((TEXT($AE$5:$OE$5, "mmm")=LOWER(U$3))*$AE40:$OE40))</f>
        <v/>
      </c>
      <c r="W40" s="34"/>
      <c r="X40" s="34" t="str" cm="1">
        <f t="array" ref="X40">IF($C40="","",SUMPRODUCT((TEXT($AE$5:$OE$5, "mmm")=LOWER(W$3))*$AE40:$OE40))</f>
        <v/>
      </c>
      <c r="Y40" s="34"/>
      <c r="Z40" s="34" t="str" cm="1">
        <f t="array" ref="Z40">IF($C40="","",SUMPRODUCT((TEXT($AE$5:$OE$5, "mmm")=LOWER(Y$3))*$AE40:$OE40))</f>
        <v/>
      </c>
      <c r="AA40" s="34"/>
      <c r="AB40" s="34" t="str" cm="1">
        <f t="array" ref="AB40">IF($C40="","",SUMPRODUCT((TEXT($AE$5:$OE$5, "mmm")=LOWER(AA$3))*$AE40:$OE40))</f>
        <v/>
      </c>
      <c r="AC40" s="34"/>
      <c r="AD40" s="34" t="str" cm="1">
        <f t="array" ref="AD40">IF($C40="","",SUMPRODUCT((TEXT($AE$5:$OE$5, "mmm")=LOWER(AC$3))*$AE40:$OE40))</f>
        <v/>
      </c>
      <c r="AE40" s="47"/>
      <c r="AF40" s="47"/>
      <c r="AG40" s="47"/>
      <c r="AH40" s="47"/>
      <c r="AI40" s="47"/>
      <c r="AJ40" s="47"/>
      <c r="AK40" s="47"/>
      <c r="AL40" s="47"/>
      <c r="AM40" s="47"/>
      <c r="AN40" s="47"/>
      <c r="AO40" s="47"/>
      <c r="AP40" s="47"/>
      <c r="AQ40" s="47"/>
      <c r="AR40" s="47"/>
      <c r="AS40" s="47"/>
      <c r="AT40" s="47"/>
      <c r="AU40" s="47"/>
      <c r="AV40" s="47"/>
      <c r="AW40" s="47"/>
      <c r="AX40" s="47"/>
      <c r="AY40" s="47"/>
      <c r="AZ40" s="47"/>
      <c r="BA40" s="47"/>
      <c r="BB40" s="47"/>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c r="CK40" s="47"/>
      <c r="CL40" s="47"/>
      <c r="CM40" s="47"/>
      <c r="CN40" s="47"/>
      <c r="CO40" s="47"/>
      <c r="CP40" s="47"/>
      <c r="CQ40" s="47"/>
      <c r="CR40" s="47"/>
      <c r="CS40" s="47"/>
      <c r="CT40" s="47"/>
      <c r="CU40" s="47"/>
      <c r="CV40" s="47"/>
      <c r="CW40" s="47"/>
      <c r="CX40" s="47"/>
      <c r="CY40" s="47"/>
      <c r="CZ40" s="47"/>
      <c r="DA40" s="47"/>
      <c r="DB40" s="47"/>
      <c r="DC40" s="47"/>
      <c r="DD40" s="47"/>
      <c r="DE40" s="47"/>
      <c r="DF40" s="47"/>
      <c r="DG40" s="47"/>
      <c r="DH40" s="47"/>
      <c r="DI40" s="47"/>
      <c r="DJ40" s="47"/>
      <c r="DK40" s="47"/>
      <c r="DL40" s="47"/>
      <c r="DM40" s="47"/>
      <c r="DN40" s="47"/>
      <c r="DO40" s="47"/>
      <c r="DP40" s="47"/>
      <c r="DQ40" s="47"/>
      <c r="DR40" s="47"/>
      <c r="DS40" s="47"/>
      <c r="DT40" s="47"/>
      <c r="DU40" s="47"/>
      <c r="DV40" s="47"/>
      <c r="DW40" s="47"/>
      <c r="DX40" s="47"/>
      <c r="DY40" s="47"/>
      <c r="DZ40" s="47"/>
      <c r="EA40" s="47"/>
      <c r="EB40" s="47"/>
      <c r="EC40" s="47"/>
      <c r="ED40" s="47"/>
      <c r="EE40" s="47"/>
      <c r="EF40" s="47"/>
      <c r="EG40" s="47"/>
      <c r="EH40" s="47"/>
      <c r="EI40" s="47"/>
      <c r="EJ40" s="47"/>
      <c r="EK40" s="47"/>
      <c r="EL40" s="47"/>
      <c r="EM40" s="47"/>
      <c r="EN40" s="47"/>
      <c r="EO40" s="47"/>
      <c r="EP40" s="47"/>
      <c r="EQ40" s="47"/>
      <c r="ER40" s="47"/>
      <c r="ES40" s="47"/>
      <c r="ET40" s="47"/>
      <c r="EU40" s="47"/>
      <c r="EV40" s="47"/>
      <c r="EW40" s="47"/>
      <c r="EX40" s="47"/>
      <c r="EY40" s="47"/>
      <c r="EZ40" s="47"/>
      <c r="FA40" s="47"/>
      <c r="FB40" s="47"/>
      <c r="FC40" s="47"/>
      <c r="FD40" s="47"/>
      <c r="FE40" s="47"/>
      <c r="FF40" s="47"/>
      <c r="FG40" s="47"/>
      <c r="FH40" s="47"/>
      <c r="FI40" s="47"/>
      <c r="FJ40" s="47"/>
      <c r="FK40" s="47"/>
      <c r="FL40" s="47"/>
      <c r="FM40" s="47"/>
      <c r="FN40" s="47"/>
      <c r="FO40" s="47"/>
      <c r="FP40" s="47"/>
      <c r="FQ40" s="47"/>
      <c r="FR40" s="47"/>
      <c r="FS40" s="47"/>
      <c r="FT40" s="47"/>
      <c r="FU40" s="47"/>
      <c r="FV40" s="47"/>
      <c r="FW40" s="47"/>
      <c r="FX40" s="47"/>
      <c r="FY40" s="47"/>
      <c r="FZ40" s="47"/>
      <c r="GA40" s="47"/>
      <c r="GB40" s="47"/>
      <c r="GC40" s="47"/>
      <c r="GD40" s="47"/>
      <c r="GE40" s="47"/>
      <c r="GF40" s="47"/>
      <c r="GG40" s="47"/>
      <c r="GH40" s="47"/>
      <c r="GI40" s="47"/>
      <c r="GJ40" s="47"/>
      <c r="GK40" s="47"/>
      <c r="GL40" s="47"/>
      <c r="GM40" s="47"/>
      <c r="GN40" s="47"/>
      <c r="GO40" s="47"/>
      <c r="GP40" s="47"/>
      <c r="GQ40" s="47"/>
      <c r="GR40" s="47"/>
      <c r="GS40" s="47"/>
      <c r="GT40" s="47"/>
      <c r="GU40" s="47"/>
      <c r="GV40" s="47"/>
      <c r="GW40" s="47"/>
      <c r="GX40" s="47"/>
      <c r="GY40" s="47"/>
      <c r="GZ40" s="47"/>
      <c r="HA40" s="47"/>
      <c r="HB40" s="47"/>
      <c r="HC40" s="47"/>
      <c r="HD40" s="47"/>
      <c r="HE40" s="47"/>
      <c r="HF40" s="47"/>
      <c r="HG40" s="47"/>
      <c r="HH40" s="47"/>
      <c r="HI40" s="47"/>
      <c r="HJ40" s="47"/>
      <c r="HK40" s="47"/>
      <c r="HL40" s="47"/>
      <c r="HM40" s="47"/>
      <c r="HN40" s="47"/>
      <c r="HO40" s="47"/>
      <c r="HP40" s="47"/>
      <c r="HQ40" s="47"/>
      <c r="HR40" s="47"/>
      <c r="HS40" s="47"/>
      <c r="HT40" s="47"/>
      <c r="HU40" s="47"/>
      <c r="HV40" s="47"/>
      <c r="HW40" s="47"/>
      <c r="HX40" s="47"/>
      <c r="HY40" s="47"/>
      <c r="HZ40" s="47"/>
      <c r="IA40" s="47"/>
      <c r="IB40" s="47"/>
      <c r="IC40" s="47"/>
      <c r="ID40" s="47"/>
      <c r="IE40" s="47"/>
      <c r="IF40" s="47"/>
      <c r="IG40" s="47"/>
      <c r="IH40" s="47"/>
      <c r="II40" s="47"/>
      <c r="IJ40" s="47"/>
      <c r="IK40" s="47"/>
      <c r="IL40" s="47"/>
      <c r="IM40" s="47"/>
      <c r="IN40" s="47"/>
      <c r="IO40" s="47"/>
      <c r="IP40" s="47"/>
      <c r="IQ40" s="47"/>
      <c r="IR40" s="47"/>
      <c r="IS40" s="47"/>
      <c r="IT40" s="47"/>
      <c r="IU40" s="47"/>
      <c r="IV40" s="47"/>
      <c r="IW40" s="47"/>
      <c r="IX40" s="47"/>
      <c r="IY40" s="47"/>
      <c r="IZ40" s="47"/>
      <c r="JA40" s="47"/>
      <c r="JB40" s="47"/>
      <c r="JC40" s="47"/>
      <c r="JD40" s="47"/>
      <c r="JE40" s="47"/>
      <c r="JF40" s="47"/>
      <c r="JG40" s="47"/>
      <c r="JH40" s="47"/>
      <c r="JI40" s="47"/>
      <c r="JJ40" s="47"/>
      <c r="JK40" s="47"/>
      <c r="JL40" s="47"/>
      <c r="JM40" s="47"/>
      <c r="JN40" s="47"/>
      <c r="JO40" s="47"/>
      <c r="JP40" s="47"/>
      <c r="JQ40" s="47"/>
      <c r="JR40" s="47"/>
      <c r="JS40" s="47"/>
      <c r="JT40" s="47"/>
      <c r="JU40" s="47"/>
      <c r="JV40" s="47"/>
      <c r="JW40" s="47"/>
      <c r="JX40" s="47"/>
      <c r="JY40" s="47"/>
      <c r="JZ40" s="47"/>
      <c r="KA40" s="47"/>
      <c r="KB40" s="47"/>
      <c r="KC40" s="47"/>
      <c r="KD40" s="47"/>
      <c r="KE40" s="47"/>
      <c r="KF40" s="47"/>
      <c r="KG40" s="47"/>
      <c r="KH40" s="47"/>
      <c r="KI40" s="47"/>
      <c r="KJ40" s="47"/>
      <c r="KK40" s="47"/>
      <c r="KL40" s="47"/>
      <c r="KM40" s="47"/>
      <c r="KN40" s="47"/>
      <c r="KO40" s="47"/>
      <c r="KP40" s="47"/>
      <c r="KQ40" s="47"/>
      <c r="KR40" s="47"/>
      <c r="KS40" s="47"/>
      <c r="KT40" s="47"/>
      <c r="KU40" s="47"/>
      <c r="KV40" s="47"/>
      <c r="KW40" s="47"/>
      <c r="KX40" s="47"/>
      <c r="KY40" s="47"/>
      <c r="KZ40" s="47"/>
      <c r="LA40" s="47"/>
      <c r="LB40" s="47"/>
      <c r="LC40" s="47"/>
      <c r="LD40" s="47"/>
      <c r="LE40" s="47"/>
      <c r="LF40" s="47"/>
      <c r="LG40" s="47"/>
      <c r="LH40" s="47"/>
      <c r="LI40" s="47"/>
      <c r="LJ40" s="47"/>
      <c r="LK40" s="47"/>
      <c r="LL40" s="47"/>
      <c r="LM40" s="47"/>
      <c r="LN40" s="47"/>
      <c r="LO40" s="47"/>
      <c r="LP40" s="47"/>
      <c r="LQ40" s="47"/>
      <c r="LR40" s="47"/>
      <c r="LS40" s="47"/>
      <c r="LT40" s="47"/>
      <c r="LU40" s="47"/>
      <c r="LV40" s="47"/>
      <c r="LW40" s="47"/>
      <c r="LX40" s="47"/>
      <c r="LY40" s="47"/>
      <c r="LZ40" s="47"/>
      <c r="MA40" s="47"/>
      <c r="MB40" s="47"/>
      <c r="MC40" s="47"/>
      <c r="MD40" s="47"/>
      <c r="ME40" s="47"/>
      <c r="MF40" s="47"/>
      <c r="MG40" s="47"/>
      <c r="MH40" s="47"/>
      <c r="MI40" s="47"/>
      <c r="MJ40" s="47"/>
      <c r="MK40" s="47"/>
      <c r="ML40" s="47"/>
      <c r="MM40" s="47"/>
      <c r="MN40" s="47"/>
      <c r="MO40" s="47"/>
      <c r="MP40" s="47"/>
      <c r="MQ40" s="47"/>
      <c r="MR40" s="47"/>
      <c r="MS40" s="47"/>
      <c r="MT40" s="47"/>
      <c r="MU40" s="47"/>
      <c r="MV40" s="47"/>
      <c r="MW40" s="47"/>
      <c r="MX40" s="47"/>
      <c r="MY40" s="47"/>
      <c r="MZ40" s="47"/>
      <c r="NA40" s="47"/>
      <c r="NB40" s="47"/>
      <c r="NC40" s="47"/>
      <c r="ND40" s="47"/>
      <c r="NE40" s="47"/>
      <c r="NF40" s="47"/>
      <c r="NG40" s="47"/>
      <c r="NH40" s="47"/>
      <c r="NI40" s="47"/>
      <c r="NJ40" s="47"/>
      <c r="NK40" s="47"/>
      <c r="NL40" s="47"/>
      <c r="NM40" s="47"/>
      <c r="NN40" s="47"/>
      <c r="NO40" s="47"/>
      <c r="NP40" s="47"/>
      <c r="NQ40" s="47"/>
      <c r="NR40" s="47"/>
      <c r="NS40" s="47"/>
      <c r="NT40" s="47"/>
      <c r="NU40" s="47"/>
      <c r="NV40" s="47"/>
      <c r="NW40" s="47"/>
      <c r="NX40" s="47"/>
      <c r="NY40" s="47"/>
      <c r="NZ40" s="47"/>
      <c r="OA40" s="47"/>
      <c r="OB40" s="47"/>
      <c r="OC40" s="47"/>
      <c r="OD40" s="47"/>
      <c r="OE40" s="48"/>
    </row>
    <row r="41" spans="1:395">
      <c r="A41" s="33" t="str">
        <f t="shared" si="15"/>
        <v/>
      </c>
      <c r="C41" s="2" t="str">
        <f>IF(ISBLANK($B41),"",_xlfn.XLOOKUP($B41,Task_No,Project!$C$3:$C$144,"INVALID TASK"))</f>
        <v/>
      </c>
      <c r="D41" s="27"/>
      <c r="E41" s="7" t="str">
        <f t="shared" si="17"/>
        <v/>
      </c>
      <c r="F41" s="7" t="str">
        <f t="shared" si="18"/>
        <v/>
      </c>
      <c r="G41" s="34"/>
      <c r="H41" s="34" t="str" cm="1">
        <f t="array" ref="H41">IF($C41="","",SUMPRODUCT((TEXT($AE$5:$OE$5, "mmm")=LOWER(G$3))*$AE41:$OE41))</f>
        <v/>
      </c>
      <c r="I41" s="34"/>
      <c r="J41" s="34" t="str" cm="1">
        <f t="array" ref="J41">IF($C41="","",SUMPRODUCT((TEXT($AE$5:$OE$5, "mmm")=LOWER(I$3))*$AE41:$OE41))</f>
        <v/>
      </c>
      <c r="K41" s="34"/>
      <c r="L41" s="34" t="str" cm="1">
        <f t="array" ref="L41">IF($C41="","",SUMPRODUCT((TEXT($AE$5:$OE$5, "mmm")=LOWER(K$3))*$AE41:$OE41))</f>
        <v/>
      </c>
      <c r="M41" s="34"/>
      <c r="N41" s="34" t="str" cm="1">
        <f t="array" ref="N41">IF($C41="","",SUMPRODUCT((TEXT($AE$5:$OE$5, "mmm")=LOWER(M$3))*$AE41:$OE41))</f>
        <v/>
      </c>
      <c r="O41" s="34"/>
      <c r="P41" s="34" t="str" cm="1">
        <f t="array" ref="P41">IF($C41="","",SUMPRODUCT((TEXT($AE$5:$OE$5, "mmm")=LOWER(O$3))*$AE41:$OE41))</f>
        <v/>
      </c>
      <c r="Q41" s="34"/>
      <c r="R41" s="34" t="str" cm="1">
        <f t="array" ref="R41">IF($C41="","",SUMPRODUCT((TEXT($AE$5:$OE$5, "mmm")=LOWER(Q$3))*$AE41:$OE41))</f>
        <v/>
      </c>
      <c r="S41" s="34"/>
      <c r="T41" s="34" t="str" cm="1">
        <f t="array" ref="T41">IF($C41="","",SUMPRODUCT((TEXT($AE$5:$OE$5, "mmm")=LOWER(S$3))*$AE41:$OE41))</f>
        <v/>
      </c>
      <c r="U41" s="34"/>
      <c r="V41" s="34" t="str" cm="1">
        <f t="array" ref="V41">IF($C41="","",SUMPRODUCT((TEXT($AE$5:$OE$5, "mmm")=LOWER(U$3))*$AE41:$OE41))</f>
        <v/>
      </c>
      <c r="W41" s="34"/>
      <c r="X41" s="34" t="str" cm="1">
        <f t="array" ref="X41">IF($C41="","",SUMPRODUCT((TEXT($AE$5:$OE$5, "mmm")=LOWER(W$3))*$AE41:$OE41))</f>
        <v/>
      </c>
      <c r="Y41" s="34"/>
      <c r="Z41" s="34" t="str" cm="1">
        <f t="array" ref="Z41">IF($C41="","",SUMPRODUCT((TEXT($AE$5:$OE$5, "mmm")=LOWER(Y$3))*$AE41:$OE41))</f>
        <v/>
      </c>
      <c r="AA41" s="34"/>
      <c r="AB41" s="34" t="str" cm="1">
        <f t="array" ref="AB41">IF($C41="","",SUMPRODUCT((TEXT($AE$5:$OE$5, "mmm")=LOWER(AA$3))*$AE41:$OE41))</f>
        <v/>
      </c>
      <c r="AC41" s="34"/>
      <c r="AD41" s="34" t="str" cm="1">
        <f t="array" ref="AD41">IF($C41="","",SUMPRODUCT((TEXT($AE$5:$OE$5, "mmm")=LOWER(AC$3))*$AE41:$OE41))</f>
        <v/>
      </c>
      <c r="AE41" s="47"/>
      <c r="AF41" s="47"/>
      <c r="AG41" s="47"/>
      <c r="AH41" s="47"/>
      <c r="AI41" s="47"/>
      <c r="AJ41" s="47"/>
      <c r="AK41" s="47"/>
      <c r="AL41" s="47"/>
      <c r="AM41" s="47"/>
      <c r="AN41" s="47"/>
      <c r="AO41" s="47"/>
      <c r="AP41" s="47"/>
      <c r="AQ41" s="47"/>
      <c r="AR41" s="47"/>
      <c r="AS41" s="47"/>
      <c r="AT41" s="47"/>
      <c r="AU41" s="47"/>
      <c r="AV41" s="47"/>
      <c r="AW41" s="47"/>
      <c r="AX41" s="47"/>
      <c r="AY41" s="47"/>
      <c r="AZ41" s="47"/>
      <c r="BA41" s="47"/>
      <c r="BB41" s="47"/>
      <c r="BC41" s="47"/>
      <c r="BD41" s="47"/>
      <c r="BE41" s="47"/>
      <c r="BF41" s="47"/>
      <c r="BG41" s="47"/>
      <c r="BH41" s="47"/>
      <c r="BI41" s="47"/>
      <c r="BJ41" s="47"/>
      <c r="BK41" s="47"/>
      <c r="BL41" s="47"/>
      <c r="BM41" s="47"/>
      <c r="BN41" s="47"/>
      <c r="BO41" s="47"/>
      <c r="BP41" s="47"/>
      <c r="BQ41" s="47"/>
      <c r="BR41" s="47"/>
      <c r="BS41" s="47"/>
      <c r="BT41" s="47"/>
      <c r="BU41" s="47"/>
      <c r="BV41" s="47"/>
      <c r="BW41" s="47"/>
      <c r="BX41" s="47"/>
      <c r="BY41" s="47"/>
      <c r="BZ41" s="47"/>
      <c r="CA41" s="47"/>
      <c r="CB41" s="47"/>
      <c r="CC41" s="47"/>
      <c r="CD41" s="47"/>
      <c r="CE41" s="47"/>
      <c r="CF41" s="47"/>
      <c r="CG41" s="47"/>
      <c r="CH41" s="47"/>
      <c r="CI41" s="47"/>
      <c r="CJ41" s="47"/>
      <c r="CK41" s="47"/>
      <c r="CL41" s="47"/>
      <c r="CM41" s="47"/>
      <c r="CN41" s="47"/>
      <c r="CO41" s="47"/>
      <c r="CP41" s="47"/>
      <c r="CQ41" s="47"/>
      <c r="CR41" s="47"/>
      <c r="CS41" s="47"/>
      <c r="CT41" s="47"/>
      <c r="CU41" s="47"/>
      <c r="CV41" s="47"/>
      <c r="CW41" s="47"/>
      <c r="CX41" s="47"/>
      <c r="CY41" s="47"/>
      <c r="CZ41" s="47"/>
      <c r="DA41" s="47"/>
      <c r="DB41" s="47"/>
      <c r="DC41" s="47"/>
      <c r="DD41" s="47"/>
      <c r="DE41" s="47"/>
      <c r="DF41" s="47"/>
      <c r="DG41" s="47"/>
      <c r="DH41" s="47"/>
      <c r="DI41" s="47"/>
      <c r="DJ41" s="47"/>
      <c r="DK41" s="47"/>
      <c r="DL41" s="47"/>
      <c r="DM41" s="47"/>
      <c r="DN41" s="47"/>
      <c r="DO41" s="47"/>
      <c r="DP41" s="47"/>
      <c r="DQ41" s="47"/>
      <c r="DR41" s="47"/>
      <c r="DS41" s="47"/>
      <c r="DT41" s="47"/>
      <c r="DU41" s="47"/>
      <c r="DV41" s="47"/>
      <c r="DW41" s="47"/>
      <c r="DX41" s="47"/>
      <c r="DY41" s="47"/>
      <c r="DZ41" s="47"/>
      <c r="EA41" s="47"/>
      <c r="EB41" s="47"/>
      <c r="EC41" s="47"/>
      <c r="ED41" s="47"/>
      <c r="EE41" s="47"/>
      <c r="EF41" s="47"/>
      <c r="EG41" s="47"/>
      <c r="EH41" s="47"/>
      <c r="EI41" s="47"/>
      <c r="EJ41" s="47"/>
      <c r="EK41" s="47"/>
      <c r="EL41" s="47"/>
      <c r="EM41" s="47"/>
      <c r="EN41" s="47"/>
      <c r="EO41" s="47"/>
      <c r="EP41" s="47"/>
      <c r="EQ41" s="47"/>
      <c r="ER41" s="47"/>
      <c r="ES41" s="47"/>
      <c r="ET41" s="47"/>
      <c r="EU41" s="47"/>
      <c r="EV41" s="47"/>
      <c r="EW41" s="47"/>
      <c r="EX41" s="47"/>
      <c r="EY41" s="47"/>
      <c r="EZ41" s="47"/>
      <c r="FA41" s="47"/>
      <c r="FB41" s="47"/>
      <c r="FC41" s="47"/>
      <c r="FD41" s="47"/>
      <c r="FE41" s="47"/>
      <c r="FF41" s="47"/>
      <c r="FG41" s="47"/>
      <c r="FH41" s="47"/>
      <c r="FI41" s="47"/>
      <c r="FJ41" s="47"/>
      <c r="FK41" s="47"/>
      <c r="FL41" s="47"/>
      <c r="FM41" s="47"/>
      <c r="FN41" s="47"/>
      <c r="FO41" s="47"/>
      <c r="FP41" s="47"/>
      <c r="FQ41" s="47"/>
      <c r="FR41" s="47"/>
      <c r="FS41" s="47"/>
      <c r="FT41" s="47"/>
      <c r="FU41" s="47"/>
      <c r="FV41" s="47"/>
      <c r="FW41" s="47"/>
      <c r="FX41" s="47"/>
      <c r="FY41" s="47"/>
      <c r="FZ41" s="47"/>
      <c r="GA41" s="47"/>
      <c r="GB41" s="47"/>
      <c r="GC41" s="47"/>
      <c r="GD41" s="47"/>
      <c r="GE41" s="47"/>
      <c r="GF41" s="47"/>
      <c r="GG41" s="47"/>
      <c r="GH41" s="47"/>
      <c r="GI41" s="47"/>
      <c r="GJ41" s="47"/>
      <c r="GK41" s="47"/>
      <c r="GL41" s="47"/>
      <c r="GM41" s="47"/>
      <c r="GN41" s="47"/>
      <c r="GO41" s="47"/>
      <c r="GP41" s="47"/>
      <c r="GQ41" s="47"/>
      <c r="GR41" s="47"/>
      <c r="GS41" s="47"/>
      <c r="GT41" s="47"/>
      <c r="GU41" s="47"/>
      <c r="GV41" s="47"/>
      <c r="GW41" s="47"/>
      <c r="GX41" s="47"/>
      <c r="GY41" s="47"/>
      <c r="GZ41" s="47"/>
      <c r="HA41" s="47"/>
      <c r="HB41" s="47"/>
      <c r="HC41" s="47"/>
      <c r="HD41" s="47"/>
      <c r="HE41" s="47"/>
      <c r="HF41" s="47"/>
      <c r="HG41" s="47"/>
      <c r="HH41" s="47"/>
      <c r="HI41" s="47"/>
      <c r="HJ41" s="47"/>
      <c r="HK41" s="47"/>
      <c r="HL41" s="47"/>
      <c r="HM41" s="47"/>
      <c r="HN41" s="47"/>
      <c r="HO41" s="47"/>
      <c r="HP41" s="47"/>
      <c r="HQ41" s="47"/>
      <c r="HR41" s="47"/>
      <c r="HS41" s="47"/>
      <c r="HT41" s="47"/>
      <c r="HU41" s="47"/>
      <c r="HV41" s="47"/>
      <c r="HW41" s="47"/>
      <c r="HX41" s="47"/>
      <c r="HY41" s="47"/>
      <c r="HZ41" s="47"/>
      <c r="IA41" s="47"/>
      <c r="IB41" s="47"/>
      <c r="IC41" s="47"/>
      <c r="ID41" s="47"/>
      <c r="IE41" s="47"/>
      <c r="IF41" s="47"/>
      <c r="IG41" s="47"/>
      <c r="IH41" s="47"/>
      <c r="II41" s="47"/>
      <c r="IJ41" s="47"/>
      <c r="IK41" s="47"/>
      <c r="IL41" s="47"/>
      <c r="IM41" s="47"/>
      <c r="IN41" s="47"/>
      <c r="IO41" s="47"/>
      <c r="IP41" s="47"/>
      <c r="IQ41" s="47"/>
      <c r="IR41" s="47"/>
      <c r="IS41" s="47"/>
      <c r="IT41" s="47"/>
      <c r="IU41" s="47"/>
      <c r="IV41" s="47"/>
      <c r="IW41" s="47"/>
      <c r="IX41" s="47"/>
      <c r="IY41" s="47"/>
      <c r="IZ41" s="47"/>
      <c r="JA41" s="47"/>
      <c r="JB41" s="47"/>
      <c r="JC41" s="47"/>
      <c r="JD41" s="47"/>
      <c r="JE41" s="47"/>
      <c r="JF41" s="47"/>
      <c r="JG41" s="47"/>
      <c r="JH41" s="47"/>
      <c r="JI41" s="47"/>
      <c r="JJ41" s="47"/>
      <c r="JK41" s="47"/>
      <c r="JL41" s="47"/>
      <c r="JM41" s="47"/>
      <c r="JN41" s="47"/>
      <c r="JO41" s="47"/>
      <c r="JP41" s="47"/>
      <c r="JQ41" s="47"/>
      <c r="JR41" s="47"/>
      <c r="JS41" s="47"/>
      <c r="JT41" s="47"/>
      <c r="JU41" s="47"/>
      <c r="JV41" s="47"/>
      <c r="JW41" s="47"/>
      <c r="JX41" s="47"/>
      <c r="JY41" s="47"/>
      <c r="JZ41" s="47"/>
      <c r="KA41" s="47"/>
      <c r="KB41" s="47"/>
      <c r="KC41" s="47"/>
      <c r="KD41" s="47"/>
      <c r="KE41" s="47"/>
      <c r="KF41" s="47"/>
      <c r="KG41" s="47"/>
      <c r="KH41" s="47"/>
      <c r="KI41" s="47"/>
      <c r="KJ41" s="47"/>
      <c r="KK41" s="47"/>
      <c r="KL41" s="47"/>
      <c r="KM41" s="47"/>
      <c r="KN41" s="47"/>
      <c r="KO41" s="47"/>
      <c r="KP41" s="47"/>
      <c r="KQ41" s="47"/>
      <c r="KR41" s="47"/>
      <c r="KS41" s="47"/>
      <c r="KT41" s="47"/>
      <c r="KU41" s="47"/>
      <c r="KV41" s="47"/>
      <c r="KW41" s="47"/>
      <c r="KX41" s="47"/>
      <c r="KY41" s="47"/>
      <c r="KZ41" s="47"/>
      <c r="LA41" s="47"/>
      <c r="LB41" s="47"/>
      <c r="LC41" s="47"/>
      <c r="LD41" s="47"/>
      <c r="LE41" s="47"/>
      <c r="LF41" s="47"/>
      <c r="LG41" s="47"/>
      <c r="LH41" s="47"/>
      <c r="LI41" s="47"/>
      <c r="LJ41" s="47"/>
      <c r="LK41" s="47"/>
      <c r="LL41" s="47"/>
      <c r="LM41" s="47"/>
      <c r="LN41" s="47"/>
      <c r="LO41" s="47"/>
      <c r="LP41" s="47"/>
      <c r="LQ41" s="47"/>
      <c r="LR41" s="47"/>
      <c r="LS41" s="47"/>
      <c r="LT41" s="47"/>
      <c r="LU41" s="47"/>
      <c r="LV41" s="47"/>
      <c r="LW41" s="47"/>
      <c r="LX41" s="47"/>
      <c r="LY41" s="47"/>
      <c r="LZ41" s="47"/>
      <c r="MA41" s="47"/>
      <c r="MB41" s="47"/>
      <c r="MC41" s="47"/>
      <c r="MD41" s="47"/>
      <c r="ME41" s="47"/>
      <c r="MF41" s="47"/>
      <c r="MG41" s="47"/>
      <c r="MH41" s="47"/>
      <c r="MI41" s="47"/>
      <c r="MJ41" s="47"/>
      <c r="MK41" s="47"/>
      <c r="ML41" s="47"/>
      <c r="MM41" s="47"/>
      <c r="MN41" s="47"/>
      <c r="MO41" s="47"/>
      <c r="MP41" s="47"/>
      <c r="MQ41" s="47"/>
      <c r="MR41" s="47"/>
      <c r="MS41" s="47"/>
      <c r="MT41" s="47"/>
      <c r="MU41" s="47"/>
      <c r="MV41" s="47"/>
      <c r="MW41" s="47"/>
      <c r="MX41" s="47"/>
      <c r="MY41" s="47"/>
      <c r="MZ41" s="47"/>
      <c r="NA41" s="47"/>
      <c r="NB41" s="47"/>
      <c r="NC41" s="47"/>
      <c r="ND41" s="47"/>
      <c r="NE41" s="47"/>
      <c r="NF41" s="47"/>
      <c r="NG41" s="47"/>
      <c r="NH41" s="47"/>
      <c r="NI41" s="47"/>
      <c r="NJ41" s="47"/>
      <c r="NK41" s="47"/>
      <c r="NL41" s="47"/>
      <c r="NM41" s="47"/>
      <c r="NN41" s="47"/>
      <c r="NO41" s="47"/>
      <c r="NP41" s="47"/>
      <c r="NQ41" s="47"/>
      <c r="NR41" s="47"/>
      <c r="NS41" s="47"/>
      <c r="NT41" s="47"/>
      <c r="NU41" s="47"/>
      <c r="NV41" s="47"/>
      <c r="NW41" s="47"/>
      <c r="NX41" s="47"/>
      <c r="NY41" s="47"/>
      <c r="NZ41" s="47"/>
      <c r="OA41" s="47"/>
      <c r="OB41" s="47"/>
      <c r="OC41" s="47"/>
      <c r="OD41" s="47"/>
      <c r="OE41" s="48"/>
    </row>
    <row r="42" spans="1:395">
      <c r="A42" s="33" t="str">
        <f t="shared" si="15"/>
        <v/>
      </c>
      <c r="C42" s="2" t="str">
        <f>IF(ISBLANK($B42),"",_xlfn.XLOOKUP($B42,Task_No,Project!$C$3:$C$144,"INVALID TASK"))</f>
        <v/>
      </c>
      <c r="D42" s="27"/>
      <c r="E42" s="7" t="str">
        <f t="shared" si="17"/>
        <v/>
      </c>
      <c r="F42" s="7" t="str">
        <f t="shared" si="18"/>
        <v/>
      </c>
      <c r="G42" s="34"/>
      <c r="H42" s="34" t="str" cm="1">
        <f t="array" ref="H42">IF($C42="","",SUMPRODUCT((TEXT($AE$5:$OE$5, "mmm")=LOWER(G$3))*$AE42:$OE42))</f>
        <v/>
      </c>
      <c r="I42" s="34"/>
      <c r="J42" s="34" t="str" cm="1">
        <f t="array" ref="J42">IF($C42="","",SUMPRODUCT((TEXT($AE$5:$OE$5, "mmm")=LOWER(I$3))*$AE42:$OE42))</f>
        <v/>
      </c>
      <c r="K42" s="34"/>
      <c r="L42" s="34" t="str" cm="1">
        <f t="array" ref="L42">IF($C42="","",SUMPRODUCT((TEXT($AE$5:$OE$5, "mmm")=LOWER(K$3))*$AE42:$OE42))</f>
        <v/>
      </c>
      <c r="M42" s="34"/>
      <c r="N42" s="34" t="str" cm="1">
        <f t="array" ref="N42">IF($C42="","",SUMPRODUCT((TEXT($AE$5:$OE$5, "mmm")=LOWER(M$3))*$AE42:$OE42))</f>
        <v/>
      </c>
      <c r="O42" s="34"/>
      <c r="P42" s="34" t="str" cm="1">
        <f t="array" ref="P42">IF($C42="","",SUMPRODUCT((TEXT($AE$5:$OE$5, "mmm")=LOWER(O$3))*$AE42:$OE42))</f>
        <v/>
      </c>
      <c r="Q42" s="34"/>
      <c r="R42" s="34" t="str" cm="1">
        <f t="array" ref="R42">IF($C42="","",SUMPRODUCT((TEXT($AE$5:$OE$5, "mmm")=LOWER(Q$3))*$AE42:$OE42))</f>
        <v/>
      </c>
      <c r="S42" s="34"/>
      <c r="T42" s="34" t="str" cm="1">
        <f t="array" ref="T42">IF($C42="","",SUMPRODUCT((TEXT($AE$5:$OE$5, "mmm")=LOWER(S$3))*$AE42:$OE42))</f>
        <v/>
      </c>
      <c r="U42" s="34"/>
      <c r="V42" s="34" t="str" cm="1">
        <f t="array" ref="V42">IF($C42="","",SUMPRODUCT((TEXT($AE$5:$OE$5, "mmm")=LOWER(U$3))*$AE42:$OE42))</f>
        <v/>
      </c>
      <c r="W42" s="34"/>
      <c r="X42" s="34" t="str" cm="1">
        <f t="array" ref="X42">IF($C42="","",SUMPRODUCT((TEXT($AE$5:$OE$5, "mmm")=LOWER(W$3))*$AE42:$OE42))</f>
        <v/>
      </c>
      <c r="Y42" s="34"/>
      <c r="Z42" s="34" t="str" cm="1">
        <f t="array" ref="Z42">IF($C42="","",SUMPRODUCT((TEXT($AE$5:$OE$5, "mmm")=LOWER(Y$3))*$AE42:$OE42))</f>
        <v/>
      </c>
      <c r="AA42" s="34"/>
      <c r="AB42" s="34" t="str" cm="1">
        <f t="array" ref="AB42">IF($C42="","",SUMPRODUCT((TEXT($AE$5:$OE$5, "mmm")=LOWER(AA$3))*$AE42:$OE42))</f>
        <v/>
      </c>
      <c r="AC42" s="34"/>
      <c r="AD42" s="34" t="str" cm="1">
        <f t="array" ref="AD42">IF($C42="","",SUMPRODUCT((TEXT($AE$5:$OE$5, "mmm")=LOWER(AC$3))*$AE42:$OE42))</f>
        <v/>
      </c>
      <c r="AE42" s="47"/>
      <c r="AF42" s="47"/>
      <c r="AG42" s="47"/>
      <c r="AH42" s="47"/>
      <c r="AI42" s="47"/>
      <c r="AJ42" s="47"/>
      <c r="AK42" s="47"/>
      <c r="AL42" s="47"/>
      <c r="AM42" s="47"/>
      <c r="AN42" s="47"/>
      <c r="AO42" s="47"/>
      <c r="AP42" s="47"/>
      <c r="AQ42" s="47"/>
      <c r="AR42" s="47"/>
      <c r="AS42" s="47"/>
      <c r="AT42" s="47"/>
      <c r="AU42" s="47"/>
      <c r="AV42" s="47"/>
      <c r="AW42" s="47"/>
      <c r="AX42" s="47"/>
      <c r="AY42" s="47"/>
      <c r="AZ42" s="47"/>
      <c r="BA42" s="47"/>
      <c r="BB42" s="47"/>
      <c r="BC42" s="47"/>
      <c r="BD42" s="47"/>
      <c r="BE42" s="47"/>
      <c r="BF42" s="47"/>
      <c r="BG42" s="47"/>
      <c r="BH42" s="47"/>
      <c r="BI42" s="47"/>
      <c r="BJ42" s="47"/>
      <c r="BK42" s="47"/>
      <c r="BL42" s="47"/>
      <c r="BM42" s="47"/>
      <c r="BN42" s="47"/>
      <c r="BO42" s="47"/>
      <c r="BP42" s="47"/>
      <c r="BQ42" s="47"/>
      <c r="BR42" s="47"/>
      <c r="BS42" s="47"/>
      <c r="BT42" s="47"/>
      <c r="BU42" s="47"/>
      <c r="BV42" s="47"/>
      <c r="BW42" s="47"/>
      <c r="BX42" s="47"/>
      <c r="BY42" s="47"/>
      <c r="BZ42" s="47"/>
      <c r="CA42" s="47"/>
      <c r="CB42" s="47"/>
      <c r="CC42" s="47"/>
      <c r="CD42" s="47"/>
      <c r="CE42" s="47"/>
      <c r="CF42" s="47"/>
      <c r="CG42" s="47"/>
      <c r="CH42" s="47"/>
      <c r="CI42" s="47"/>
      <c r="CJ42" s="47"/>
      <c r="CK42" s="47"/>
      <c r="CL42" s="47"/>
      <c r="CM42" s="47"/>
      <c r="CN42" s="47"/>
      <c r="CO42" s="47"/>
      <c r="CP42" s="47"/>
      <c r="CQ42" s="47"/>
      <c r="CR42" s="47"/>
      <c r="CS42" s="47"/>
      <c r="CT42" s="47"/>
      <c r="CU42" s="47"/>
      <c r="CV42" s="47"/>
      <c r="CW42" s="47"/>
      <c r="CX42" s="47"/>
      <c r="CY42" s="47"/>
      <c r="CZ42" s="47"/>
      <c r="DA42" s="47"/>
      <c r="DB42" s="47"/>
      <c r="DC42" s="47"/>
      <c r="DD42" s="47"/>
      <c r="DE42" s="47"/>
      <c r="DF42" s="47"/>
      <c r="DG42" s="47"/>
      <c r="DH42" s="47"/>
      <c r="DI42" s="47"/>
      <c r="DJ42" s="47"/>
      <c r="DK42" s="47"/>
      <c r="DL42" s="47"/>
      <c r="DM42" s="47"/>
      <c r="DN42" s="47"/>
      <c r="DO42" s="47"/>
      <c r="DP42" s="47"/>
      <c r="DQ42" s="47"/>
      <c r="DR42" s="47"/>
      <c r="DS42" s="47"/>
      <c r="DT42" s="47"/>
      <c r="DU42" s="47"/>
      <c r="DV42" s="47"/>
      <c r="DW42" s="47"/>
      <c r="DX42" s="47"/>
      <c r="DY42" s="47"/>
      <c r="DZ42" s="47"/>
      <c r="EA42" s="47"/>
      <c r="EB42" s="47"/>
      <c r="EC42" s="47"/>
      <c r="ED42" s="47"/>
      <c r="EE42" s="47"/>
      <c r="EF42" s="47"/>
      <c r="EG42" s="47"/>
      <c r="EH42" s="47"/>
      <c r="EI42" s="47"/>
      <c r="EJ42" s="47"/>
      <c r="EK42" s="47"/>
      <c r="EL42" s="47"/>
      <c r="EM42" s="47"/>
      <c r="EN42" s="47"/>
      <c r="EO42" s="47"/>
      <c r="EP42" s="47"/>
      <c r="EQ42" s="47"/>
      <c r="ER42" s="47"/>
      <c r="ES42" s="47"/>
      <c r="ET42" s="47"/>
      <c r="EU42" s="47"/>
      <c r="EV42" s="47"/>
      <c r="EW42" s="47"/>
      <c r="EX42" s="47"/>
      <c r="EY42" s="47"/>
      <c r="EZ42" s="47"/>
      <c r="FA42" s="47"/>
      <c r="FB42" s="47"/>
      <c r="FC42" s="47"/>
      <c r="FD42" s="47"/>
      <c r="FE42" s="47"/>
      <c r="FF42" s="47"/>
      <c r="FG42" s="47"/>
      <c r="FH42" s="47"/>
      <c r="FI42" s="47"/>
      <c r="FJ42" s="47"/>
      <c r="FK42" s="47"/>
      <c r="FL42" s="47"/>
      <c r="FM42" s="47"/>
      <c r="FN42" s="47"/>
      <c r="FO42" s="47"/>
      <c r="FP42" s="47"/>
      <c r="FQ42" s="47"/>
      <c r="FR42" s="47"/>
      <c r="FS42" s="47"/>
      <c r="FT42" s="47"/>
      <c r="FU42" s="47"/>
      <c r="FV42" s="47"/>
      <c r="FW42" s="47"/>
      <c r="FX42" s="47"/>
      <c r="FY42" s="47"/>
      <c r="FZ42" s="47"/>
      <c r="GA42" s="47"/>
      <c r="GB42" s="47"/>
      <c r="GC42" s="47"/>
      <c r="GD42" s="47"/>
      <c r="GE42" s="47"/>
      <c r="GF42" s="47"/>
      <c r="GG42" s="47"/>
      <c r="GH42" s="47"/>
      <c r="GI42" s="47"/>
      <c r="GJ42" s="47"/>
      <c r="GK42" s="47"/>
      <c r="GL42" s="47"/>
      <c r="GM42" s="47"/>
      <c r="GN42" s="47"/>
      <c r="GO42" s="47"/>
      <c r="GP42" s="47"/>
      <c r="GQ42" s="47"/>
      <c r="GR42" s="47"/>
      <c r="GS42" s="47"/>
      <c r="GT42" s="47"/>
      <c r="GU42" s="47"/>
      <c r="GV42" s="47"/>
      <c r="GW42" s="47"/>
      <c r="GX42" s="47"/>
      <c r="GY42" s="47"/>
      <c r="GZ42" s="47"/>
      <c r="HA42" s="47"/>
      <c r="HB42" s="47"/>
      <c r="HC42" s="47"/>
      <c r="HD42" s="47"/>
      <c r="HE42" s="47"/>
      <c r="HF42" s="47"/>
      <c r="HG42" s="47"/>
      <c r="HH42" s="47"/>
      <c r="HI42" s="47"/>
      <c r="HJ42" s="47"/>
      <c r="HK42" s="47"/>
      <c r="HL42" s="47"/>
      <c r="HM42" s="47"/>
      <c r="HN42" s="47"/>
      <c r="HO42" s="47"/>
      <c r="HP42" s="47"/>
      <c r="HQ42" s="47"/>
      <c r="HR42" s="47"/>
      <c r="HS42" s="47"/>
      <c r="HT42" s="47"/>
      <c r="HU42" s="47"/>
      <c r="HV42" s="47"/>
      <c r="HW42" s="47"/>
      <c r="HX42" s="47"/>
      <c r="HY42" s="47"/>
      <c r="HZ42" s="47"/>
      <c r="IA42" s="47"/>
      <c r="IB42" s="47"/>
      <c r="IC42" s="47"/>
      <c r="ID42" s="47"/>
      <c r="IE42" s="47"/>
      <c r="IF42" s="47"/>
      <c r="IG42" s="47"/>
      <c r="IH42" s="47"/>
      <c r="II42" s="47"/>
      <c r="IJ42" s="47"/>
      <c r="IK42" s="47"/>
      <c r="IL42" s="47"/>
      <c r="IM42" s="47"/>
      <c r="IN42" s="47"/>
      <c r="IO42" s="47"/>
      <c r="IP42" s="47"/>
      <c r="IQ42" s="47"/>
      <c r="IR42" s="47"/>
      <c r="IS42" s="47"/>
      <c r="IT42" s="47"/>
      <c r="IU42" s="47"/>
      <c r="IV42" s="47"/>
      <c r="IW42" s="47"/>
      <c r="IX42" s="47"/>
      <c r="IY42" s="47"/>
      <c r="IZ42" s="47"/>
      <c r="JA42" s="47"/>
      <c r="JB42" s="47"/>
      <c r="JC42" s="47"/>
      <c r="JD42" s="47"/>
      <c r="JE42" s="47"/>
      <c r="JF42" s="47"/>
      <c r="JG42" s="47"/>
      <c r="JH42" s="47"/>
      <c r="JI42" s="47"/>
      <c r="JJ42" s="47"/>
      <c r="JK42" s="47"/>
      <c r="JL42" s="47"/>
      <c r="JM42" s="47"/>
      <c r="JN42" s="47"/>
      <c r="JO42" s="47"/>
      <c r="JP42" s="47"/>
      <c r="JQ42" s="47"/>
      <c r="JR42" s="47"/>
      <c r="JS42" s="47"/>
      <c r="JT42" s="47"/>
      <c r="JU42" s="47"/>
      <c r="JV42" s="47"/>
      <c r="JW42" s="47"/>
      <c r="JX42" s="47"/>
      <c r="JY42" s="47"/>
      <c r="JZ42" s="47"/>
      <c r="KA42" s="47"/>
      <c r="KB42" s="47"/>
      <c r="KC42" s="47"/>
      <c r="KD42" s="47"/>
      <c r="KE42" s="47"/>
      <c r="KF42" s="47"/>
      <c r="KG42" s="47"/>
      <c r="KH42" s="47"/>
      <c r="KI42" s="47"/>
      <c r="KJ42" s="47"/>
      <c r="KK42" s="47"/>
      <c r="KL42" s="47"/>
      <c r="KM42" s="47"/>
      <c r="KN42" s="47"/>
      <c r="KO42" s="47"/>
      <c r="KP42" s="47"/>
      <c r="KQ42" s="47"/>
      <c r="KR42" s="47"/>
      <c r="KS42" s="47"/>
      <c r="KT42" s="47"/>
      <c r="KU42" s="47"/>
      <c r="KV42" s="47"/>
      <c r="KW42" s="47"/>
      <c r="KX42" s="47"/>
      <c r="KY42" s="47"/>
      <c r="KZ42" s="47"/>
      <c r="LA42" s="47"/>
      <c r="LB42" s="47"/>
      <c r="LC42" s="47"/>
      <c r="LD42" s="47"/>
      <c r="LE42" s="47"/>
      <c r="LF42" s="47"/>
      <c r="LG42" s="47"/>
      <c r="LH42" s="47"/>
      <c r="LI42" s="47"/>
      <c r="LJ42" s="47"/>
      <c r="LK42" s="47"/>
      <c r="LL42" s="47"/>
      <c r="LM42" s="47"/>
      <c r="LN42" s="47"/>
      <c r="LO42" s="47"/>
      <c r="LP42" s="47"/>
      <c r="LQ42" s="47"/>
      <c r="LR42" s="47"/>
      <c r="LS42" s="47"/>
      <c r="LT42" s="47"/>
      <c r="LU42" s="47"/>
      <c r="LV42" s="47"/>
      <c r="LW42" s="47"/>
      <c r="LX42" s="47"/>
      <c r="LY42" s="47"/>
      <c r="LZ42" s="47"/>
      <c r="MA42" s="47"/>
      <c r="MB42" s="47"/>
      <c r="MC42" s="47"/>
      <c r="MD42" s="47"/>
      <c r="ME42" s="47"/>
      <c r="MF42" s="47"/>
      <c r="MG42" s="47"/>
      <c r="MH42" s="47"/>
      <c r="MI42" s="47"/>
      <c r="MJ42" s="47"/>
      <c r="MK42" s="47"/>
      <c r="ML42" s="47"/>
      <c r="MM42" s="47"/>
      <c r="MN42" s="47"/>
      <c r="MO42" s="47"/>
      <c r="MP42" s="47"/>
      <c r="MQ42" s="47"/>
      <c r="MR42" s="47"/>
      <c r="MS42" s="47"/>
      <c r="MT42" s="47"/>
      <c r="MU42" s="47"/>
      <c r="MV42" s="47"/>
      <c r="MW42" s="47"/>
      <c r="MX42" s="47"/>
      <c r="MY42" s="47"/>
      <c r="MZ42" s="47"/>
      <c r="NA42" s="47"/>
      <c r="NB42" s="47"/>
      <c r="NC42" s="47"/>
      <c r="ND42" s="47"/>
      <c r="NE42" s="47"/>
      <c r="NF42" s="47"/>
      <c r="NG42" s="47"/>
      <c r="NH42" s="47"/>
      <c r="NI42" s="47"/>
      <c r="NJ42" s="47"/>
      <c r="NK42" s="47"/>
      <c r="NL42" s="47"/>
      <c r="NM42" s="47"/>
      <c r="NN42" s="47"/>
      <c r="NO42" s="47"/>
      <c r="NP42" s="47"/>
      <c r="NQ42" s="47"/>
      <c r="NR42" s="47"/>
      <c r="NS42" s="47"/>
      <c r="NT42" s="47"/>
      <c r="NU42" s="47"/>
      <c r="NV42" s="47"/>
      <c r="NW42" s="47"/>
      <c r="NX42" s="47"/>
      <c r="NY42" s="47"/>
      <c r="NZ42" s="47"/>
      <c r="OA42" s="47"/>
      <c r="OB42" s="47"/>
      <c r="OC42" s="47"/>
      <c r="OD42" s="47"/>
      <c r="OE42" s="48"/>
    </row>
    <row r="43" spans="1:395">
      <c r="A43" s="33" t="str">
        <f t="shared" si="15"/>
        <v/>
      </c>
      <c r="C43" s="2" t="str">
        <f>IF(ISBLANK($B43),"",_xlfn.XLOOKUP($B43,Task_No,Project!$C$3:$C$144,"INVALID TASK"))</f>
        <v/>
      </c>
      <c r="D43" s="27"/>
      <c r="E43" s="7" t="str">
        <f t="shared" si="17"/>
        <v/>
      </c>
      <c r="F43" s="7" t="str">
        <f t="shared" si="18"/>
        <v/>
      </c>
      <c r="G43" s="34"/>
      <c r="H43" s="34" t="str" cm="1">
        <f t="array" ref="H43">IF($C43="","",SUMPRODUCT((TEXT($AE$5:$OE$5, "mmm")=LOWER(G$3))*$AE43:$OE43))</f>
        <v/>
      </c>
      <c r="I43" s="34"/>
      <c r="J43" s="34" t="str" cm="1">
        <f t="array" ref="J43">IF($C43="","",SUMPRODUCT((TEXT($AE$5:$OE$5, "mmm")=LOWER(I$3))*$AE43:$OE43))</f>
        <v/>
      </c>
      <c r="K43" s="34"/>
      <c r="L43" s="34" t="str" cm="1">
        <f t="array" ref="L43">IF($C43="","",SUMPRODUCT((TEXT($AE$5:$OE$5, "mmm")=LOWER(K$3))*$AE43:$OE43))</f>
        <v/>
      </c>
      <c r="M43" s="34"/>
      <c r="N43" s="34" t="str" cm="1">
        <f t="array" ref="N43">IF($C43="","",SUMPRODUCT((TEXT($AE$5:$OE$5, "mmm")=LOWER(M$3))*$AE43:$OE43))</f>
        <v/>
      </c>
      <c r="O43" s="34"/>
      <c r="P43" s="34" t="str" cm="1">
        <f t="array" ref="P43">IF($C43="","",SUMPRODUCT((TEXT($AE$5:$OE$5, "mmm")=LOWER(O$3))*$AE43:$OE43))</f>
        <v/>
      </c>
      <c r="Q43" s="34"/>
      <c r="R43" s="34" t="str" cm="1">
        <f t="array" ref="R43">IF($C43="","",SUMPRODUCT((TEXT($AE$5:$OE$5, "mmm")=LOWER(Q$3))*$AE43:$OE43))</f>
        <v/>
      </c>
      <c r="S43" s="34"/>
      <c r="T43" s="34" t="str" cm="1">
        <f t="array" ref="T43">IF($C43="","",SUMPRODUCT((TEXT($AE$5:$OE$5, "mmm")=LOWER(S$3))*$AE43:$OE43))</f>
        <v/>
      </c>
      <c r="U43" s="34"/>
      <c r="V43" s="34" t="str" cm="1">
        <f t="array" ref="V43">IF($C43="","",SUMPRODUCT((TEXT($AE$5:$OE$5, "mmm")=LOWER(U$3))*$AE43:$OE43))</f>
        <v/>
      </c>
      <c r="W43" s="34"/>
      <c r="X43" s="34" t="str" cm="1">
        <f t="array" ref="X43">IF($C43="","",SUMPRODUCT((TEXT($AE$5:$OE$5, "mmm")=LOWER(W$3))*$AE43:$OE43))</f>
        <v/>
      </c>
      <c r="Y43" s="34"/>
      <c r="Z43" s="34" t="str" cm="1">
        <f t="array" ref="Z43">IF($C43="","",SUMPRODUCT((TEXT($AE$5:$OE$5, "mmm")=LOWER(Y$3))*$AE43:$OE43))</f>
        <v/>
      </c>
      <c r="AA43" s="34"/>
      <c r="AB43" s="34" t="str" cm="1">
        <f t="array" ref="AB43">IF($C43="","",SUMPRODUCT((TEXT($AE$5:$OE$5, "mmm")=LOWER(AA$3))*$AE43:$OE43))</f>
        <v/>
      </c>
      <c r="AC43" s="34"/>
      <c r="AD43" s="34" t="str" cm="1">
        <f t="array" ref="AD43">IF($C43="","",SUMPRODUCT((TEXT($AE$5:$OE$5, "mmm")=LOWER(AC$3))*$AE43:$OE43))</f>
        <v/>
      </c>
      <c r="AE43" s="47"/>
      <c r="AF43" s="47"/>
      <c r="AG43" s="47"/>
      <c r="AH43" s="47"/>
      <c r="AI43" s="47"/>
      <c r="AJ43" s="47"/>
      <c r="AK43" s="47"/>
      <c r="AL43" s="47"/>
      <c r="AM43" s="47"/>
      <c r="AN43" s="47"/>
      <c r="AO43" s="47"/>
      <c r="AP43" s="47"/>
      <c r="AQ43" s="47"/>
      <c r="AR43" s="47"/>
      <c r="AS43" s="47"/>
      <c r="AT43" s="47"/>
      <c r="AU43" s="47"/>
      <c r="AV43" s="47"/>
      <c r="AW43" s="47"/>
      <c r="AX43" s="47"/>
      <c r="AY43" s="47"/>
      <c r="AZ43" s="47"/>
      <c r="BA43" s="47"/>
      <c r="BB43" s="47"/>
      <c r="BC43" s="47"/>
      <c r="BD43" s="47"/>
      <c r="BE43" s="47"/>
      <c r="BF43" s="47"/>
      <c r="BG43" s="47"/>
      <c r="BH43" s="47"/>
      <c r="BI43" s="47"/>
      <c r="BJ43" s="47"/>
      <c r="BK43" s="47"/>
      <c r="BL43" s="47"/>
      <c r="BM43" s="47"/>
      <c r="BN43" s="47"/>
      <c r="BO43" s="47"/>
      <c r="BP43" s="47"/>
      <c r="BQ43" s="47"/>
      <c r="BR43" s="47"/>
      <c r="BS43" s="47"/>
      <c r="BT43" s="47"/>
      <c r="BU43" s="47"/>
      <c r="BV43" s="47"/>
      <c r="BW43" s="47"/>
      <c r="BX43" s="47"/>
      <c r="BY43" s="47"/>
      <c r="BZ43" s="47"/>
      <c r="CA43" s="47"/>
      <c r="CB43" s="47"/>
      <c r="CC43" s="47"/>
      <c r="CD43" s="47"/>
      <c r="CE43" s="47"/>
      <c r="CF43" s="47"/>
      <c r="CG43" s="47"/>
      <c r="CH43" s="47"/>
      <c r="CI43" s="47"/>
      <c r="CJ43" s="47"/>
      <c r="CK43" s="47"/>
      <c r="CL43" s="47"/>
      <c r="CM43" s="47"/>
      <c r="CN43" s="47"/>
      <c r="CO43" s="47"/>
      <c r="CP43" s="47"/>
      <c r="CQ43" s="47"/>
      <c r="CR43" s="47"/>
      <c r="CS43" s="47"/>
      <c r="CT43" s="47"/>
      <c r="CU43" s="47"/>
      <c r="CV43" s="47"/>
      <c r="CW43" s="47"/>
      <c r="CX43" s="47"/>
      <c r="CY43" s="47"/>
      <c r="CZ43" s="47"/>
      <c r="DA43" s="47"/>
      <c r="DB43" s="47"/>
      <c r="DC43" s="47"/>
      <c r="DD43" s="47"/>
      <c r="DE43" s="47"/>
      <c r="DF43" s="47"/>
      <c r="DG43" s="47"/>
      <c r="DH43" s="47"/>
      <c r="DI43" s="47"/>
      <c r="DJ43" s="47"/>
      <c r="DK43" s="47"/>
      <c r="DL43" s="47"/>
      <c r="DM43" s="47"/>
      <c r="DN43" s="47"/>
      <c r="DO43" s="47"/>
      <c r="DP43" s="47"/>
      <c r="DQ43" s="47"/>
      <c r="DR43" s="47"/>
      <c r="DS43" s="47"/>
      <c r="DT43" s="47"/>
      <c r="DU43" s="47"/>
      <c r="DV43" s="47"/>
      <c r="DW43" s="47"/>
      <c r="DX43" s="47"/>
      <c r="DY43" s="47"/>
      <c r="DZ43" s="47"/>
      <c r="EA43" s="47"/>
      <c r="EB43" s="47"/>
      <c r="EC43" s="47"/>
      <c r="ED43" s="47"/>
      <c r="EE43" s="47"/>
      <c r="EF43" s="47"/>
      <c r="EG43" s="47"/>
      <c r="EH43" s="47"/>
      <c r="EI43" s="47"/>
      <c r="EJ43" s="47"/>
      <c r="EK43" s="47"/>
      <c r="EL43" s="47"/>
      <c r="EM43" s="47"/>
      <c r="EN43" s="47"/>
      <c r="EO43" s="47"/>
      <c r="EP43" s="47"/>
      <c r="EQ43" s="47"/>
      <c r="ER43" s="47"/>
      <c r="ES43" s="47"/>
      <c r="ET43" s="47"/>
      <c r="EU43" s="47"/>
      <c r="EV43" s="47"/>
      <c r="EW43" s="47"/>
      <c r="EX43" s="47"/>
      <c r="EY43" s="47"/>
      <c r="EZ43" s="47"/>
      <c r="FA43" s="47"/>
      <c r="FB43" s="47"/>
      <c r="FC43" s="47"/>
      <c r="FD43" s="47"/>
      <c r="FE43" s="47"/>
      <c r="FF43" s="47"/>
      <c r="FG43" s="47"/>
      <c r="FH43" s="47"/>
      <c r="FI43" s="47"/>
      <c r="FJ43" s="47"/>
      <c r="FK43" s="47"/>
      <c r="FL43" s="47"/>
      <c r="FM43" s="47"/>
      <c r="FN43" s="47"/>
      <c r="FO43" s="47"/>
      <c r="FP43" s="47"/>
      <c r="FQ43" s="47"/>
      <c r="FR43" s="47"/>
      <c r="FS43" s="47"/>
      <c r="FT43" s="47"/>
      <c r="FU43" s="47"/>
      <c r="FV43" s="47"/>
      <c r="FW43" s="47"/>
      <c r="FX43" s="47"/>
      <c r="FY43" s="47"/>
      <c r="FZ43" s="47"/>
      <c r="GA43" s="47"/>
      <c r="GB43" s="47"/>
      <c r="GC43" s="47"/>
      <c r="GD43" s="47"/>
      <c r="GE43" s="47"/>
      <c r="GF43" s="47"/>
      <c r="GG43" s="47"/>
      <c r="GH43" s="47"/>
      <c r="GI43" s="47"/>
      <c r="GJ43" s="47"/>
      <c r="GK43" s="47"/>
      <c r="GL43" s="47"/>
      <c r="GM43" s="47"/>
      <c r="GN43" s="47"/>
      <c r="GO43" s="47"/>
      <c r="GP43" s="47"/>
      <c r="GQ43" s="47"/>
      <c r="GR43" s="47"/>
      <c r="GS43" s="47"/>
      <c r="GT43" s="47"/>
      <c r="GU43" s="47"/>
      <c r="GV43" s="47"/>
      <c r="GW43" s="47"/>
      <c r="GX43" s="47"/>
      <c r="GY43" s="47"/>
      <c r="GZ43" s="47"/>
      <c r="HA43" s="47"/>
      <c r="HB43" s="47"/>
      <c r="HC43" s="47"/>
      <c r="HD43" s="47"/>
      <c r="HE43" s="47"/>
      <c r="HF43" s="47"/>
      <c r="HG43" s="47"/>
      <c r="HH43" s="47"/>
      <c r="HI43" s="47"/>
      <c r="HJ43" s="47"/>
      <c r="HK43" s="47"/>
      <c r="HL43" s="47"/>
      <c r="HM43" s="47"/>
      <c r="HN43" s="47"/>
      <c r="HO43" s="47"/>
      <c r="HP43" s="47"/>
      <c r="HQ43" s="47"/>
      <c r="HR43" s="47"/>
      <c r="HS43" s="47"/>
      <c r="HT43" s="47"/>
      <c r="HU43" s="47"/>
      <c r="HV43" s="47"/>
      <c r="HW43" s="47"/>
      <c r="HX43" s="47"/>
      <c r="HY43" s="47"/>
      <c r="HZ43" s="47"/>
      <c r="IA43" s="47"/>
      <c r="IB43" s="47"/>
      <c r="IC43" s="47"/>
      <c r="ID43" s="47"/>
      <c r="IE43" s="47"/>
      <c r="IF43" s="47"/>
      <c r="IG43" s="47"/>
      <c r="IH43" s="47"/>
      <c r="II43" s="47"/>
      <c r="IJ43" s="47"/>
      <c r="IK43" s="47"/>
      <c r="IL43" s="47"/>
      <c r="IM43" s="47"/>
      <c r="IN43" s="47"/>
      <c r="IO43" s="47"/>
      <c r="IP43" s="47"/>
      <c r="IQ43" s="47"/>
      <c r="IR43" s="47"/>
      <c r="IS43" s="47"/>
      <c r="IT43" s="47"/>
      <c r="IU43" s="47"/>
      <c r="IV43" s="47"/>
      <c r="IW43" s="47"/>
      <c r="IX43" s="47"/>
      <c r="IY43" s="47"/>
      <c r="IZ43" s="47"/>
      <c r="JA43" s="47"/>
      <c r="JB43" s="47"/>
      <c r="JC43" s="47"/>
      <c r="JD43" s="47"/>
      <c r="JE43" s="47"/>
      <c r="JF43" s="47"/>
      <c r="JG43" s="47"/>
      <c r="JH43" s="47"/>
      <c r="JI43" s="47"/>
      <c r="JJ43" s="47"/>
      <c r="JK43" s="47"/>
      <c r="JL43" s="47"/>
      <c r="JM43" s="47"/>
      <c r="JN43" s="47"/>
      <c r="JO43" s="47"/>
      <c r="JP43" s="47"/>
      <c r="JQ43" s="47"/>
      <c r="JR43" s="47"/>
      <c r="JS43" s="47"/>
      <c r="JT43" s="47"/>
      <c r="JU43" s="47"/>
      <c r="JV43" s="47"/>
      <c r="JW43" s="47"/>
      <c r="JX43" s="47"/>
      <c r="JY43" s="47"/>
      <c r="JZ43" s="47"/>
      <c r="KA43" s="47"/>
      <c r="KB43" s="47"/>
      <c r="KC43" s="47"/>
      <c r="KD43" s="47"/>
      <c r="KE43" s="47"/>
      <c r="KF43" s="47"/>
      <c r="KG43" s="47"/>
      <c r="KH43" s="47"/>
      <c r="KI43" s="47"/>
      <c r="KJ43" s="47"/>
      <c r="KK43" s="47"/>
      <c r="KL43" s="47"/>
      <c r="KM43" s="47"/>
      <c r="KN43" s="47"/>
      <c r="KO43" s="47"/>
      <c r="KP43" s="47"/>
      <c r="KQ43" s="47"/>
      <c r="KR43" s="47"/>
      <c r="KS43" s="47"/>
      <c r="KT43" s="47"/>
      <c r="KU43" s="47"/>
      <c r="KV43" s="47"/>
      <c r="KW43" s="47"/>
      <c r="KX43" s="47"/>
      <c r="KY43" s="47"/>
      <c r="KZ43" s="47"/>
      <c r="LA43" s="47"/>
      <c r="LB43" s="47"/>
      <c r="LC43" s="47"/>
      <c r="LD43" s="47"/>
      <c r="LE43" s="47"/>
      <c r="LF43" s="47"/>
      <c r="LG43" s="47"/>
      <c r="LH43" s="47"/>
      <c r="LI43" s="47"/>
      <c r="LJ43" s="47"/>
      <c r="LK43" s="47"/>
      <c r="LL43" s="47"/>
      <c r="LM43" s="47"/>
      <c r="LN43" s="47"/>
      <c r="LO43" s="47"/>
      <c r="LP43" s="47"/>
      <c r="LQ43" s="47"/>
      <c r="LR43" s="47"/>
      <c r="LS43" s="47"/>
      <c r="LT43" s="47"/>
      <c r="LU43" s="47"/>
      <c r="LV43" s="47"/>
      <c r="LW43" s="47"/>
      <c r="LX43" s="47"/>
      <c r="LY43" s="47"/>
      <c r="LZ43" s="47"/>
      <c r="MA43" s="47"/>
      <c r="MB43" s="47"/>
      <c r="MC43" s="47"/>
      <c r="MD43" s="47"/>
      <c r="ME43" s="47"/>
      <c r="MF43" s="47"/>
      <c r="MG43" s="47"/>
      <c r="MH43" s="47"/>
      <c r="MI43" s="47"/>
      <c r="MJ43" s="47"/>
      <c r="MK43" s="47"/>
      <c r="ML43" s="47"/>
      <c r="MM43" s="47"/>
      <c r="MN43" s="47"/>
      <c r="MO43" s="47"/>
      <c r="MP43" s="47"/>
      <c r="MQ43" s="47"/>
      <c r="MR43" s="47"/>
      <c r="MS43" s="47"/>
      <c r="MT43" s="47"/>
      <c r="MU43" s="47"/>
      <c r="MV43" s="47"/>
      <c r="MW43" s="47"/>
      <c r="MX43" s="47"/>
      <c r="MY43" s="47"/>
      <c r="MZ43" s="47"/>
      <c r="NA43" s="47"/>
      <c r="NB43" s="47"/>
      <c r="NC43" s="47"/>
      <c r="ND43" s="47"/>
      <c r="NE43" s="47"/>
      <c r="NF43" s="47"/>
      <c r="NG43" s="47"/>
      <c r="NH43" s="47"/>
      <c r="NI43" s="47"/>
      <c r="NJ43" s="47"/>
      <c r="NK43" s="47"/>
      <c r="NL43" s="47"/>
      <c r="NM43" s="47"/>
      <c r="NN43" s="47"/>
      <c r="NO43" s="47"/>
      <c r="NP43" s="47"/>
      <c r="NQ43" s="47"/>
      <c r="NR43" s="47"/>
      <c r="NS43" s="47"/>
      <c r="NT43" s="47"/>
      <c r="NU43" s="47"/>
      <c r="NV43" s="47"/>
      <c r="NW43" s="47"/>
      <c r="NX43" s="47"/>
      <c r="NY43" s="47"/>
      <c r="NZ43" s="47"/>
      <c r="OA43" s="47"/>
      <c r="OB43" s="47"/>
      <c r="OC43" s="47"/>
      <c r="OD43" s="47"/>
      <c r="OE43" s="48"/>
    </row>
    <row r="44" spans="1:395">
      <c r="A44" s="33" t="str">
        <f t="shared" si="15"/>
        <v/>
      </c>
      <c r="C44" s="2" t="str">
        <f>IF(ISBLANK($B44),"",_xlfn.XLOOKUP($B44,Task_No,Project!$C$3:$C$144,"INVALID TASK"))</f>
        <v/>
      </c>
      <c r="D44" s="27"/>
      <c r="E44" s="7" t="str">
        <f t="shared" si="17"/>
        <v/>
      </c>
      <c r="F44" s="7" t="str">
        <f t="shared" si="18"/>
        <v/>
      </c>
      <c r="G44" s="34"/>
      <c r="H44" s="34" t="str" cm="1">
        <f t="array" ref="H44">IF($C44="","",SUMPRODUCT((TEXT($AE$5:$OE$5, "mmm")=LOWER(G$3))*$AE44:$OE44))</f>
        <v/>
      </c>
      <c r="I44" s="34"/>
      <c r="J44" s="34" t="str" cm="1">
        <f t="array" ref="J44">IF($C44="","",SUMPRODUCT((TEXT($AE$5:$OE$5, "mmm")=LOWER(I$3))*$AE44:$OE44))</f>
        <v/>
      </c>
      <c r="K44" s="34"/>
      <c r="L44" s="34" t="str" cm="1">
        <f t="array" ref="L44">IF($C44="","",SUMPRODUCT((TEXT($AE$5:$OE$5, "mmm")=LOWER(K$3))*$AE44:$OE44))</f>
        <v/>
      </c>
      <c r="M44" s="34"/>
      <c r="N44" s="34" t="str" cm="1">
        <f t="array" ref="N44">IF($C44="","",SUMPRODUCT((TEXT($AE$5:$OE$5, "mmm")=LOWER(M$3))*$AE44:$OE44))</f>
        <v/>
      </c>
      <c r="O44" s="34"/>
      <c r="P44" s="34" t="str" cm="1">
        <f t="array" ref="P44">IF($C44="","",SUMPRODUCT((TEXT($AE$5:$OE$5, "mmm")=LOWER(O$3))*$AE44:$OE44))</f>
        <v/>
      </c>
      <c r="Q44" s="34"/>
      <c r="R44" s="34" t="str" cm="1">
        <f t="array" ref="R44">IF($C44="","",SUMPRODUCT((TEXT($AE$5:$OE$5, "mmm")=LOWER(Q$3))*$AE44:$OE44))</f>
        <v/>
      </c>
      <c r="S44" s="34"/>
      <c r="T44" s="34" t="str" cm="1">
        <f t="array" ref="T44">IF($C44="","",SUMPRODUCT((TEXT($AE$5:$OE$5, "mmm")=LOWER(S$3))*$AE44:$OE44))</f>
        <v/>
      </c>
      <c r="U44" s="34"/>
      <c r="V44" s="34" t="str" cm="1">
        <f t="array" ref="V44">IF($C44="","",SUMPRODUCT((TEXT($AE$5:$OE$5, "mmm")=LOWER(U$3))*$AE44:$OE44))</f>
        <v/>
      </c>
      <c r="W44" s="34"/>
      <c r="X44" s="34" t="str" cm="1">
        <f t="array" ref="X44">IF($C44="","",SUMPRODUCT((TEXT($AE$5:$OE$5, "mmm")=LOWER(W$3))*$AE44:$OE44))</f>
        <v/>
      </c>
      <c r="Y44" s="34"/>
      <c r="Z44" s="34" t="str" cm="1">
        <f t="array" ref="Z44">IF($C44="","",SUMPRODUCT((TEXT($AE$5:$OE$5, "mmm")=LOWER(Y$3))*$AE44:$OE44))</f>
        <v/>
      </c>
      <c r="AA44" s="34"/>
      <c r="AB44" s="34" t="str" cm="1">
        <f t="array" ref="AB44">IF($C44="","",SUMPRODUCT((TEXT($AE$5:$OE$5, "mmm")=LOWER(AA$3))*$AE44:$OE44))</f>
        <v/>
      </c>
      <c r="AC44" s="34"/>
      <c r="AD44" s="34" t="str" cm="1">
        <f t="array" ref="AD44">IF($C44="","",SUMPRODUCT((TEXT($AE$5:$OE$5, "mmm")=LOWER(AC$3))*$AE44:$OE44))</f>
        <v/>
      </c>
      <c r="AE44" s="47"/>
      <c r="AF44" s="47"/>
      <c r="AG44" s="47"/>
      <c r="AH44" s="47"/>
      <c r="AI44" s="47"/>
      <c r="AJ44" s="47"/>
      <c r="AK44" s="47"/>
      <c r="AL44" s="47"/>
      <c r="AM44" s="47"/>
      <c r="AN44" s="47"/>
      <c r="AO44" s="47"/>
      <c r="AP44" s="47"/>
      <c r="AQ44" s="47"/>
      <c r="AR44" s="47"/>
      <c r="AS44" s="47"/>
      <c r="AT44" s="47"/>
      <c r="AU44" s="47"/>
      <c r="AV44" s="47"/>
      <c r="AW44" s="47"/>
      <c r="AX44" s="47"/>
      <c r="AY44" s="47"/>
      <c r="AZ44" s="47"/>
      <c r="BA44" s="47"/>
      <c r="BB44" s="47"/>
      <c r="BC44" s="47"/>
      <c r="BD44" s="47"/>
      <c r="BE44" s="47"/>
      <c r="BF44" s="47"/>
      <c r="BG44" s="47"/>
      <c r="BH44" s="47"/>
      <c r="BI44" s="47"/>
      <c r="BJ44" s="47"/>
      <c r="BK44" s="47"/>
      <c r="BL44" s="47"/>
      <c r="BM44" s="47"/>
      <c r="BN44" s="47"/>
      <c r="BO44" s="47"/>
      <c r="BP44" s="47"/>
      <c r="BQ44" s="47"/>
      <c r="BR44" s="47"/>
      <c r="BS44" s="47"/>
      <c r="BT44" s="47"/>
      <c r="BU44" s="47"/>
      <c r="BV44" s="47"/>
      <c r="BW44" s="47"/>
      <c r="BX44" s="47"/>
      <c r="BY44" s="47"/>
      <c r="BZ44" s="47"/>
      <c r="CA44" s="47"/>
      <c r="CB44" s="47"/>
      <c r="CC44" s="47"/>
      <c r="CD44" s="47"/>
      <c r="CE44" s="47"/>
      <c r="CF44" s="47"/>
      <c r="CG44" s="47"/>
      <c r="CH44" s="47"/>
      <c r="CI44" s="47"/>
      <c r="CJ44" s="47"/>
      <c r="CK44" s="47"/>
      <c r="CL44" s="47"/>
      <c r="CM44" s="47"/>
      <c r="CN44" s="47"/>
      <c r="CO44" s="47"/>
      <c r="CP44" s="47"/>
      <c r="CQ44" s="47"/>
      <c r="CR44" s="47"/>
      <c r="CS44" s="47"/>
      <c r="CT44" s="47"/>
      <c r="CU44" s="47"/>
      <c r="CV44" s="47"/>
      <c r="CW44" s="47"/>
      <c r="CX44" s="47"/>
      <c r="CY44" s="47"/>
      <c r="CZ44" s="47"/>
      <c r="DA44" s="47"/>
      <c r="DB44" s="47"/>
      <c r="DC44" s="47"/>
      <c r="DD44" s="47"/>
      <c r="DE44" s="47"/>
      <c r="DF44" s="47"/>
      <c r="DG44" s="47"/>
      <c r="DH44" s="47"/>
      <c r="DI44" s="47"/>
      <c r="DJ44" s="47"/>
      <c r="DK44" s="47"/>
      <c r="DL44" s="47"/>
      <c r="DM44" s="47"/>
      <c r="DN44" s="47"/>
      <c r="DO44" s="47"/>
      <c r="DP44" s="47"/>
      <c r="DQ44" s="47"/>
      <c r="DR44" s="47"/>
      <c r="DS44" s="47"/>
      <c r="DT44" s="47"/>
      <c r="DU44" s="47"/>
      <c r="DV44" s="47"/>
      <c r="DW44" s="47"/>
      <c r="DX44" s="47"/>
      <c r="DY44" s="47"/>
      <c r="DZ44" s="47"/>
      <c r="EA44" s="47"/>
      <c r="EB44" s="47"/>
      <c r="EC44" s="47"/>
      <c r="ED44" s="47"/>
      <c r="EE44" s="47"/>
      <c r="EF44" s="47"/>
      <c r="EG44" s="47"/>
      <c r="EH44" s="47"/>
      <c r="EI44" s="47"/>
      <c r="EJ44" s="47"/>
      <c r="EK44" s="47"/>
      <c r="EL44" s="47"/>
      <c r="EM44" s="47"/>
      <c r="EN44" s="47"/>
      <c r="EO44" s="47"/>
      <c r="EP44" s="47"/>
      <c r="EQ44" s="47"/>
      <c r="ER44" s="47"/>
      <c r="ES44" s="47"/>
      <c r="ET44" s="47"/>
      <c r="EU44" s="47"/>
      <c r="EV44" s="47"/>
      <c r="EW44" s="47"/>
      <c r="EX44" s="47"/>
      <c r="EY44" s="47"/>
      <c r="EZ44" s="47"/>
      <c r="FA44" s="47"/>
      <c r="FB44" s="47"/>
      <c r="FC44" s="47"/>
      <c r="FD44" s="47"/>
      <c r="FE44" s="47"/>
      <c r="FF44" s="47"/>
      <c r="FG44" s="47"/>
      <c r="FH44" s="47"/>
      <c r="FI44" s="47"/>
      <c r="FJ44" s="47"/>
      <c r="FK44" s="47"/>
      <c r="FL44" s="47"/>
      <c r="FM44" s="47"/>
      <c r="FN44" s="47"/>
      <c r="FO44" s="47"/>
      <c r="FP44" s="47"/>
      <c r="FQ44" s="47"/>
      <c r="FR44" s="47"/>
      <c r="FS44" s="47"/>
      <c r="FT44" s="47"/>
      <c r="FU44" s="47"/>
      <c r="FV44" s="47"/>
      <c r="FW44" s="47"/>
      <c r="FX44" s="47"/>
      <c r="FY44" s="47"/>
      <c r="FZ44" s="47"/>
      <c r="GA44" s="47"/>
      <c r="GB44" s="47"/>
      <c r="GC44" s="47"/>
      <c r="GD44" s="47"/>
      <c r="GE44" s="47"/>
      <c r="GF44" s="47"/>
      <c r="GG44" s="47"/>
      <c r="GH44" s="47"/>
      <c r="GI44" s="47"/>
      <c r="GJ44" s="47"/>
      <c r="GK44" s="47"/>
      <c r="GL44" s="47"/>
      <c r="GM44" s="47"/>
      <c r="GN44" s="47"/>
      <c r="GO44" s="47"/>
      <c r="GP44" s="47"/>
      <c r="GQ44" s="47"/>
      <c r="GR44" s="47"/>
      <c r="GS44" s="47"/>
      <c r="GT44" s="47"/>
      <c r="GU44" s="47"/>
      <c r="GV44" s="47"/>
      <c r="GW44" s="47"/>
      <c r="GX44" s="47"/>
      <c r="GY44" s="47"/>
      <c r="GZ44" s="47"/>
      <c r="HA44" s="47"/>
      <c r="HB44" s="47"/>
      <c r="HC44" s="47"/>
      <c r="HD44" s="47"/>
      <c r="HE44" s="47"/>
      <c r="HF44" s="47"/>
      <c r="HG44" s="47"/>
      <c r="HH44" s="47"/>
      <c r="HI44" s="47"/>
      <c r="HJ44" s="47"/>
      <c r="HK44" s="47"/>
      <c r="HL44" s="47"/>
      <c r="HM44" s="47"/>
      <c r="HN44" s="47"/>
      <c r="HO44" s="47"/>
      <c r="HP44" s="47"/>
      <c r="HQ44" s="47"/>
      <c r="HR44" s="47"/>
      <c r="HS44" s="47"/>
      <c r="HT44" s="47"/>
      <c r="HU44" s="47"/>
      <c r="HV44" s="47"/>
      <c r="HW44" s="47"/>
      <c r="HX44" s="47"/>
      <c r="HY44" s="47"/>
      <c r="HZ44" s="47"/>
      <c r="IA44" s="47"/>
      <c r="IB44" s="47"/>
      <c r="IC44" s="47"/>
      <c r="ID44" s="47"/>
      <c r="IE44" s="47"/>
      <c r="IF44" s="47"/>
      <c r="IG44" s="47"/>
      <c r="IH44" s="47"/>
      <c r="II44" s="47"/>
      <c r="IJ44" s="47"/>
      <c r="IK44" s="47"/>
      <c r="IL44" s="47"/>
      <c r="IM44" s="47"/>
      <c r="IN44" s="47"/>
      <c r="IO44" s="47"/>
      <c r="IP44" s="47"/>
      <c r="IQ44" s="47"/>
      <c r="IR44" s="47"/>
      <c r="IS44" s="47"/>
      <c r="IT44" s="47"/>
      <c r="IU44" s="47"/>
      <c r="IV44" s="47"/>
      <c r="IW44" s="47"/>
      <c r="IX44" s="47"/>
      <c r="IY44" s="47"/>
      <c r="IZ44" s="47"/>
      <c r="JA44" s="47"/>
      <c r="JB44" s="47"/>
      <c r="JC44" s="47"/>
      <c r="JD44" s="47"/>
      <c r="JE44" s="47"/>
      <c r="JF44" s="47"/>
      <c r="JG44" s="47"/>
      <c r="JH44" s="47"/>
      <c r="JI44" s="47"/>
      <c r="JJ44" s="47"/>
      <c r="JK44" s="47"/>
      <c r="JL44" s="47"/>
      <c r="JM44" s="47"/>
      <c r="JN44" s="47"/>
      <c r="JO44" s="47"/>
      <c r="JP44" s="47"/>
      <c r="JQ44" s="47"/>
      <c r="JR44" s="47"/>
      <c r="JS44" s="47"/>
      <c r="JT44" s="47"/>
      <c r="JU44" s="47"/>
      <c r="JV44" s="47"/>
      <c r="JW44" s="47"/>
      <c r="JX44" s="47"/>
      <c r="JY44" s="47"/>
      <c r="JZ44" s="47"/>
      <c r="KA44" s="47"/>
      <c r="KB44" s="47"/>
      <c r="KC44" s="47"/>
      <c r="KD44" s="47"/>
      <c r="KE44" s="47"/>
      <c r="KF44" s="47"/>
      <c r="KG44" s="47"/>
      <c r="KH44" s="47"/>
      <c r="KI44" s="47"/>
      <c r="KJ44" s="47"/>
      <c r="KK44" s="47"/>
      <c r="KL44" s="47"/>
      <c r="KM44" s="47"/>
      <c r="KN44" s="47"/>
      <c r="KO44" s="47"/>
      <c r="KP44" s="47"/>
      <c r="KQ44" s="47"/>
      <c r="KR44" s="47"/>
      <c r="KS44" s="47"/>
      <c r="KT44" s="47"/>
      <c r="KU44" s="47"/>
      <c r="KV44" s="47"/>
      <c r="KW44" s="47"/>
      <c r="KX44" s="47"/>
      <c r="KY44" s="47"/>
      <c r="KZ44" s="47"/>
      <c r="LA44" s="47"/>
      <c r="LB44" s="47"/>
      <c r="LC44" s="47"/>
      <c r="LD44" s="47"/>
      <c r="LE44" s="47"/>
      <c r="LF44" s="47"/>
      <c r="LG44" s="47"/>
      <c r="LH44" s="47"/>
      <c r="LI44" s="47"/>
      <c r="LJ44" s="47"/>
      <c r="LK44" s="47"/>
      <c r="LL44" s="47"/>
      <c r="LM44" s="47"/>
      <c r="LN44" s="47"/>
      <c r="LO44" s="47"/>
      <c r="LP44" s="47"/>
      <c r="LQ44" s="47"/>
      <c r="LR44" s="47"/>
      <c r="LS44" s="47"/>
      <c r="LT44" s="47"/>
      <c r="LU44" s="47"/>
      <c r="LV44" s="47"/>
      <c r="LW44" s="47"/>
      <c r="LX44" s="47"/>
      <c r="LY44" s="47"/>
      <c r="LZ44" s="47"/>
      <c r="MA44" s="47"/>
      <c r="MB44" s="47"/>
      <c r="MC44" s="47"/>
      <c r="MD44" s="47"/>
      <c r="ME44" s="47"/>
      <c r="MF44" s="47"/>
      <c r="MG44" s="47"/>
      <c r="MH44" s="47"/>
      <c r="MI44" s="47"/>
      <c r="MJ44" s="47"/>
      <c r="MK44" s="47"/>
      <c r="ML44" s="47"/>
      <c r="MM44" s="47"/>
      <c r="MN44" s="47"/>
      <c r="MO44" s="47"/>
      <c r="MP44" s="47"/>
      <c r="MQ44" s="47"/>
      <c r="MR44" s="47"/>
      <c r="MS44" s="47"/>
      <c r="MT44" s="47"/>
      <c r="MU44" s="47"/>
      <c r="MV44" s="47"/>
      <c r="MW44" s="47"/>
      <c r="MX44" s="47"/>
      <c r="MY44" s="47"/>
      <c r="MZ44" s="47"/>
      <c r="NA44" s="47"/>
      <c r="NB44" s="47"/>
      <c r="NC44" s="47"/>
      <c r="ND44" s="47"/>
      <c r="NE44" s="47"/>
      <c r="NF44" s="47"/>
      <c r="NG44" s="47"/>
      <c r="NH44" s="47"/>
      <c r="NI44" s="47"/>
      <c r="NJ44" s="47"/>
      <c r="NK44" s="47"/>
      <c r="NL44" s="47"/>
      <c r="NM44" s="47"/>
      <c r="NN44" s="47"/>
      <c r="NO44" s="47"/>
      <c r="NP44" s="47"/>
      <c r="NQ44" s="47"/>
      <c r="NR44" s="47"/>
      <c r="NS44" s="47"/>
      <c r="NT44" s="47"/>
      <c r="NU44" s="47"/>
      <c r="NV44" s="47"/>
      <c r="NW44" s="47"/>
      <c r="NX44" s="47"/>
      <c r="NY44" s="47"/>
      <c r="NZ44" s="47"/>
      <c r="OA44" s="47"/>
      <c r="OB44" s="47"/>
      <c r="OC44" s="47"/>
      <c r="OD44" s="47"/>
      <c r="OE44" s="48"/>
    </row>
    <row r="45" spans="1:395">
      <c r="A45" s="33" t="str">
        <f t="shared" si="15"/>
        <v/>
      </c>
      <c r="C45" s="2" t="str">
        <f>IF(ISBLANK($B45),"",_xlfn.XLOOKUP($B45,Task_No,Project!$C$3:$C$144,"INVALID TASK"))</f>
        <v/>
      </c>
      <c r="D45" s="27"/>
      <c r="E45" s="7" t="str">
        <f t="shared" si="17"/>
        <v/>
      </c>
      <c r="F45" s="7" t="str">
        <f t="shared" si="18"/>
        <v/>
      </c>
      <c r="G45" s="34"/>
      <c r="H45" s="34" t="str" cm="1">
        <f t="array" ref="H45">IF($C45="","",SUMPRODUCT((TEXT($AE$5:$OE$5, "mmm")=LOWER(G$3))*$AE45:$OE45))</f>
        <v/>
      </c>
      <c r="I45" s="34"/>
      <c r="J45" s="34" t="str" cm="1">
        <f t="array" ref="J45">IF($C45="","",SUMPRODUCT((TEXT($AE$5:$OE$5, "mmm")=LOWER(I$3))*$AE45:$OE45))</f>
        <v/>
      </c>
      <c r="K45" s="34"/>
      <c r="L45" s="34" t="str" cm="1">
        <f t="array" ref="L45">IF($C45="","",SUMPRODUCT((TEXT($AE$5:$OE$5, "mmm")=LOWER(K$3))*$AE45:$OE45))</f>
        <v/>
      </c>
      <c r="M45" s="34"/>
      <c r="N45" s="34" t="str" cm="1">
        <f t="array" ref="N45">IF($C45="","",SUMPRODUCT((TEXT($AE$5:$OE$5, "mmm")=LOWER(M$3))*$AE45:$OE45))</f>
        <v/>
      </c>
      <c r="O45" s="34"/>
      <c r="P45" s="34" t="str" cm="1">
        <f t="array" ref="P45">IF($C45="","",SUMPRODUCT((TEXT($AE$5:$OE$5, "mmm")=LOWER(O$3))*$AE45:$OE45))</f>
        <v/>
      </c>
      <c r="Q45" s="34"/>
      <c r="R45" s="34" t="str" cm="1">
        <f t="array" ref="R45">IF($C45="","",SUMPRODUCT((TEXT($AE$5:$OE$5, "mmm")=LOWER(Q$3))*$AE45:$OE45))</f>
        <v/>
      </c>
      <c r="S45" s="34"/>
      <c r="T45" s="34" t="str" cm="1">
        <f t="array" ref="T45">IF($C45="","",SUMPRODUCT((TEXT($AE$5:$OE$5, "mmm")=LOWER(S$3))*$AE45:$OE45))</f>
        <v/>
      </c>
      <c r="U45" s="34"/>
      <c r="V45" s="34" t="str" cm="1">
        <f t="array" ref="V45">IF($C45="","",SUMPRODUCT((TEXT($AE$5:$OE$5, "mmm")=LOWER(U$3))*$AE45:$OE45))</f>
        <v/>
      </c>
      <c r="W45" s="34"/>
      <c r="X45" s="34" t="str" cm="1">
        <f t="array" ref="X45">IF($C45="","",SUMPRODUCT((TEXT($AE$5:$OE$5, "mmm")=LOWER(W$3))*$AE45:$OE45))</f>
        <v/>
      </c>
      <c r="Y45" s="34"/>
      <c r="Z45" s="34" t="str" cm="1">
        <f t="array" ref="Z45">IF($C45="","",SUMPRODUCT((TEXT($AE$5:$OE$5, "mmm")=LOWER(Y$3))*$AE45:$OE45))</f>
        <v/>
      </c>
      <c r="AA45" s="34"/>
      <c r="AB45" s="34" t="str" cm="1">
        <f t="array" ref="AB45">IF($C45="","",SUMPRODUCT((TEXT($AE$5:$OE$5, "mmm")=LOWER(AA$3))*$AE45:$OE45))</f>
        <v/>
      </c>
      <c r="AC45" s="34"/>
      <c r="AD45" s="34" t="str" cm="1">
        <f t="array" ref="AD45">IF($C45="","",SUMPRODUCT((TEXT($AE$5:$OE$5, "mmm")=LOWER(AC$3))*$AE45:$OE45))</f>
        <v/>
      </c>
      <c r="AE45" s="47"/>
      <c r="AF45" s="47"/>
      <c r="AG45" s="47"/>
      <c r="AH45" s="47"/>
      <c r="AI45" s="47"/>
      <c r="AJ45" s="47"/>
      <c r="AK45" s="47"/>
      <c r="AL45" s="47"/>
      <c r="AM45" s="47"/>
      <c r="AN45" s="47"/>
      <c r="AO45" s="47"/>
      <c r="AP45" s="47"/>
      <c r="AQ45" s="47"/>
      <c r="AR45" s="47"/>
      <c r="AS45" s="47"/>
      <c r="AT45" s="47"/>
      <c r="AU45" s="47"/>
      <c r="AV45" s="47"/>
      <c r="AW45" s="47"/>
      <c r="AX45" s="47"/>
      <c r="AY45" s="47"/>
      <c r="AZ45" s="47"/>
      <c r="BA45" s="47"/>
      <c r="BB45" s="47"/>
      <c r="BC45" s="47"/>
      <c r="BD45" s="47"/>
      <c r="BE45" s="47"/>
      <c r="BF45" s="47"/>
      <c r="BG45" s="47"/>
      <c r="BH45" s="47"/>
      <c r="BI45" s="47"/>
      <c r="BJ45" s="47"/>
      <c r="BK45" s="47"/>
      <c r="BL45" s="47"/>
      <c r="BM45" s="47"/>
      <c r="BN45" s="47"/>
      <c r="BO45" s="47"/>
      <c r="BP45" s="47"/>
      <c r="BQ45" s="47"/>
      <c r="BR45" s="47"/>
      <c r="BS45" s="47"/>
      <c r="BT45" s="47"/>
      <c r="BU45" s="47"/>
      <c r="BV45" s="47"/>
      <c r="BW45" s="47"/>
      <c r="BX45" s="47"/>
      <c r="BY45" s="47"/>
      <c r="BZ45" s="47"/>
      <c r="CA45" s="47"/>
      <c r="CB45" s="47"/>
      <c r="CC45" s="47"/>
      <c r="CD45" s="47"/>
      <c r="CE45" s="47"/>
      <c r="CF45" s="47"/>
      <c r="CG45" s="47"/>
      <c r="CH45" s="47"/>
      <c r="CI45" s="47"/>
      <c r="CJ45" s="47"/>
      <c r="CK45" s="47"/>
      <c r="CL45" s="47"/>
      <c r="CM45" s="47"/>
      <c r="CN45" s="47"/>
      <c r="CO45" s="47"/>
      <c r="CP45" s="47"/>
      <c r="CQ45" s="47"/>
      <c r="CR45" s="47"/>
      <c r="CS45" s="47"/>
      <c r="CT45" s="47"/>
      <c r="CU45" s="47"/>
      <c r="CV45" s="47"/>
      <c r="CW45" s="47"/>
      <c r="CX45" s="47"/>
      <c r="CY45" s="47"/>
      <c r="CZ45" s="47"/>
      <c r="DA45" s="47"/>
      <c r="DB45" s="47"/>
      <c r="DC45" s="47"/>
      <c r="DD45" s="47"/>
      <c r="DE45" s="47"/>
      <c r="DF45" s="47"/>
      <c r="DG45" s="47"/>
      <c r="DH45" s="47"/>
      <c r="DI45" s="47"/>
      <c r="DJ45" s="47"/>
      <c r="DK45" s="47"/>
      <c r="DL45" s="47"/>
      <c r="DM45" s="47"/>
      <c r="DN45" s="47"/>
      <c r="DO45" s="47"/>
      <c r="DP45" s="47"/>
      <c r="DQ45" s="47"/>
      <c r="DR45" s="47"/>
      <c r="DS45" s="47"/>
      <c r="DT45" s="47"/>
      <c r="DU45" s="47"/>
      <c r="DV45" s="47"/>
      <c r="DW45" s="47"/>
      <c r="DX45" s="47"/>
      <c r="DY45" s="47"/>
      <c r="DZ45" s="47"/>
      <c r="EA45" s="47"/>
      <c r="EB45" s="47"/>
      <c r="EC45" s="47"/>
      <c r="ED45" s="47"/>
      <c r="EE45" s="47"/>
      <c r="EF45" s="47"/>
      <c r="EG45" s="47"/>
      <c r="EH45" s="47"/>
      <c r="EI45" s="47"/>
      <c r="EJ45" s="47"/>
      <c r="EK45" s="47"/>
      <c r="EL45" s="47"/>
      <c r="EM45" s="47"/>
      <c r="EN45" s="47"/>
      <c r="EO45" s="47"/>
      <c r="EP45" s="47"/>
      <c r="EQ45" s="47"/>
      <c r="ER45" s="47"/>
      <c r="ES45" s="47"/>
      <c r="ET45" s="47"/>
      <c r="EU45" s="47"/>
      <c r="EV45" s="47"/>
      <c r="EW45" s="47"/>
      <c r="EX45" s="47"/>
      <c r="EY45" s="47"/>
      <c r="EZ45" s="47"/>
      <c r="FA45" s="47"/>
      <c r="FB45" s="47"/>
      <c r="FC45" s="47"/>
      <c r="FD45" s="47"/>
      <c r="FE45" s="47"/>
      <c r="FF45" s="47"/>
      <c r="FG45" s="47"/>
      <c r="FH45" s="47"/>
      <c r="FI45" s="47"/>
      <c r="FJ45" s="47"/>
      <c r="FK45" s="47"/>
      <c r="FL45" s="47"/>
      <c r="FM45" s="47"/>
      <c r="FN45" s="47"/>
      <c r="FO45" s="47"/>
      <c r="FP45" s="47"/>
      <c r="FQ45" s="47"/>
      <c r="FR45" s="47"/>
      <c r="FS45" s="47"/>
      <c r="FT45" s="47"/>
      <c r="FU45" s="47"/>
      <c r="FV45" s="47"/>
      <c r="FW45" s="47"/>
      <c r="FX45" s="47"/>
      <c r="FY45" s="47"/>
      <c r="FZ45" s="47"/>
      <c r="GA45" s="47"/>
      <c r="GB45" s="47"/>
      <c r="GC45" s="47"/>
      <c r="GD45" s="47"/>
      <c r="GE45" s="47"/>
      <c r="GF45" s="47"/>
      <c r="GG45" s="47"/>
      <c r="GH45" s="47"/>
      <c r="GI45" s="47"/>
      <c r="GJ45" s="47"/>
      <c r="GK45" s="47"/>
      <c r="GL45" s="47"/>
      <c r="GM45" s="47"/>
      <c r="GN45" s="47"/>
      <c r="GO45" s="47"/>
      <c r="GP45" s="47"/>
      <c r="GQ45" s="47"/>
      <c r="GR45" s="47"/>
      <c r="GS45" s="47"/>
      <c r="GT45" s="47"/>
      <c r="GU45" s="47"/>
      <c r="GV45" s="47"/>
      <c r="GW45" s="47"/>
      <c r="GX45" s="47"/>
      <c r="GY45" s="47"/>
      <c r="GZ45" s="47"/>
      <c r="HA45" s="47"/>
      <c r="HB45" s="47"/>
      <c r="HC45" s="47"/>
      <c r="HD45" s="47"/>
      <c r="HE45" s="47"/>
      <c r="HF45" s="47"/>
      <c r="HG45" s="47"/>
      <c r="HH45" s="47"/>
      <c r="HI45" s="47"/>
      <c r="HJ45" s="47"/>
      <c r="HK45" s="47"/>
      <c r="HL45" s="47"/>
      <c r="HM45" s="47"/>
      <c r="HN45" s="47"/>
      <c r="HO45" s="47"/>
      <c r="HP45" s="47"/>
      <c r="HQ45" s="47"/>
      <c r="HR45" s="47"/>
      <c r="HS45" s="47"/>
      <c r="HT45" s="47"/>
      <c r="HU45" s="47"/>
      <c r="HV45" s="47"/>
      <c r="HW45" s="47"/>
      <c r="HX45" s="47"/>
      <c r="HY45" s="47"/>
      <c r="HZ45" s="47"/>
      <c r="IA45" s="47"/>
      <c r="IB45" s="47"/>
      <c r="IC45" s="47"/>
      <c r="ID45" s="47"/>
      <c r="IE45" s="47"/>
      <c r="IF45" s="47"/>
      <c r="IG45" s="47"/>
      <c r="IH45" s="47"/>
      <c r="II45" s="47"/>
      <c r="IJ45" s="47"/>
      <c r="IK45" s="47"/>
      <c r="IL45" s="47"/>
      <c r="IM45" s="47"/>
      <c r="IN45" s="47"/>
      <c r="IO45" s="47"/>
      <c r="IP45" s="47"/>
      <c r="IQ45" s="47"/>
      <c r="IR45" s="47"/>
      <c r="IS45" s="47"/>
      <c r="IT45" s="47"/>
      <c r="IU45" s="47"/>
      <c r="IV45" s="47"/>
      <c r="IW45" s="47"/>
      <c r="IX45" s="47"/>
      <c r="IY45" s="47"/>
      <c r="IZ45" s="47"/>
      <c r="JA45" s="47"/>
      <c r="JB45" s="47"/>
      <c r="JC45" s="47"/>
      <c r="JD45" s="47"/>
      <c r="JE45" s="47"/>
      <c r="JF45" s="47"/>
      <c r="JG45" s="47"/>
      <c r="JH45" s="47"/>
      <c r="JI45" s="47"/>
      <c r="JJ45" s="47"/>
      <c r="JK45" s="47"/>
      <c r="JL45" s="47"/>
      <c r="JM45" s="47"/>
      <c r="JN45" s="47"/>
      <c r="JO45" s="47"/>
      <c r="JP45" s="47"/>
      <c r="JQ45" s="47"/>
      <c r="JR45" s="47"/>
      <c r="JS45" s="47"/>
      <c r="JT45" s="47"/>
      <c r="JU45" s="47"/>
      <c r="JV45" s="47"/>
      <c r="JW45" s="47"/>
      <c r="JX45" s="47"/>
      <c r="JY45" s="47"/>
      <c r="JZ45" s="47"/>
      <c r="KA45" s="47"/>
      <c r="KB45" s="47"/>
      <c r="KC45" s="47"/>
      <c r="KD45" s="47"/>
      <c r="KE45" s="47"/>
      <c r="KF45" s="47"/>
      <c r="KG45" s="47"/>
      <c r="KH45" s="47"/>
      <c r="KI45" s="47"/>
      <c r="KJ45" s="47"/>
      <c r="KK45" s="47"/>
      <c r="KL45" s="47"/>
      <c r="KM45" s="47"/>
      <c r="KN45" s="47"/>
      <c r="KO45" s="47"/>
      <c r="KP45" s="47"/>
      <c r="KQ45" s="47"/>
      <c r="KR45" s="47"/>
      <c r="KS45" s="47"/>
      <c r="KT45" s="47"/>
      <c r="KU45" s="47"/>
      <c r="KV45" s="47"/>
      <c r="KW45" s="47"/>
      <c r="KX45" s="47"/>
      <c r="KY45" s="47"/>
      <c r="KZ45" s="47"/>
      <c r="LA45" s="47"/>
      <c r="LB45" s="47"/>
      <c r="LC45" s="47"/>
      <c r="LD45" s="47"/>
      <c r="LE45" s="47"/>
      <c r="LF45" s="47"/>
      <c r="LG45" s="47"/>
      <c r="LH45" s="47"/>
      <c r="LI45" s="47"/>
      <c r="LJ45" s="47"/>
      <c r="LK45" s="47"/>
      <c r="LL45" s="47"/>
      <c r="LM45" s="47"/>
      <c r="LN45" s="47"/>
      <c r="LO45" s="47"/>
      <c r="LP45" s="47"/>
      <c r="LQ45" s="47"/>
      <c r="LR45" s="47"/>
      <c r="LS45" s="47"/>
      <c r="LT45" s="47"/>
      <c r="LU45" s="47"/>
      <c r="LV45" s="47"/>
      <c r="LW45" s="47"/>
      <c r="LX45" s="47"/>
      <c r="LY45" s="47"/>
      <c r="LZ45" s="47"/>
      <c r="MA45" s="47"/>
      <c r="MB45" s="47"/>
      <c r="MC45" s="47"/>
      <c r="MD45" s="47"/>
      <c r="ME45" s="47"/>
      <c r="MF45" s="47"/>
      <c r="MG45" s="47"/>
      <c r="MH45" s="47"/>
      <c r="MI45" s="47"/>
      <c r="MJ45" s="47"/>
      <c r="MK45" s="47"/>
      <c r="ML45" s="47"/>
      <c r="MM45" s="47"/>
      <c r="MN45" s="47"/>
      <c r="MO45" s="47"/>
      <c r="MP45" s="47"/>
      <c r="MQ45" s="47"/>
      <c r="MR45" s="47"/>
      <c r="MS45" s="47"/>
      <c r="MT45" s="47"/>
      <c r="MU45" s="47"/>
      <c r="MV45" s="47"/>
      <c r="MW45" s="47"/>
      <c r="MX45" s="47"/>
      <c r="MY45" s="47"/>
      <c r="MZ45" s="47"/>
      <c r="NA45" s="47"/>
      <c r="NB45" s="47"/>
      <c r="NC45" s="47"/>
      <c r="ND45" s="47"/>
      <c r="NE45" s="47"/>
      <c r="NF45" s="47"/>
      <c r="NG45" s="47"/>
      <c r="NH45" s="47"/>
      <c r="NI45" s="47"/>
      <c r="NJ45" s="47"/>
      <c r="NK45" s="47"/>
      <c r="NL45" s="47"/>
      <c r="NM45" s="47"/>
      <c r="NN45" s="47"/>
      <c r="NO45" s="47"/>
      <c r="NP45" s="47"/>
      <c r="NQ45" s="47"/>
      <c r="NR45" s="47"/>
      <c r="NS45" s="47"/>
      <c r="NT45" s="47"/>
      <c r="NU45" s="47"/>
      <c r="NV45" s="47"/>
      <c r="NW45" s="47"/>
      <c r="NX45" s="47"/>
      <c r="NY45" s="47"/>
      <c r="NZ45" s="47"/>
      <c r="OA45" s="47"/>
      <c r="OB45" s="47"/>
      <c r="OC45" s="47"/>
      <c r="OD45" s="47"/>
      <c r="OE45" s="48"/>
    </row>
    <row r="46" spans="1:395">
      <c r="A46" s="33" t="str">
        <f t="shared" si="15"/>
        <v/>
      </c>
      <c r="C46" s="2" t="str">
        <f>IF(ISBLANK($B46),"",_xlfn.XLOOKUP($B46,Task_No,Project!$C$3:$C$144,"INVALID TASK"))</f>
        <v/>
      </c>
      <c r="D46" s="27"/>
      <c r="E46" s="7" t="str">
        <f t="shared" si="17"/>
        <v/>
      </c>
      <c r="F46" s="7" t="str">
        <f t="shared" si="18"/>
        <v/>
      </c>
      <c r="G46" s="34"/>
      <c r="H46" s="34" t="str" cm="1">
        <f t="array" ref="H46">IF($C46="","",SUMPRODUCT((TEXT($AE$5:$OE$5, "mmm")=LOWER(G$3))*$AE46:$OE46))</f>
        <v/>
      </c>
      <c r="I46" s="34"/>
      <c r="J46" s="34" t="str" cm="1">
        <f t="array" ref="J46">IF($C46="","",SUMPRODUCT((TEXT($AE$5:$OE$5, "mmm")=LOWER(I$3))*$AE46:$OE46))</f>
        <v/>
      </c>
      <c r="K46" s="34"/>
      <c r="L46" s="34" t="str" cm="1">
        <f t="array" ref="L46">IF($C46="","",SUMPRODUCT((TEXT($AE$5:$OE$5, "mmm")=LOWER(K$3))*$AE46:$OE46))</f>
        <v/>
      </c>
      <c r="M46" s="34"/>
      <c r="N46" s="34" t="str" cm="1">
        <f t="array" ref="N46">IF($C46="","",SUMPRODUCT((TEXT($AE$5:$OE$5, "mmm")=LOWER(M$3))*$AE46:$OE46))</f>
        <v/>
      </c>
      <c r="O46" s="34"/>
      <c r="P46" s="34" t="str" cm="1">
        <f t="array" ref="P46">IF($C46="","",SUMPRODUCT((TEXT($AE$5:$OE$5, "mmm")=LOWER(O$3))*$AE46:$OE46))</f>
        <v/>
      </c>
      <c r="Q46" s="34"/>
      <c r="R46" s="34" t="str" cm="1">
        <f t="array" ref="R46">IF($C46="","",SUMPRODUCT((TEXT($AE$5:$OE$5, "mmm")=LOWER(Q$3))*$AE46:$OE46))</f>
        <v/>
      </c>
      <c r="S46" s="34"/>
      <c r="T46" s="34" t="str" cm="1">
        <f t="array" ref="T46">IF($C46="","",SUMPRODUCT((TEXT($AE$5:$OE$5, "mmm")=LOWER(S$3))*$AE46:$OE46))</f>
        <v/>
      </c>
      <c r="U46" s="34"/>
      <c r="V46" s="34" t="str" cm="1">
        <f t="array" ref="V46">IF($C46="","",SUMPRODUCT((TEXT($AE$5:$OE$5, "mmm")=LOWER(U$3))*$AE46:$OE46))</f>
        <v/>
      </c>
      <c r="W46" s="34"/>
      <c r="X46" s="34" t="str" cm="1">
        <f t="array" ref="X46">IF($C46="","",SUMPRODUCT((TEXT($AE$5:$OE$5, "mmm")=LOWER(W$3))*$AE46:$OE46))</f>
        <v/>
      </c>
      <c r="Y46" s="34"/>
      <c r="Z46" s="34" t="str" cm="1">
        <f t="array" ref="Z46">IF($C46="","",SUMPRODUCT((TEXT($AE$5:$OE$5, "mmm")=LOWER(Y$3))*$AE46:$OE46))</f>
        <v/>
      </c>
      <c r="AA46" s="34"/>
      <c r="AB46" s="34" t="str" cm="1">
        <f t="array" ref="AB46">IF($C46="","",SUMPRODUCT((TEXT($AE$5:$OE$5, "mmm")=LOWER(AA$3))*$AE46:$OE46))</f>
        <v/>
      </c>
      <c r="AC46" s="34"/>
      <c r="AD46" s="34" t="str" cm="1">
        <f t="array" ref="AD46">IF($C46="","",SUMPRODUCT((TEXT($AE$5:$OE$5, "mmm")=LOWER(AC$3))*$AE46:$OE46))</f>
        <v/>
      </c>
      <c r="AE46" s="47"/>
      <c r="AF46" s="47"/>
      <c r="AG46" s="47"/>
      <c r="AH46" s="47"/>
      <c r="AI46" s="47"/>
      <c r="AJ46" s="47"/>
      <c r="AK46" s="47"/>
      <c r="AL46" s="47"/>
      <c r="AM46" s="47"/>
      <c r="AN46" s="47"/>
      <c r="AO46" s="47"/>
      <c r="AP46" s="47"/>
      <c r="AQ46" s="47"/>
      <c r="AR46" s="47"/>
      <c r="AS46" s="47"/>
      <c r="AT46" s="47"/>
      <c r="AU46" s="47"/>
      <c r="AV46" s="47"/>
      <c r="AW46" s="47"/>
      <c r="AX46" s="47"/>
      <c r="AY46" s="47"/>
      <c r="AZ46" s="47"/>
      <c r="BA46" s="47"/>
      <c r="BB46" s="47"/>
      <c r="BC46" s="47"/>
      <c r="BD46" s="47"/>
      <c r="BE46" s="47"/>
      <c r="BF46" s="47"/>
      <c r="BG46" s="47"/>
      <c r="BH46" s="47"/>
      <c r="BI46" s="47"/>
      <c r="BJ46" s="47"/>
      <c r="BK46" s="47"/>
      <c r="BL46" s="47"/>
      <c r="BM46" s="47"/>
      <c r="BN46" s="47"/>
      <c r="BO46" s="47"/>
      <c r="BP46" s="47"/>
      <c r="BQ46" s="47"/>
      <c r="BR46" s="47"/>
      <c r="BS46" s="47"/>
      <c r="BT46" s="47"/>
      <c r="BU46" s="47"/>
      <c r="BV46" s="47"/>
      <c r="BW46" s="47"/>
      <c r="BX46" s="47"/>
      <c r="BY46" s="47"/>
      <c r="BZ46" s="47"/>
      <c r="CA46" s="47"/>
      <c r="CB46" s="47"/>
      <c r="CC46" s="47"/>
      <c r="CD46" s="47"/>
      <c r="CE46" s="47"/>
      <c r="CF46" s="47"/>
      <c r="CG46" s="47"/>
      <c r="CH46" s="47"/>
      <c r="CI46" s="47"/>
      <c r="CJ46" s="47"/>
      <c r="CK46" s="47"/>
      <c r="CL46" s="47"/>
      <c r="CM46" s="47"/>
      <c r="CN46" s="47"/>
      <c r="CO46" s="47"/>
      <c r="CP46" s="47"/>
      <c r="CQ46" s="47"/>
      <c r="CR46" s="47"/>
      <c r="CS46" s="47"/>
      <c r="CT46" s="47"/>
      <c r="CU46" s="47"/>
      <c r="CV46" s="47"/>
      <c r="CW46" s="47"/>
      <c r="CX46" s="47"/>
      <c r="CY46" s="47"/>
      <c r="CZ46" s="47"/>
      <c r="DA46" s="47"/>
      <c r="DB46" s="47"/>
      <c r="DC46" s="47"/>
      <c r="DD46" s="47"/>
      <c r="DE46" s="47"/>
      <c r="DF46" s="47"/>
      <c r="DG46" s="47"/>
      <c r="DH46" s="47"/>
      <c r="DI46" s="47"/>
      <c r="DJ46" s="47"/>
      <c r="DK46" s="47"/>
      <c r="DL46" s="47"/>
      <c r="DM46" s="47"/>
      <c r="DN46" s="47"/>
      <c r="DO46" s="47"/>
      <c r="DP46" s="47"/>
      <c r="DQ46" s="47"/>
      <c r="DR46" s="47"/>
      <c r="DS46" s="47"/>
      <c r="DT46" s="47"/>
      <c r="DU46" s="47"/>
      <c r="DV46" s="47"/>
      <c r="DW46" s="47"/>
      <c r="DX46" s="47"/>
      <c r="DY46" s="47"/>
      <c r="DZ46" s="47"/>
      <c r="EA46" s="47"/>
      <c r="EB46" s="47"/>
      <c r="EC46" s="47"/>
      <c r="ED46" s="47"/>
      <c r="EE46" s="47"/>
      <c r="EF46" s="47"/>
      <c r="EG46" s="47"/>
      <c r="EH46" s="47"/>
      <c r="EI46" s="47"/>
      <c r="EJ46" s="47"/>
      <c r="EK46" s="47"/>
      <c r="EL46" s="47"/>
      <c r="EM46" s="47"/>
      <c r="EN46" s="47"/>
      <c r="EO46" s="47"/>
      <c r="EP46" s="47"/>
      <c r="EQ46" s="47"/>
      <c r="ER46" s="47"/>
      <c r="ES46" s="47"/>
      <c r="ET46" s="47"/>
      <c r="EU46" s="47"/>
      <c r="EV46" s="47"/>
      <c r="EW46" s="47"/>
      <c r="EX46" s="47"/>
      <c r="EY46" s="47"/>
      <c r="EZ46" s="47"/>
      <c r="FA46" s="47"/>
      <c r="FB46" s="47"/>
      <c r="FC46" s="47"/>
      <c r="FD46" s="47"/>
      <c r="FE46" s="47"/>
      <c r="FF46" s="47"/>
      <c r="FG46" s="47"/>
      <c r="FH46" s="47"/>
      <c r="FI46" s="47"/>
      <c r="FJ46" s="47"/>
      <c r="FK46" s="47"/>
      <c r="FL46" s="47"/>
      <c r="FM46" s="47"/>
      <c r="FN46" s="47"/>
      <c r="FO46" s="47"/>
      <c r="FP46" s="47"/>
      <c r="FQ46" s="47"/>
      <c r="FR46" s="47"/>
      <c r="FS46" s="47"/>
      <c r="FT46" s="47"/>
      <c r="FU46" s="47"/>
      <c r="FV46" s="47"/>
      <c r="FW46" s="47"/>
      <c r="FX46" s="47"/>
      <c r="FY46" s="47"/>
      <c r="FZ46" s="47"/>
      <c r="GA46" s="47"/>
      <c r="GB46" s="47"/>
      <c r="GC46" s="47"/>
      <c r="GD46" s="47"/>
      <c r="GE46" s="47"/>
      <c r="GF46" s="47"/>
      <c r="GG46" s="47"/>
      <c r="GH46" s="47"/>
      <c r="GI46" s="47"/>
      <c r="GJ46" s="47"/>
      <c r="GK46" s="47"/>
      <c r="GL46" s="47"/>
      <c r="GM46" s="47"/>
      <c r="GN46" s="47"/>
      <c r="GO46" s="47"/>
      <c r="GP46" s="47"/>
      <c r="GQ46" s="47"/>
      <c r="GR46" s="47"/>
      <c r="GS46" s="47"/>
      <c r="GT46" s="47"/>
      <c r="GU46" s="47"/>
      <c r="GV46" s="47"/>
      <c r="GW46" s="47"/>
      <c r="GX46" s="47"/>
      <c r="GY46" s="47"/>
      <c r="GZ46" s="47"/>
      <c r="HA46" s="47"/>
      <c r="HB46" s="47"/>
      <c r="HC46" s="47"/>
      <c r="HD46" s="47"/>
      <c r="HE46" s="47"/>
      <c r="HF46" s="47"/>
      <c r="HG46" s="47"/>
      <c r="HH46" s="47"/>
      <c r="HI46" s="47"/>
      <c r="HJ46" s="47"/>
      <c r="HK46" s="47"/>
      <c r="HL46" s="47"/>
      <c r="HM46" s="47"/>
      <c r="HN46" s="47"/>
      <c r="HO46" s="47"/>
      <c r="HP46" s="47"/>
      <c r="HQ46" s="47"/>
      <c r="HR46" s="47"/>
      <c r="HS46" s="47"/>
      <c r="HT46" s="47"/>
      <c r="HU46" s="47"/>
      <c r="HV46" s="47"/>
      <c r="HW46" s="47"/>
      <c r="HX46" s="47"/>
      <c r="HY46" s="47"/>
      <c r="HZ46" s="47"/>
      <c r="IA46" s="47"/>
      <c r="IB46" s="47"/>
      <c r="IC46" s="47"/>
      <c r="ID46" s="47"/>
      <c r="IE46" s="47"/>
      <c r="IF46" s="47"/>
      <c r="IG46" s="47"/>
      <c r="IH46" s="47"/>
      <c r="II46" s="47"/>
      <c r="IJ46" s="47"/>
      <c r="IK46" s="47"/>
      <c r="IL46" s="47"/>
      <c r="IM46" s="47"/>
      <c r="IN46" s="47"/>
      <c r="IO46" s="47"/>
      <c r="IP46" s="47"/>
      <c r="IQ46" s="47"/>
      <c r="IR46" s="47"/>
      <c r="IS46" s="47"/>
      <c r="IT46" s="47"/>
      <c r="IU46" s="47"/>
      <c r="IV46" s="47"/>
      <c r="IW46" s="47"/>
      <c r="IX46" s="47"/>
      <c r="IY46" s="47"/>
      <c r="IZ46" s="47"/>
      <c r="JA46" s="47"/>
      <c r="JB46" s="47"/>
      <c r="JC46" s="47"/>
      <c r="JD46" s="47"/>
      <c r="JE46" s="47"/>
      <c r="JF46" s="47"/>
      <c r="JG46" s="47"/>
      <c r="JH46" s="47"/>
      <c r="JI46" s="47"/>
      <c r="JJ46" s="47"/>
      <c r="JK46" s="47"/>
      <c r="JL46" s="47"/>
      <c r="JM46" s="47"/>
      <c r="JN46" s="47"/>
      <c r="JO46" s="47"/>
      <c r="JP46" s="47"/>
      <c r="JQ46" s="47"/>
      <c r="JR46" s="47"/>
      <c r="JS46" s="47"/>
      <c r="JT46" s="47"/>
      <c r="JU46" s="47"/>
      <c r="JV46" s="47"/>
      <c r="JW46" s="47"/>
      <c r="JX46" s="47"/>
      <c r="JY46" s="47"/>
      <c r="JZ46" s="47"/>
      <c r="KA46" s="47"/>
      <c r="KB46" s="47"/>
      <c r="KC46" s="47"/>
      <c r="KD46" s="47"/>
      <c r="KE46" s="47"/>
      <c r="KF46" s="47"/>
      <c r="KG46" s="47"/>
      <c r="KH46" s="47"/>
      <c r="KI46" s="47"/>
      <c r="KJ46" s="47"/>
      <c r="KK46" s="47"/>
      <c r="KL46" s="47"/>
      <c r="KM46" s="47"/>
      <c r="KN46" s="47"/>
      <c r="KO46" s="47"/>
      <c r="KP46" s="47"/>
      <c r="KQ46" s="47"/>
      <c r="KR46" s="47"/>
      <c r="KS46" s="47"/>
      <c r="KT46" s="47"/>
      <c r="KU46" s="47"/>
      <c r="KV46" s="47"/>
      <c r="KW46" s="47"/>
      <c r="KX46" s="47"/>
      <c r="KY46" s="47"/>
      <c r="KZ46" s="47"/>
      <c r="LA46" s="47"/>
      <c r="LB46" s="47"/>
      <c r="LC46" s="47"/>
      <c r="LD46" s="47"/>
      <c r="LE46" s="47"/>
      <c r="LF46" s="47"/>
      <c r="LG46" s="47"/>
      <c r="LH46" s="47"/>
      <c r="LI46" s="47"/>
      <c r="LJ46" s="47"/>
      <c r="LK46" s="47"/>
      <c r="LL46" s="47"/>
      <c r="LM46" s="47"/>
      <c r="LN46" s="47"/>
      <c r="LO46" s="47"/>
      <c r="LP46" s="47"/>
      <c r="LQ46" s="47"/>
      <c r="LR46" s="47"/>
      <c r="LS46" s="47"/>
      <c r="LT46" s="47"/>
      <c r="LU46" s="47"/>
      <c r="LV46" s="47"/>
      <c r="LW46" s="47"/>
      <c r="LX46" s="47"/>
      <c r="LY46" s="47"/>
      <c r="LZ46" s="47"/>
      <c r="MA46" s="47"/>
      <c r="MB46" s="47"/>
      <c r="MC46" s="47"/>
      <c r="MD46" s="47"/>
      <c r="ME46" s="47"/>
      <c r="MF46" s="47"/>
      <c r="MG46" s="47"/>
      <c r="MH46" s="47"/>
      <c r="MI46" s="47"/>
      <c r="MJ46" s="47"/>
      <c r="MK46" s="47"/>
      <c r="ML46" s="47"/>
      <c r="MM46" s="47"/>
      <c r="MN46" s="47"/>
      <c r="MO46" s="47"/>
      <c r="MP46" s="47"/>
      <c r="MQ46" s="47"/>
      <c r="MR46" s="47"/>
      <c r="MS46" s="47"/>
      <c r="MT46" s="47"/>
      <c r="MU46" s="47"/>
      <c r="MV46" s="47"/>
      <c r="MW46" s="47"/>
      <c r="MX46" s="47"/>
      <c r="MY46" s="47"/>
      <c r="MZ46" s="47"/>
      <c r="NA46" s="47"/>
      <c r="NB46" s="47"/>
      <c r="NC46" s="47"/>
      <c r="ND46" s="47"/>
      <c r="NE46" s="47"/>
      <c r="NF46" s="47"/>
      <c r="NG46" s="47"/>
      <c r="NH46" s="47"/>
      <c r="NI46" s="47"/>
      <c r="NJ46" s="47"/>
      <c r="NK46" s="47"/>
      <c r="NL46" s="47"/>
      <c r="NM46" s="47"/>
      <c r="NN46" s="47"/>
      <c r="NO46" s="47"/>
      <c r="NP46" s="47"/>
      <c r="NQ46" s="47"/>
      <c r="NR46" s="47"/>
      <c r="NS46" s="47"/>
      <c r="NT46" s="47"/>
      <c r="NU46" s="47"/>
      <c r="NV46" s="47"/>
      <c r="NW46" s="47"/>
      <c r="NX46" s="47"/>
      <c r="NY46" s="47"/>
      <c r="NZ46" s="47"/>
      <c r="OA46" s="47"/>
      <c r="OB46" s="47"/>
      <c r="OC46" s="47"/>
      <c r="OD46" s="47"/>
      <c r="OE46" s="48"/>
    </row>
    <row r="47" spans="1:395">
      <c r="A47" s="33" t="str">
        <f t="shared" si="15"/>
        <v/>
      </c>
      <c r="C47" s="2" t="str">
        <f>IF(ISBLANK($B47),"",_xlfn.XLOOKUP($B47,Task_No,Project!$C$3:$C$144,"INVALID TASK"))</f>
        <v/>
      </c>
      <c r="D47" s="27"/>
      <c r="E47" s="7" t="str">
        <f t="shared" si="17"/>
        <v/>
      </c>
      <c r="F47" s="7" t="str">
        <f t="shared" si="18"/>
        <v/>
      </c>
      <c r="G47" s="34"/>
      <c r="H47" s="34" t="str" cm="1">
        <f t="array" ref="H47">IF($C47="","",SUMPRODUCT((TEXT($AE$5:$OE$5, "mmm")=LOWER(G$3))*$AE47:$OE47))</f>
        <v/>
      </c>
      <c r="I47" s="34"/>
      <c r="J47" s="34" t="str" cm="1">
        <f t="array" ref="J47">IF($C47="","",SUMPRODUCT((TEXT($AE$5:$OE$5, "mmm")=LOWER(I$3))*$AE47:$OE47))</f>
        <v/>
      </c>
      <c r="K47" s="34"/>
      <c r="L47" s="34" t="str" cm="1">
        <f t="array" ref="L47">IF($C47="","",SUMPRODUCT((TEXT($AE$5:$OE$5, "mmm")=LOWER(K$3))*$AE47:$OE47))</f>
        <v/>
      </c>
      <c r="M47" s="34"/>
      <c r="N47" s="34" t="str" cm="1">
        <f t="array" ref="N47">IF($C47="","",SUMPRODUCT((TEXT($AE$5:$OE$5, "mmm")=LOWER(M$3))*$AE47:$OE47))</f>
        <v/>
      </c>
      <c r="O47" s="34"/>
      <c r="P47" s="34" t="str" cm="1">
        <f t="array" ref="P47">IF($C47="","",SUMPRODUCT((TEXT($AE$5:$OE$5, "mmm")=LOWER(O$3))*$AE47:$OE47))</f>
        <v/>
      </c>
      <c r="Q47" s="34"/>
      <c r="R47" s="34" t="str" cm="1">
        <f t="array" ref="R47">IF($C47="","",SUMPRODUCT((TEXT($AE$5:$OE$5, "mmm")=LOWER(Q$3))*$AE47:$OE47))</f>
        <v/>
      </c>
      <c r="S47" s="34"/>
      <c r="T47" s="34" t="str" cm="1">
        <f t="array" ref="T47">IF($C47="","",SUMPRODUCT((TEXT($AE$5:$OE$5, "mmm")=LOWER(S$3))*$AE47:$OE47))</f>
        <v/>
      </c>
      <c r="U47" s="34"/>
      <c r="V47" s="34" t="str" cm="1">
        <f t="array" ref="V47">IF($C47="","",SUMPRODUCT((TEXT($AE$5:$OE$5, "mmm")=LOWER(U$3))*$AE47:$OE47))</f>
        <v/>
      </c>
      <c r="W47" s="34"/>
      <c r="X47" s="34" t="str" cm="1">
        <f t="array" ref="X47">IF($C47="","",SUMPRODUCT((TEXT($AE$5:$OE$5, "mmm")=LOWER(W$3))*$AE47:$OE47))</f>
        <v/>
      </c>
      <c r="Y47" s="34"/>
      <c r="Z47" s="34" t="str" cm="1">
        <f t="array" ref="Z47">IF($C47="","",SUMPRODUCT((TEXT($AE$5:$OE$5, "mmm")=LOWER(Y$3))*$AE47:$OE47))</f>
        <v/>
      </c>
      <c r="AA47" s="34"/>
      <c r="AB47" s="34" t="str" cm="1">
        <f t="array" ref="AB47">IF($C47="","",SUMPRODUCT((TEXT($AE$5:$OE$5, "mmm")=LOWER(AA$3))*$AE47:$OE47))</f>
        <v/>
      </c>
      <c r="AC47" s="34"/>
      <c r="AD47" s="34" t="str" cm="1">
        <f t="array" ref="AD47">IF($C47="","",SUMPRODUCT((TEXT($AE$5:$OE$5, "mmm")=LOWER(AC$3))*$AE47:$OE47))</f>
        <v/>
      </c>
      <c r="AE47" s="47"/>
      <c r="AF47" s="47"/>
      <c r="AG47" s="47"/>
      <c r="AH47" s="47"/>
      <c r="AI47" s="47"/>
      <c r="AJ47" s="47"/>
      <c r="AK47" s="47"/>
      <c r="AL47" s="47"/>
      <c r="AM47" s="47"/>
      <c r="AN47" s="47"/>
      <c r="AO47" s="47"/>
      <c r="AP47" s="47"/>
      <c r="AQ47" s="47"/>
      <c r="AR47" s="47"/>
      <c r="AS47" s="47"/>
      <c r="AT47" s="47"/>
      <c r="AU47" s="47"/>
      <c r="AV47" s="47"/>
      <c r="AW47" s="47"/>
      <c r="AX47" s="47"/>
      <c r="AY47" s="47"/>
      <c r="AZ47" s="47"/>
      <c r="BA47" s="47"/>
      <c r="BB47" s="47"/>
      <c r="BC47" s="47"/>
      <c r="BD47" s="47"/>
      <c r="BE47" s="47"/>
      <c r="BF47" s="47"/>
      <c r="BG47" s="47"/>
      <c r="BH47" s="47"/>
      <c r="BI47" s="47"/>
      <c r="BJ47" s="47"/>
      <c r="BK47" s="47"/>
      <c r="BL47" s="47"/>
      <c r="BM47" s="47"/>
      <c r="BN47" s="47"/>
      <c r="BO47" s="47"/>
      <c r="BP47" s="47"/>
      <c r="BQ47" s="47"/>
      <c r="BR47" s="47"/>
      <c r="BS47" s="47"/>
      <c r="BT47" s="47"/>
      <c r="BU47" s="47"/>
      <c r="BV47" s="47"/>
      <c r="BW47" s="47"/>
      <c r="BX47" s="47"/>
      <c r="BY47" s="47"/>
      <c r="BZ47" s="47"/>
      <c r="CA47" s="47"/>
      <c r="CB47" s="47"/>
      <c r="CC47" s="47"/>
      <c r="CD47" s="47"/>
      <c r="CE47" s="47"/>
      <c r="CF47" s="47"/>
      <c r="CG47" s="47"/>
      <c r="CH47" s="47"/>
      <c r="CI47" s="47"/>
      <c r="CJ47" s="47"/>
      <c r="CK47" s="47"/>
      <c r="CL47" s="47"/>
      <c r="CM47" s="47"/>
      <c r="CN47" s="47"/>
      <c r="CO47" s="47"/>
      <c r="CP47" s="47"/>
      <c r="CQ47" s="47"/>
      <c r="CR47" s="47"/>
      <c r="CS47" s="47"/>
      <c r="CT47" s="47"/>
      <c r="CU47" s="47"/>
      <c r="CV47" s="47"/>
      <c r="CW47" s="47"/>
      <c r="CX47" s="47"/>
      <c r="CY47" s="47"/>
      <c r="CZ47" s="47"/>
      <c r="DA47" s="47"/>
      <c r="DB47" s="47"/>
      <c r="DC47" s="47"/>
      <c r="DD47" s="47"/>
      <c r="DE47" s="47"/>
      <c r="DF47" s="47"/>
      <c r="DG47" s="47"/>
      <c r="DH47" s="47"/>
      <c r="DI47" s="47"/>
      <c r="DJ47" s="47"/>
      <c r="DK47" s="47"/>
      <c r="DL47" s="47"/>
      <c r="DM47" s="47"/>
      <c r="DN47" s="47"/>
      <c r="DO47" s="47"/>
      <c r="DP47" s="47"/>
      <c r="DQ47" s="47"/>
      <c r="DR47" s="47"/>
      <c r="DS47" s="47"/>
      <c r="DT47" s="47"/>
      <c r="DU47" s="47"/>
      <c r="DV47" s="47"/>
      <c r="DW47" s="47"/>
      <c r="DX47" s="47"/>
      <c r="DY47" s="47"/>
      <c r="DZ47" s="47"/>
      <c r="EA47" s="47"/>
      <c r="EB47" s="47"/>
      <c r="EC47" s="47"/>
      <c r="ED47" s="47"/>
      <c r="EE47" s="47"/>
      <c r="EF47" s="47"/>
      <c r="EG47" s="47"/>
      <c r="EH47" s="47"/>
      <c r="EI47" s="47"/>
      <c r="EJ47" s="47"/>
      <c r="EK47" s="47"/>
      <c r="EL47" s="47"/>
      <c r="EM47" s="47"/>
      <c r="EN47" s="47"/>
      <c r="EO47" s="47"/>
      <c r="EP47" s="47"/>
      <c r="EQ47" s="47"/>
      <c r="ER47" s="47"/>
      <c r="ES47" s="47"/>
      <c r="ET47" s="47"/>
      <c r="EU47" s="47"/>
      <c r="EV47" s="47"/>
      <c r="EW47" s="47"/>
      <c r="EX47" s="47"/>
      <c r="EY47" s="47"/>
      <c r="EZ47" s="47"/>
      <c r="FA47" s="47"/>
      <c r="FB47" s="47"/>
      <c r="FC47" s="47"/>
      <c r="FD47" s="47"/>
      <c r="FE47" s="47"/>
      <c r="FF47" s="47"/>
      <c r="FG47" s="47"/>
      <c r="FH47" s="47"/>
      <c r="FI47" s="47"/>
      <c r="FJ47" s="47"/>
      <c r="FK47" s="47"/>
      <c r="FL47" s="47"/>
      <c r="FM47" s="47"/>
      <c r="FN47" s="47"/>
      <c r="FO47" s="47"/>
      <c r="FP47" s="47"/>
      <c r="FQ47" s="47"/>
      <c r="FR47" s="47"/>
      <c r="FS47" s="47"/>
      <c r="FT47" s="47"/>
      <c r="FU47" s="47"/>
      <c r="FV47" s="47"/>
      <c r="FW47" s="47"/>
      <c r="FX47" s="47"/>
      <c r="FY47" s="47"/>
      <c r="FZ47" s="47"/>
      <c r="GA47" s="47"/>
      <c r="GB47" s="47"/>
      <c r="GC47" s="47"/>
      <c r="GD47" s="47"/>
      <c r="GE47" s="47"/>
      <c r="GF47" s="47"/>
      <c r="GG47" s="47"/>
      <c r="GH47" s="47"/>
      <c r="GI47" s="47"/>
      <c r="GJ47" s="47"/>
      <c r="GK47" s="47"/>
      <c r="GL47" s="47"/>
      <c r="GM47" s="47"/>
      <c r="GN47" s="47"/>
      <c r="GO47" s="47"/>
      <c r="GP47" s="47"/>
      <c r="GQ47" s="47"/>
      <c r="GR47" s="47"/>
      <c r="GS47" s="47"/>
      <c r="GT47" s="47"/>
      <c r="GU47" s="47"/>
      <c r="GV47" s="47"/>
      <c r="GW47" s="47"/>
      <c r="GX47" s="47"/>
      <c r="GY47" s="47"/>
      <c r="GZ47" s="47"/>
      <c r="HA47" s="47"/>
      <c r="HB47" s="47"/>
      <c r="HC47" s="47"/>
      <c r="HD47" s="47"/>
      <c r="HE47" s="47"/>
      <c r="HF47" s="47"/>
      <c r="HG47" s="47"/>
      <c r="HH47" s="47"/>
      <c r="HI47" s="47"/>
      <c r="HJ47" s="47"/>
      <c r="HK47" s="47"/>
      <c r="HL47" s="47"/>
      <c r="HM47" s="47"/>
      <c r="HN47" s="47"/>
      <c r="HO47" s="47"/>
      <c r="HP47" s="47"/>
      <c r="HQ47" s="47"/>
      <c r="HR47" s="47"/>
      <c r="HS47" s="47"/>
      <c r="HT47" s="47"/>
      <c r="HU47" s="47"/>
      <c r="HV47" s="47"/>
      <c r="HW47" s="47"/>
      <c r="HX47" s="47"/>
      <c r="HY47" s="47"/>
      <c r="HZ47" s="47"/>
      <c r="IA47" s="47"/>
      <c r="IB47" s="47"/>
      <c r="IC47" s="47"/>
      <c r="ID47" s="47"/>
      <c r="IE47" s="47"/>
      <c r="IF47" s="47"/>
      <c r="IG47" s="47"/>
      <c r="IH47" s="47"/>
      <c r="II47" s="47"/>
      <c r="IJ47" s="47"/>
      <c r="IK47" s="47"/>
      <c r="IL47" s="47"/>
      <c r="IM47" s="47"/>
      <c r="IN47" s="47"/>
      <c r="IO47" s="47"/>
      <c r="IP47" s="47"/>
      <c r="IQ47" s="47"/>
      <c r="IR47" s="47"/>
      <c r="IS47" s="47"/>
      <c r="IT47" s="47"/>
      <c r="IU47" s="47"/>
      <c r="IV47" s="47"/>
      <c r="IW47" s="47"/>
      <c r="IX47" s="47"/>
      <c r="IY47" s="47"/>
      <c r="IZ47" s="47"/>
      <c r="JA47" s="47"/>
      <c r="JB47" s="47"/>
      <c r="JC47" s="47"/>
      <c r="JD47" s="47"/>
      <c r="JE47" s="47"/>
      <c r="JF47" s="47"/>
      <c r="JG47" s="47"/>
      <c r="JH47" s="47"/>
      <c r="JI47" s="47"/>
      <c r="JJ47" s="47"/>
      <c r="JK47" s="47"/>
      <c r="JL47" s="47"/>
      <c r="JM47" s="47"/>
      <c r="JN47" s="47"/>
      <c r="JO47" s="47"/>
      <c r="JP47" s="47"/>
      <c r="JQ47" s="47"/>
      <c r="JR47" s="47"/>
      <c r="JS47" s="47"/>
      <c r="JT47" s="47"/>
      <c r="JU47" s="47"/>
      <c r="JV47" s="47"/>
      <c r="JW47" s="47"/>
      <c r="JX47" s="47"/>
      <c r="JY47" s="47"/>
      <c r="JZ47" s="47"/>
      <c r="KA47" s="47"/>
      <c r="KB47" s="47"/>
      <c r="KC47" s="47"/>
      <c r="KD47" s="47"/>
      <c r="KE47" s="47"/>
      <c r="KF47" s="47"/>
      <c r="KG47" s="47"/>
      <c r="KH47" s="47"/>
      <c r="KI47" s="47"/>
      <c r="KJ47" s="47"/>
      <c r="KK47" s="47"/>
      <c r="KL47" s="47"/>
      <c r="KM47" s="47"/>
      <c r="KN47" s="47"/>
      <c r="KO47" s="47"/>
      <c r="KP47" s="47"/>
      <c r="KQ47" s="47"/>
      <c r="KR47" s="47"/>
      <c r="KS47" s="47"/>
      <c r="KT47" s="47"/>
      <c r="KU47" s="47"/>
      <c r="KV47" s="47"/>
      <c r="KW47" s="47"/>
      <c r="KX47" s="47"/>
      <c r="KY47" s="47"/>
      <c r="KZ47" s="47"/>
      <c r="LA47" s="47"/>
      <c r="LB47" s="47"/>
      <c r="LC47" s="47"/>
      <c r="LD47" s="47"/>
      <c r="LE47" s="47"/>
      <c r="LF47" s="47"/>
      <c r="LG47" s="47"/>
      <c r="LH47" s="47"/>
      <c r="LI47" s="47"/>
      <c r="LJ47" s="47"/>
      <c r="LK47" s="47"/>
      <c r="LL47" s="47"/>
      <c r="LM47" s="47"/>
      <c r="LN47" s="47"/>
      <c r="LO47" s="47"/>
      <c r="LP47" s="47"/>
      <c r="LQ47" s="47"/>
      <c r="LR47" s="47"/>
      <c r="LS47" s="47"/>
      <c r="LT47" s="47"/>
      <c r="LU47" s="47"/>
      <c r="LV47" s="47"/>
      <c r="LW47" s="47"/>
      <c r="LX47" s="47"/>
      <c r="LY47" s="47"/>
      <c r="LZ47" s="47"/>
      <c r="MA47" s="47"/>
      <c r="MB47" s="47"/>
      <c r="MC47" s="47"/>
      <c r="MD47" s="47"/>
      <c r="ME47" s="47"/>
      <c r="MF47" s="47"/>
      <c r="MG47" s="47"/>
      <c r="MH47" s="47"/>
      <c r="MI47" s="47"/>
      <c r="MJ47" s="47"/>
      <c r="MK47" s="47"/>
      <c r="ML47" s="47"/>
      <c r="MM47" s="47"/>
      <c r="MN47" s="47"/>
      <c r="MO47" s="47"/>
      <c r="MP47" s="47"/>
      <c r="MQ47" s="47"/>
      <c r="MR47" s="47"/>
      <c r="MS47" s="47"/>
      <c r="MT47" s="47"/>
      <c r="MU47" s="47"/>
      <c r="MV47" s="47"/>
      <c r="MW47" s="47"/>
      <c r="MX47" s="47"/>
      <c r="MY47" s="47"/>
      <c r="MZ47" s="47"/>
      <c r="NA47" s="47"/>
      <c r="NB47" s="47"/>
      <c r="NC47" s="47"/>
      <c r="ND47" s="47"/>
      <c r="NE47" s="47"/>
      <c r="NF47" s="47"/>
      <c r="NG47" s="47"/>
      <c r="NH47" s="47"/>
      <c r="NI47" s="47"/>
      <c r="NJ47" s="47"/>
      <c r="NK47" s="47"/>
      <c r="NL47" s="47"/>
      <c r="NM47" s="47"/>
      <c r="NN47" s="47"/>
      <c r="NO47" s="47"/>
      <c r="NP47" s="47"/>
      <c r="NQ47" s="47"/>
      <c r="NR47" s="47"/>
      <c r="NS47" s="47"/>
      <c r="NT47" s="47"/>
      <c r="NU47" s="47"/>
      <c r="NV47" s="47"/>
      <c r="NW47" s="47"/>
      <c r="NX47" s="47"/>
      <c r="NY47" s="47"/>
      <c r="NZ47" s="47"/>
      <c r="OA47" s="47"/>
      <c r="OB47" s="47"/>
      <c r="OC47" s="47"/>
      <c r="OD47" s="47"/>
      <c r="OE47" s="48"/>
    </row>
    <row r="48" spans="1:395">
      <c r="A48" s="35"/>
      <c r="C48" s="2" t="str">
        <f>IF(ISBLANK($B48),"",_xlfn.XLOOKUP($B48,Task_No,Project!$C$3:$C$144,"INVALID TASK"))</f>
        <v/>
      </c>
      <c r="D48" s="27"/>
      <c r="E48" s="7" t="str">
        <f t="shared" si="17"/>
        <v/>
      </c>
      <c r="F48" s="7" t="str">
        <f t="shared" si="18"/>
        <v/>
      </c>
      <c r="G48" s="34"/>
      <c r="H48" s="34" t="str" cm="1">
        <f t="array" ref="H48">IF($C48="","",SUMPRODUCT((TEXT($AE$5:$OE$5, "mmm")=LOWER(G$3))*$AE48:$OE48))</f>
        <v/>
      </c>
      <c r="I48" s="34"/>
      <c r="J48" s="34" t="str" cm="1">
        <f t="array" ref="J48">IF($C48="","",SUMPRODUCT((TEXT($AE$5:$OE$5, "mmm")=LOWER(I$3))*$AE48:$OE48))</f>
        <v/>
      </c>
      <c r="K48" s="34"/>
      <c r="L48" s="34" t="str" cm="1">
        <f t="array" ref="L48">IF($C48="","",SUMPRODUCT((TEXT($AE$5:$OE$5, "mmm")=LOWER(K$3))*$AE48:$OE48))</f>
        <v/>
      </c>
      <c r="M48" s="34"/>
      <c r="N48" s="34" t="str" cm="1">
        <f t="array" ref="N48">IF($C48="","",SUMPRODUCT((TEXT($AE$5:$OE$5, "mmm")=LOWER(M$3))*$AE48:$OE48))</f>
        <v/>
      </c>
      <c r="O48" s="34"/>
      <c r="P48" s="34" t="str" cm="1">
        <f t="array" ref="P48">IF($C48="","",SUMPRODUCT((TEXT($AE$5:$OE$5, "mmm")=LOWER(O$3))*$AE48:$OE48))</f>
        <v/>
      </c>
      <c r="Q48" s="34"/>
      <c r="R48" s="34" t="str" cm="1">
        <f t="array" ref="R48">IF($C48="","",SUMPRODUCT((TEXT($AE$5:$OE$5, "mmm")=LOWER(Q$3))*$AE48:$OE48))</f>
        <v/>
      </c>
      <c r="S48" s="34"/>
      <c r="T48" s="34" t="str" cm="1">
        <f t="array" ref="T48">IF($C48="","",SUMPRODUCT((TEXT($AE$5:$OE$5, "mmm")=LOWER(S$3))*$AE48:$OE48))</f>
        <v/>
      </c>
      <c r="U48" s="34"/>
      <c r="V48" s="34" t="str" cm="1">
        <f t="array" ref="V48">IF($C48="","",SUMPRODUCT((TEXT($AE$5:$OE$5, "mmm")=LOWER(U$3))*$AE48:$OE48))</f>
        <v/>
      </c>
      <c r="W48" s="34"/>
      <c r="X48" s="34" t="str" cm="1">
        <f t="array" ref="X48">IF($C48="","",SUMPRODUCT((TEXT($AE$5:$OE$5, "mmm")=LOWER(W$3))*$AE48:$OE48))</f>
        <v/>
      </c>
      <c r="Y48" s="34"/>
      <c r="Z48" s="34" t="str" cm="1">
        <f t="array" ref="Z48">IF($C48="","",SUMPRODUCT((TEXT($AE$5:$OE$5, "mmm")=LOWER(Y$3))*$AE48:$OE48))</f>
        <v/>
      </c>
      <c r="AA48" s="34"/>
      <c r="AB48" s="34" t="str" cm="1">
        <f t="array" ref="AB48">IF($C48="","",SUMPRODUCT((TEXT($AE$5:$OE$5, "mmm")=LOWER(AA$3))*$AE48:$OE48))</f>
        <v/>
      </c>
      <c r="AC48" s="34"/>
      <c r="AD48" s="34" t="str" cm="1">
        <f t="array" ref="AD48">IF($C48="","",SUMPRODUCT((TEXT($AE$5:$OE$5, "mmm")=LOWER(AC$3))*$AE48:$OE48))</f>
        <v/>
      </c>
      <c r="OE48" s="49"/>
    </row>
    <row r="49" spans="1:395">
      <c r="A49" s="35"/>
      <c r="C49" s="2" t="str">
        <f>IF(ISBLANK($B49),"",_xlfn.XLOOKUP($B49,Task_No,Project!$C$3:$C$144,"INVALID TASK"))</f>
        <v/>
      </c>
      <c r="D49" s="27"/>
      <c r="E49" s="7" t="str">
        <f t="shared" si="17"/>
        <v/>
      </c>
      <c r="F49" s="7" t="str">
        <f t="shared" si="18"/>
        <v/>
      </c>
      <c r="G49" s="34"/>
      <c r="H49" s="34" t="str" cm="1">
        <f t="array" ref="H49">IF($C49="","",SUMPRODUCT((TEXT($AE$5:$OE$5, "mmm")=LOWER(G$3))*$AE49:$OE49))</f>
        <v/>
      </c>
      <c r="I49" s="34"/>
      <c r="J49" s="34" t="str" cm="1">
        <f t="array" ref="J49">IF($C49="","",SUMPRODUCT((TEXT($AE$5:$OE$5, "mmm")=LOWER(I$3))*$AE49:$OE49))</f>
        <v/>
      </c>
      <c r="K49" s="34"/>
      <c r="L49" s="34" t="str" cm="1">
        <f t="array" ref="L49">IF($C49="","",SUMPRODUCT((TEXT($AE$5:$OE$5, "mmm")=LOWER(K$3))*$AE49:$OE49))</f>
        <v/>
      </c>
      <c r="M49" s="34"/>
      <c r="N49" s="34" t="str" cm="1">
        <f t="array" ref="N49">IF($C49="","",SUMPRODUCT((TEXT($AE$5:$OE$5, "mmm")=LOWER(M$3))*$AE49:$OE49))</f>
        <v/>
      </c>
      <c r="O49" s="34"/>
      <c r="P49" s="34" t="str" cm="1">
        <f t="array" ref="P49">IF($C49="","",SUMPRODUCT((TEXT($AE$5:$OE$5, "mmm")=LOWER(O$3))*$AE49:$OE49))</f>
        <v/>
      </c>
      <c r="Q49" s="34"/>
      <c r="R49" s="34" t="str" cm="1">
        <f t="array" ref="R49">IF($C49="","",SUMPRODUCT((TEXT($AE$5:$OE$5, "mmm")=LOWER(Q$3))*$AE49:$OE49))</f>
        <v/>
      </c>
      <c r="S49" s="34"/>
      <c r="T49" s="34" t="str" cm="1">
        <f t="array" ref="T49">IF($C49="","",SUMPRODUCT((TEXT($AE$5:$OE$5, "mmm")=LOWER(S$3))*$AE49:$OE49))</f>
        <v/>
      </c>
      <c r="U49" s="34"/>
      <c r="V49" s="34" t="str" cm="1">
        <f t="array" ref="V49">IF($C49="","",SUMPRODUCT((TEXT($AE$5:$OE$5, "mmm")=LOWER(U$3))*$AE49:$OE49))</f>
        <v/>
      </c>
      <c r="W49" s="34"/>
      <c r="X49" s="34" t="str" cm="1">
        <f t="array" ref="X49">IF($C49="","",SUMPRODUCT((TEXT($AE$5:$OE$5, "mmm")=LOWER(W$3))*$AE49:$OE49))</f>
        <v/>
      </c>
      <c r="Y49" s="34"/>
      <c r="Z49" s="34" t="str" cm="1">
        <f t="array" ref="Z49">IF($C49="","",SUMPRODUCT((TEXT($AE$5:$OE$5, "mmm")=LOWER(Y$3))*$AE49:$OE49))</f>
        <v/>
      </c>
      <c r="AA49" s="34"/>
      <c r="AB49" s="34" t="str" cm="1">
        <f t="array" ref="AB49">IF($C49="","",SUMPRODUCT((TEXT($AE$5:$OE$5, "mmm")=LOWER(AA$3))*$AE49:$OE49))</f>
        <v/>
      </c>
      <c r="AC49" s="34"/>
      <c r="AD49" s="34" t="str" cm="1">
        <f t="array" ref="AD49">IF($C49="","",SUMPRODUCT((TEXT($AE$5:$OE$5, "mmm")=LOWER(AC$3))*$AE49:$OE49))</f>
        <v/>
      </c>
      <c r="OE49" s="49"/>
    </row>
    <row r="50" spans="1:395">
      <c r="A50" s="35"/>
      <c r="C50" s="2" t="str">
        <f>IF(ISBLANK($B50),"",_xlfn.XLOOKUP($B50,Task_No,Project!$C$3:$C$144,"INVALID TASK"))</f>
        <v/>
      </c>
      <c r="D50" s="27"/>
      <c r="E50" s="7" t="str">
        <f t="shared" si="17"/>
        <v/>
      </c>
      <c r="F50" s="7" t="str">
        <f t="shared" si="18"/>
        <v/>
      </c>
      <c r="G50" s="34"/>
      <c r="H50" s="34" t="str" cm="1">
        <f t="array" ref="H50">IF($C50="","",SUMPRODUCT((TEXT($AE$5:$OE$5, "mmm")=LOWER(G$3))*$AE50:$OE50))</f>
        <v/>
      </c>
      <c r="I50" s="34"/>
      <c r="J50" s="34" t="str" cm="1">
        <f t="array" ref="J50">IF($C50="","",SUMPRODUCT((TEXT($AE$5:$OE$5, "mmm")=LOWER(I$3))*$AE50:$OE50))</f>
        <v/>
      </c>
      <c r="K50" s="34"/>
      <c r="L50" s="34" t="str" cm="1">
        <f t="array" ref="L50">IF($C50="","",SUMPRODUCT((TEXT($AE$5:$OE$5, "mmm")=LOWER(K$3))*$AE50:$OE50))</f>
        <v/>
      </c>
      <c r="M50" s="34"/>
      <c r="N50" s="34" t="str" cm="1">
        <f t="array" ref="N50">IF($C50="","",SUMPRODUCT((TEXT($AE$5:$OE$5, "mmm")=LOWER(M$3))*$AE50:$OE50))</f>
        <v/>
      </c>
      <c r="O50" s="34"/>
      <c r="P50" s="34" t="str" cm="1">
        <f t="array" ref="P50">IF($C50="","",SUMPRODUCT((TEXT($AE$5:$OE$5, "mmm")=LOWER(O$3))*$AE50:$OE50))</f>
        <v/>
      </c>
      <c r="Q50" s="34"/>
      <c r="R50" s="34" t="str" cm="1">
        <f t="array" ref="R50">IF($C50="","",SUMPRODUCT((TEXT($AE$5:$OE$5, "mmm")=LOWER(Q$3))*$AE50:$OE50))</f>
        <v/>
      </c>
      <c r="S50" s="34"/>
      <c r="T50" s="34" t="str" cm="1">
        <f t="array" ref="T50">IF($C50="","",SUMPRODUCT((TEXT($AE$5:$OE$5, "mmm")=LOWER(S$3))*$AE50:$OE50))</f>
        <v/>
      </c>
      <c r="U50" s="34"/>
      <c r="V50" s="34" t="str" cm="1">
        <f t="array" ref="V50">IF($C50="","",SUMPRODUCT((TEXT($AE$5:$OE$5, "mmm")=LOWER(U$3))*$AE50:$OE50))</f>
        <v/>
      </c>
      <c r="W50" s="34"/>
      <c r="X50" s="34" t="str" cm="1">
        <f t="array" ref="X50">IF($C50="","",SUMPRODUCT((TEXT($AE$5:$OE$5, "mmm")=LOWER(W$3))*$AE50:$OE50))</f>
        <v/>
      </c>
      <c r="Y50" s="34"/>
      <c r="Z50" s="34" t="str" cm="1">
        <f t="array" ref="Z50">IF($C50="","",SUMPRODUCT((TEXT($AE$5:$OE$5, "mmm")=LOWER(Y$3))*$AE50:$OE50))</f>
        <v/>
      </c>
      <c r="AA50" s="34"/>
      <c r="AB50" s="34" t="str" cm="1">
        <f t="array" ref="AB50">IF($C50="","",SUMPRODUCT((TEXT($AE$5:$OE$5, "mmm")=LOWER(AA$3))*$AE50:$OE50))</f>
        <v/>
      </c>
      <c r="AC50" s="34"/>
      <c r="AD50" s="34" t="str" cm="1">
        <f t="array" ref="AD50">IF($C50="","",SUMPRODUCT((TEXT($AE$5:$OE$5, "mmm")=LOWER(AC$3))*$AE50:$OE50))</f>
        <v/>
      </c>
      <c r="OE50" s="49"/>
    </row>
    <row r="51" spans="1:395">
      <c r="A51" s="35"/>
      <c r="C51" s="2" t="str">
        <f>IF(ISBLANK($B51),"",_xlfn.XLOOKUP($B51,Task_No,Project!$C$3:$C$144,"INVALID TASK"))</f>
        <v/>
      </c>
      <c r="E51" s="7" t="str">
        <f t="shared" si="17"/>
        <v/>
      </c>
      <c r="F51" s="7" t="str">
        <f t="shared" si="18"/>
        <v/>
      </c>
      <c r="G51" s="34"/>
      <c r="H51" s="34" t="str" cm="1">
        <f t="array" ref="H51">IF($C51="","",SUMPRODUCT((TEXT($AE$5:$OE$5, "mmm")=LOWER(G$3))*$AE51:$OE51))</f>
        <v/>
      </c>
      <c r="I51" s="34"/>
      <c r="J51" s="34" t="str" cm="1">
        <f t="array" ref="J51">IF($C51="","",SUMPRODUCT((TEXT($AE$5:$OE$5, "mmm")=LOWER(I$3))*$AE51:$OE51))</f>
        <v/>
      </c>
      <c r="K51" s="34"/>
      <c r="L51" s="34" t="str" cm="1">
        <f t="array" ref="L51">IF($C51="","",SUMPRODUCT((TEXT($AE$5:$OE$5, "mmm")=LOWER(K$3))*$AE51:$OE51))</f>
        <v/>
      </c>
      <c r="M51" s="34"/>
      <c r="N51" s="34" t="str" cm="1">
        <f t="array" ref="N51">IF($C51="","",SUMPRODUCT((TEXT($AE$5:$OE$5, "mmm")=LOWER(M$3))*$AE51:$OE51))</f>
        <v/>
      </c>
      <c r="O51" s="34"/>
      <c r="P51" s="34" t="str" cm="1">
        <f t="array" ref="P51">IF($C51="","",SUMPRODUCT((TEXT($AE$5:$OE$5, "mmm")=LOWER(O$3))*$AE51:$OE51))</f>
        <v/>
      </c>
      <c r="Q51" s="34"/>
      <c r="R51" s="34" t="str" cm="1">
        <f t="array" ref="R51">IF($C51="","",SUMPRODUCT((TEXT($AE$5:$OE$5, "mmm")=LOWER(Q$3))*$AE51:$OE51))</f>
        <v/>
      </c>
      <c r="S51" s="34"/>
      <c r="T51" s="34" t="str" cm="1">
        <f t="array" ref="T51">IF($C51="","",SUMPRODUCT((TEXT($AE$5:$OE$5, "mmm")=LOWER(S$3))*$AE51:$OE51))</f>
        <v/>
      </c>
      <c r="U51" s="34"/>
      <c r="V51" s="34" t="str" cm="1">
        <f t="array" ref="V51">IF($C51="","",SUMPRODUCT((TEXT($AE$5:$OE$5, "mmm")=LOWER(U$3))*$AE51:$OE51))</f>
        <v/>
      </c>
      <c r="W51" s="34"/>
      <c r="X51" s="34" t="str" cm="1">
        <f t="array" ref="X51">IF($C51="","",SUMPRODUCT((TEXT($AE$5:$OE$5, "mmm")=LOWER(W$3))*$AE51:$OE51))</f>
        <v/>
      </c>
      <c r="Y51" s="34"/>
      <c r="Z51" s="34" t="str" cm="1">
        <f t="array" ref="Z51">IF($C51="","",SUMPRODUCT((TEXT($AE$5:$OE$5, "mmm")=LOWER(Y$3))*$AE51:$OE51))</f>
        <v/>
      </c>
      <c r="AA51" s="34"/>
      <c r="AB51" s="34" t="str" cm="1">
        <f t="array" ref="AB51">IF($C51="","",SUMPRODUCT((TEXT($AE$5:$OE$5, "mmm")=LOWER(AA$3))*$AE51:$OE51))</f>
        <v/>
      </c>
      <c r="AC51" s="34"/>
      <c r="AD51" s="34" t="str" cm="1">
        <f t="array" ref="AD51">IF($C51="","",SUMPRODUCT((TEXT($AE$5:$OE$5, "mmm")=LOWER(AC$3))*$AE51:$OE51))</f>
        <v/>
      </c>
      <c r="OE51" s="49"/>
    </row>
    <row r="52" spans="1:395">
      <c r="A52" s="35"/>
      <c r="C52" s="2" t="str">
        <f>IF(ISBLANK($B52),"",_xlfn.XLOOKUP($B52,Task_No,Project!$C$3:$C$144,"INVALID TASK"))</f>
        <v/>
      </c>
      <c r="E52" s="7" t="str">
        <f t="shared" si="17"/>
        <v/>
      </c>
      <c r="F52" s="7" t="str">
        <f t="shared" si="18"/>
        <v/>
      </c>
      <c r="G52" s="34"/>
      <c r="H52" s="34" t="str" cm="1">
        <f t="array" ref="H52">IF($C52="","",SUMPRODUCT((TEXT($AE$5:$OE$5, "mmm")=LOWER(G$3))*$AE52:$OE52))</f>
        <v/>
      </c>
      <c r="I52" s="34"/>
      <c r="J52" s="34" t="str" cm="1">
        <f t="array" ref="J52">IF($C52="","",SUMPRODUCT((TEXT($AE$5:$OE$5, "mmm")=LOWER(I$3))*$AE52:$OE52))</f>
        <v/>
      </c>
      <c r="K52" s="34"/>
      <c r="L52" s="34" t="str" cm="1">
        <f t="array" ref="L52">IF($C52="","",SUMPRODUCT((TEXT($AE$5:$OE$5, "mmm")=LOWER(K$3))*$AE52:$OE52))</f>
        <v/>
      </c>
      <c r="M52" s="34"/>
      <c r="N52" s="34" t="str" cm="1">
        <f t="array" ref="N52">IF($C52="","",SUMPRODUCT((TEXT($AE$5:$OE$5, "mmm")=LOWER(M$3))*$AE52:$OE52))</f>
        <v/>
      </c>
      <c r="O52" s="34"/>
      <c r="P52" s="34" t="str" cm="1">
        <f t="array" ref="P52">IF($C52="","",SUMPRODUCT((TEXT($AE$5:$OE$5, "mmm")=LOWER(O$3))*$AE52:$OE52))</f>
        <v/>
      </c>
      <c r="Q52" s="34"/>
      <c r="R52" s="34" t="str" cm="1">
        <f t="array" ref="R52">IF($C52="","",SUMPRODUCT((TEXT($AE$5:$OE$5, "mmm")=LOWER(Q$3))*$AE52:$OE52))</f>
        <v/>
      </c>
      <c r="S52" s="34"/>
      <c r="T52" s="34" t="str" cm="1">
        <f t="array" ref="T52">IF($C52="","",SUMPRODUCT((TEXT($AE$5:$OE$5, "mmm")=LOWER(S$3))*$AE52:$OE52))</f>
        <v/>
      </c>
      <c r="U52" s="34"/>
      <c r="V52" s="34" t="str" cm="1">
        <f t="array" ref="V52">IF($C52="","",SUMPRODUCT((TEXT($AE$5:$OE$5, "mmm")=LOWER(U$3))*$AE52:$OE52))</f>
        <v/>
      </c>
      <c r="W52" s="34"/>
      <c r="X52" s="34" t="str" cm="1">
        <f t="array" ref="X52">IF($C52="","",SUMPRODUCT((TEXT($AE$5:$OE$5, "mmm")=LOWER(W$3))*$AE52:$OE52))</f>
        <v/>
      </c>
      <c r="Y52" s="34"/>
      <c r="Z52" s="34" t="str" cm="1">
        <f t="array" ref="Z52">IF($C52="","",SUMPRODUCT((TEXT($AE$5:$OE$5, "mmm")=LOWER(Y$3))*$AE52:$OE52))</f>
        <v/>
      </c>
      <c r="AA52" s="34"/>
      <c r="AB52" s="34" t="str" cm="1">
        <f t="array" ref="AB52">IF($C52="","",SUMPRODUCT((TEXT($AE$5:$OE$5, "mmm")=LOWER(AA$3))*$AE52:$OE52))</f>
        <v/>
      </c>
      <c r="AC52" s="34"/>
      <c r="AD52" s="34" t="str" cm="1">
        <f t="array" ref="AD52">IF($C52="","",SUMPRODUCT((TEXT($AE$5:$OE$5, "mmm")=LOWER(AC$3))*$AE52:$OE52))</f>
        <v/>
      </c>
      <c r="OE52" s="49"/>
    </row>
    <row r="53" spans="1:395">
      <c r="A53" s="35"/>
      <c r="C53" s="2" t="str">
        <f>IF(ISBLANK($B53),"",_xlfn.XLOOKUP($B53,Task_No,Project!$C$3:$C$144,"INVALID TASK"))</f>
        <v/>
      </c>
      <c r="E53" s="7" t="str">
        <f t="shared" si="17"/>
        <v/>
      </c>
      <c r="F53" s="7" t="str">
        <f t="shared" si="18"/>
        <v/>
      </c>
      <c r="G53" s="34"/>
      <c r="H53" s="34" t="str" cm="1">
        <f t="array" ref="H53">IF($C53="","",SUMPRODUCT((TEXT($AE$5:$OE$5, "mmm")=LOWER(G$3))*$AE53:$OE53))</f>
        <v/>
      </c>
      <c r="I53" s="34"/>
      <c r="J53" s="34" t="str" cm="1">
        <f t="array" ref="J53">IF($C53="","",SUMPRODUCT((TEXT($AE$5:$OE$5, "mmm")=LOWER(I$3))*$AE53:$OE53))</f>
        <v/>
      </c>
      <c r="K53" s="34"/>
      <c r="L53" s="34" t="str" cm="1">
        <f t="array" ref="L53">IF($C53="","",SUMPRODUCT((TEXT($AE$5:$OE$5, "mmm")=LOWER(K$3))*$AE53:$OE53))</f>
        <v/>
      </c>
      <c r="M53" s="34"/>
      <c r="N53" s="34" t="str" cm="1">
        <f t="array" ref="N53">IF($C53="","",SUMPRODUCT((TEXT($AE$5:$OE$5, "mmm")=LOWER(M$3))*$AE53:$OE53))</f>
        <v/>
      </c>
      <c r="O53" s="34"/>
      <c r="P53" s="34" t="str" cm="1">
        <f t="array" ref="P53">IF($C53="","",SUMPRODUCT((TEXT($AE$5:$OE$5, "mmm")=LOWER(O$3))*$AE53:$OE53))</f>
        <v/>
      </c>
      <c r="Q53" s="34"/>
      <c r="R53" s="34" t="str" cm="1">
        <f t="array" ref="R53">IF($C53="","",SUMPRODUCT((TEXT($AE$5:$OE$5, "mmm")=LOWER(Q$3))*$AE53:$OE53))</f>
        <v/>
      </c>
      <c r="S53" s="34"/>
      <c r="T53" s="34" t="str" cm="1">
        <f t="array" ref="T53">IF($C53="","",SUMPRODUCT((TEXT($AE$5:$OE$5, "mmm")=LOWER(S$3))*$AE53:$OE53))</f>
        <v/>
      </c>
      <c r="U53" s="34"/>
      <c r="V53" s="34" t="str" cm="1">
        <f t="array" ref="V53">IF($C53="","",SUMPRODUCT((TEXT($AE$5:$OE$5, "mmm")=LOWER(U$3))*$AE53:$OE53))</f>
        <v/>
      </c>
      <c r="W53" s="34"/>
      <c r="X53" s="34" t="str" cm="1">
        <f t="array" ref="X53">IF($C53="","",SUMPRODUCT((TEXT($AE$5:$OE$5, "mmm")=LOWER(W$3))*$AE53:$OE53))</f>
        <v/>
      </c>
      <c r="Y53" s="34"/>
      <c r="Z53" s="34" t="str" cm="1">
        <f t="array" ref="Z53">IF($C53="","",SUMPRODUCT((TEXT($AE$5:$OE$5, "mmm")=LOWER(Y$3))*$AE53:$OE53))</f>
        <v/>
      </c>
      <c r="AA53" s="34"/>
      <c r="AB53" s="34" t="str" cm="1">
        <f t="array" ref="AB53">IF($C53="","",SUMPRODUCT((TEXT($AE$5:$OE$5, "mmm")=LOWER(AA$3))*$AE53:$OE53))</f>
        <v/>
      </c>
      <c r="AC53" s="34"/>
      <c r="AD53" s="34" t="str" cm="1">
        <f t="array" ref="AD53">IF($C53="","",SUMPRODUCT((TEXT($AE$5:$OE$5, "mmm")=LOWER(AC$3))*$AE53:$OE53))</f>
        <v/>
      </c>
      <c r="OE53" s="49"/>
    </row>
    <row r="54" spans="1:395">
      <c r="A54" s="35"/>
      <c r="C54" s="2" t="str">
        <f>IF(ISBLANK($B54),"",_xlfn.XLOOKUP($B54,Task_No,Project!$C$3:$C$144,"INVALID TASK"))</f>
        <v/>
      </c>
      <c r="E54" s="7" t="str">
        <f t="shared" si="17"/>
        <v/>
      </c>
      <c r="F54" s="7" t="str">
        <f t="shared" si="18"/>
        <v/>
      </c>
      <c r="G54" s="34"/>
      <c r="H54" s="34" t="str" cm="1">
        <f t="array" ref="H54">IF($C54="","",SUMPRODUCT((TEXT($AE$5:$OE$5, "mmm")=LOWER(G$3))*$AE54:$OE54))</f>
        <v/>
      </c>
      <c r="I54" s="34"/>
      <c r="J54" s="34" t="str" cm="1">
        <f t="array" ref="J54">IF($C54="","",SUMPRODUCT((TEXT($AE$5:$OE$5, "mmm")=LOWER(I$3))*$AE54:$OE54))</f>
        <v/>
      </c>
      <c r="K54" s="34"/>
      <c r="L54" s="34" t="str" cm="1">
        <f t="array" ref="L54">IF($C54="","",SUMPRODUCT((TEXT($AE$5:$OE$5, "mmm")=LOWER(K$3))*$AE54:$OE54))</f>
        <v/>
      </c>
      <c r="M54" s="34"/>
      <c r="N54" s="34" t="str" cm="1">
        <f t="array" ref="N54">IF($C54="","",SUMPRODUCT((TEXT($AE$5:$OE$5, "mmm")=LOWER(M$3))*$AE54:$OE54))</f>
        <v/>
      </c>
      <c r="O54" s="34"/>
      <c r="P54" s="34" t="str" cm="1">
        <f t="array" ref="P54">IF($C54="","",SUMPRODUCT((TEXT($AE$5:$OE$5, "mmm")=LOWER(O$3))*$AE54:$OE54))</f>
        <v/>
      </c>
      <c r="Q54" s="34"/>
      <c r="R54" s="34" t="str" cm="1">
        <f t="array" ref="R54">IF($C54="","",SUMPRODUCT((TEXT($AE$5:$OE$5, "mmm")=LOWER(Q$3))*$AE54:$OE54))</f>
        <v/>
      </c>
      <c r="S54" s="34"/>
      <c r="T54" s="34" t="str" cm="1">
        <f t="array" ref="T54">IF($C54="","",SUMPRODUCT((TEXT($AE$5:$OE$5, "mmm")=LOWER(S$3))*$AE54:$OE54))</f>
        <v/>
      </c>
      <c r="U54" s="34"/>
      <c r="V54" s="34" t="str" cm="1">
        <f t="array" ref="V54">IF($C54="","",SUMPRODUCT((TEXT($AE$5:$OE$5, "mmm")=LOWER(U$3))*$AE54:$OE54))</f>
        <v/>
      </c>
      <c r="W54" s="34"/>
      <c r="X54" s="34" t="str" cm="1">
        <f t="array" ref="X54">IF($C54="","",SUMPRODUCT((TEXT($AE$5:$OE$5, "mmm")=LOWER(W$3))*$AE54:$OE54))</f>
        <v/>
      </c>
      <c r="Y54" s="34"/>
      <c r="Z54" s="34" t="str" cm="1">
        <f t="array" ref="Z54">IF($C54="","",SUMPRODUCT((TEXT($AE$5:$OE$5, "mmm")=LOWER(Y$3))*$AE54:$OE54))</f>
        <v/>
      </c>
      <c r="AA54" s="34"/>
      <c r="AB54" s="34" t="str" cm="1">
        <f t="array" ref="AB54">IF($C54="","",SUMPRODUCT((TEXT($AE$5:$OE$5, "mmm")=LOWER(AA$3))*$AE54:$OE54))</f>
        <v/>
      </c>
      <c r="AC54" s="34"/>
      <c r="AD54" s="34" t="str" cm="1">
        <f t="array" ref="AD54">IF($C54="","",SUMPRODUCT((TEXT($AE$5:$OE$5, "mmm")=LOWER(AC$3))*$AE54:$OE54))</f>
        <v/>
      </c>
      <c r="OE54" s="49"/>
    </row>
    <row r="55" spans="1:395">
      <c r="A55" s="35"/>
      <c r="C55" s="2" t="str">
        <f>IF(ISBLANK($B55),"",_xlfn.XLOOKUP($B55,Task_No,Project!$C$3:$C$144,"INVALID TASK"))</f>
        <v/>
      </c>
      <c r="E55" s="7" t="str">
        <f t="shared" si="17"/>
        <v/>
      </c>
      <c r="F55" s="7" t="str">
        <f t="shared" si="18"/>
        <v/>
      </c>
      <c r="G55" s="34"/>
      <c r="H55" s="34" t="str" cm="1">
        <f t="array" ref="H55">IF($C55="","",SUMPRODUCT((TEXT($AE$5:$OE$5, "mmm")=LOWER(G$3))*$AE55:$OE55))</f>
        <v/>
      </c>
      <c r="I55" s="34"/>
      <c r="J55" s="34" t="str" cm="1">
        <f t="array" ref="J55">IF($C55="","",SUMPRODUCT((TEXT($AE$5:$OE$5, "mmm")=LOWER(I$3))*$AE55:$OE55))</f>
        <v/>
      </c>
      <c r="K55" s="34"/>
      <c r="L55" s="34" t="str" cm="1">
        <f t="array" ref="L55">IF($C55="","",SUMPRODUCT((TEXT($AE$5:$OE$5, "mmm")=LOWER(K$3))*$AE55:$OE55))</f>
        <v/>
      </c>
      <c r="M55" s="34"/>
      <c r="N55" s="34" t="str" cm="1">
        <f t="array" ref="N55">IF($C55="","",SUMPRODUCT((TEXT($AE$5:$OE$5, "mmm")=LOWER(M$3))*$AE55:$OE55))</f>
        <v/>
      </c>
      <c r="O55" s="34"/>
      <c r="P55" s="34" t="str" cm="1">
        <f t="array" ref="P55">IF($C55="","",SUMPRODUCT((TEXT($AE$5:$OE$5, "mmm")=LOWER(O$3))*$AE55:$OE55))</f>
        <v/>
      </c>
      <c r="Q55" s="34"/>
      <c r="R55" s="34" t="str" cm="1">
        <f t="array" ref="R55">IF($C55="","",SUMPRODUCT((TEXT($AE$5:$OE$5, "mmm")=LOWER(Q$3))*$AE55:$OE55))</f>
        <v/>
      </c>
      <c r="S55" s="34"/>
      <c r="T55" s="34" t="str" cm="1">
        <f t="array" ref="T55">IF($C55="","",SUMPRODUCT((TEXT($AE$5:$OE$5, "mmm")=LOWER(S$3))*$AE55:$OE55))</f>
        <v/>
      </c>
      <c r="U55" s="34"/>
      <c r="V55" s="34" t="str" cm="1">
        <f t="array" ref="V55">IF($C55="","",SUMPRODUCT((TEXT($AE$5:$OE$5, "mmm")=LOWER(U$3))*$AE55:$OE55))</f>
        <v/>
      </c>
      <c r="W55" s="34"/>
      <c r="X55" s="34" t="str" cm="1">
        <f t="array" ref="X55">IF($C55="","",SUMPRODUCT((TEXT($AE$5:$OE$5, "mmm")=LOWER(W$3))*$AE55:$OE55))</f>
        <v/>
      </c>
      <c r="Y55" s="34"/>
      <c r="Z55" s="34" t="str" cm="1">
        <f t="array" ref="Z55">IF($C55="","",SUMPRODUCT((TEXT($AE$5:$OE$5, "mmm")=LOWER(Y$3))*$AE55:$OE55))</f>
        <v/>
      </c>
      <c r="AA55" s="34"/>
      <c r="AB55" s="34" t="str" cm="1">
        <f t="array" ref="AB55">IF($C55="","",SUMPRODUCT((TEXT($AE$5:$OE$5, "mmm")=LOWER(AA$3))*$AE55:$OE55))</f>
        <v/>
      </c>
      <c r="AC55" s="34"/>
      <c r="AD55" s="34" t="str" cm="1">
        <f t="array" ref="AD55">IF($C55="","",SUMPRODUCT((TEXT($AE$5:$OE$5, "mmm")=LOWER(AC$3))*$AE55:$OE55))</f>
        <v/>
      </c>
      <c r="OE55" s="49"/>
    </row>
    <row r="56" spans="1:395">
      <c r="A56" s="35"/>
      <c r="C56" s="2" t="str">
        <f>IF(ISBLANK($B56),"",_xlfn.XLOOKUP($B56,Task_No,Project!$C$3:$C$144,"INVALID TASK"))</f>
        <v/>
      </c>
      <c r="E56" s="7" t="str">
        <f t="shared" si="17"/>
        <v/>
      </c>
      <c r="F56" s="7" t="str">
        <f t="shared" si="18"/>
        <v/>
      </c>
      <c r="G56" s="34"/>
      <c r="H56" s="34" t="str" cm="1">
        <f t="array" ref="H56">IF($C56="","",SUMPRODUCT((TEXT($AE$5:$OE$5, "mmm")=LOWER(G$3))*$AE56:$OE56))</f>
        <v/>
      </c>
      <c r="I56" s="34"/>
      <c r="J56" s="34" t="str" cm="1">
        <f t="array" ref="J56">IF($C56="","",SUMPRODUCT((TEXT($AE$5:$OE$5, "mmm")=LOWER(I$3))*$AE56:$OE56))</f>
        <v/>
      </c>
      <c r="K56" s="34"/>
      <c r="L56" s="34" t="str" cm="1">
        <f t="array" ref="L56">IF($C56="","",SUMPRODUCT((TEXT($AE$5:$OE$5, "mmm")=LOWER(K$3))*$AE56:$OE56))</f>
        <v/>
      </c>
      <c r="M56" s="34"/>
      <c r="N56" s="34" t="str" cm="1">
        <f t="array" ref="N56">IF($C56="","",SUMPRODUCT((TEXT($AE$5:$OE$5, "mmm")=LOWER(M$3))*$AE56:$OE56))</f>
        <v/>
      </c>
      <c r="O56" s="34"/>
      <c r="P56" s="34" t="str" cm="1">
        <f t="array" ref="P56">IF($C56="","",SUMPRODUCT((TEXT($AE$5:$OE$5, "mmm")=LOWER(O$3))*$AE56:$OE56))</f>
        <v/>
      </c>
      <c r="Q56" s="34"/>
      <c r="R56" s="34" t="str" cm="1">
        <f t="array" ref="R56">IF($C56="","",SUMPRODUCT((TEXT($AE$5:$OE$5, "mmm")=LOWER(Q$3))*$AE56:$OE56))</f>
        <v/>
      </c>
      <c r="S56" s="34"/>
      <c r="T56" s="34" t="str" cm="1">
        <f t="array" ref="T56">IF($C56="","",SUMPRODUCT((TEXT($AE$5:$OE$5, "mmm")=LOWER(S$3))*$AE56:$OE56))</f>
        <v/>
      </c>
      <c r="U56" s="34"/>
      <c r="V56" s="34" t="str" cm="1">
        <f t="array" ref="V56">IF($C56="","",SUMPRODUCT((TEXT($AE$5:$OE$5, "mmm")=LOWER(U$3))*$AE56:$OE56))</f>
        <v/>
      </c>
      <c r="W56" s="34"/>
      <c r="X56" s="34" t="str" cm="1">
        <f t="array" ref="X56">IF($C56="","",SUMPRODUCT((TEXT($AE$5:$OE$5, "mmm")=LOWER(W$3))*$AE56:$OE56))</f>
        <v/>
      </c>
      <c r="Y56" s="34"/>
      <c r="Z56" s="34" t="str" cm="1">
        <f t="array" ref="Z56">IF($C56="","",SUMPRODUCT((TEXT($AE$5:$OE$5, "mmm")=LOWER(Y$3))*$AE56:$OE56))</f>
        <v/>
      </c>
      <c r="AA56" s="34"/>
      <c r="AB56" s="34" t="str" cm="1">
        <f t="array" ref="AB56">IF($C56="","",SUMPRODUCT((TEXT($AE$5:$OE$5, "mmm")=LOWER(AA$3))*$AE56:$OE56))</f>
        <v/>
      </c>
      <c r="AC56" s="34"/>
      <c r="AD56" s="34" t="str" cm="1">
        <f t="array" ref="AD56">IF($C56="","",SUMPRODUCT((TEXT($AE$5:$OE$5, "mmm")=LOWER(AC$3))*$AE56:$OE56))</f>
        <v/>
      </c>
      <c r="OE56" s="49"/>
    </row>
    <row r="57" spans="1:395">
      <c r="A57" s="35"/>
      <c r="C57" s="2" t="str">
        <f>IF(ISBLANK($B57),"",_xlfn.XLOOKUP($B57,Task_No,Project!$C$3:$C$144,"INVALID TASK"))</f>
        <v/>
      </c>
      <c r="E57" s="7" t="str">
        <f t="shared" si="17"/>
        <v/>
      </c>
      <c r="F57" s="7" t="str">
        <f t="shared" si="18"/>
        <v/>
      </c>
      <c r="G57" s="34"/>
      <c r="H57" s="34" t="str" cm="1">
        <f t="array" ref="H57">IF($C57="","",SUMPRODUCT((TEXT($AE$5:$OE$5, "mmm")=LOWER(G$3))*$AE57:$OE57))</f>
        <v/>
      </c>
      <c r="I57" s="34"/>
      <c r="J57" s="34" t="str" cm="1">
        <f t="array" ref="J57">IF($C57="","",SUMPRODUCT((TEXT($AE$5:$OE$5, "mmm")=LOWER(I$3))*$AE57:$OE57))</f>
        <v/>
      </c>
      <c r="K57" s="34"/>
      <c r="L57" s="34" t="str" cm="1">
        <f t="array" ref="L57">IF($C57="","",SUMPRODUCT((TEXT($AE$5:$OE$5, "mmm")=LOWER(K$3))*$AE57:$OE57))</f>
        <v/>
      </c>
      <c r="M57" s="34"/>
      <c r="N57" s="34" t="str" cm="1">
        <f t="array" ref="N57">IF($C57="","",SUMPRODUCT((TEXT($AE$5:$OE$5, "mmm")=LOWER(M$3))*$AE57:$OE57))</f>
        <v/>
      </c>
      <c r="O57" s="34"/>
      <c r="P57" s="34" t="str" cm="1">
        <f t="array" ref="P57">IF($C57="","",SUMPRODUCT((TEXT($AE$5:$OE$5, "mmm")=LOWER(O$3))*$AE57:$OE57))</f>
        <v/>
      </c>
      <c r="Q57" s="34"/>
      <c r="R57" s="34" t="str" cm="1">
        <f t="array" ref="R57">IF($C57="","",SUMPRODUCT((TEXT($AE$5:$OE$5, "mmm")=LOWER(Q$3))*$AE57:$OE57))</f>
        <v/>
      </c>
      <c r="S57" s="34"/>
      <c r="T57" s="34" t="str" cm="1">
        <f t="array" ref="T57">IF($C57="","",SUMPRODUCT((TEXT($AE$5:$OE$5, "mmm")=LOWER(S$3))*$AE57:$OE57))</f>
        <v/>
      </c>
      <c r="U57" s="34"/>
      <c r="V57" s="34" t="str" cm="1">
        <f t="array" ref="V57">IF($C57="","",SUMPRODUCT((TEXT($AE$5:$OE$5, "mmm")=LOWER(U$3))*$AE57:$OE57))</f>
        <v/>
      </c>
      <c r="W57" s="34"/>
      <c r="X57" s="34" t="str" cm="1">
        <f t="array" ref="X57">IF($C57="","",SUMPRODUCT((TEXT($AE$5:$OE$5, "mmm")=LOWER(W$3))*$AE57:$OE57))</f>
        <v/>
      </c>
      <c r="Y57" s="34"/>
      <c r="Z57" s="34" t="str" cm="1">
        <f t="array" ref="Z57">IF($C57="","",SUMPRODUCT((TEXT($AE$5:$OE$5, "mmm")=LOWER(Y$3))*$AE57:$OE57))</f>
        <v/>
      </c>
      <c r="AA57" s="34"/>
      <c r="AB57" s="34" t="str" cm="1">
        <f t="array" ref="AB57">IF($C57="","",SUMPRODUCT((TEXT($AE$5:$OE$5, "mmm")=LOWER(AA$3))*$AE57:$OE57))</f>
        <v/>
      </c>
      <c r="AC57" s="34"/>
      <c r="AD57" s="34" t="str" cm="1">
        <f t="array" ref="AD57">IF($C57="","",SUMPRODUCT((TEXT($AE$5:$OE$5, "mmm")=LOWER(AC$3))*$AE57:$OE57))</f>
        <v/>
      </c>
      <c r="OE57" s="49"/>
    </row>
    <row r="58" spans="1:395">
      <c r="A58" s="35"/>
      <c r="C58" s="2" t="str">
        <f>IF(ISBLANK($B58),"",_xlfn.XLOOKUP($B58,Task_No,Project!$C$3:$C$144,"INVALID TASK"))</f>
        <v/>
      </c>
      <c r="E58" s="7" t="str">
        <f t="shared" si="17"/>
        <v/>
      </c>
      <c r="F58" s="7" t="str">
        <f t="shared" si="18"/>
        <v/>
      </c>
      <c r="G58" s="34"/>
      <c r="H58" s="34" t="str" cm="1">
        <f t="array" ref="H58">IF($C58="","",SUMPRODUCT((TEXT($AE$5:$OE$5, "mmm")=LOWER(G$3))*$AE58:$OE58))</f>
        <v/>
      </c>
      <c r="I58" s="34"/>
      <c r="J58" s="34" t="str" cm="1">
        <f t="array" ref="J58">IF($C58="","",SUMPRODUCT((TEXT($AE$5:$OE$5, "mmm")=LOWER(I$3))*$AE58:$OE58))</f>
        <v/>
      </c>
      <c r="K58" s="34"/>
      <c r="L58" s="34" t="str" cm="1">
        <f t="array" ref="L58">IF($C58="","",SUMPRODUCT((TEXT($AE$5:$OE$5, "mmm")=LOWER(K$3))*$AE58:$OE58))</f>
        <v/>
      </c>
      <c r="M58" s="34"/>
      <c r="N58" s="34" t="str" cm="1">
        <f t="array" ref="N58">IF($C58="","",SUMPRODUCT((TEXT($AE$5:$OE$5, "mmm")=LOWER(M$3))*$AE58:$OE58))</f>
        <v/>
      </c>
      <c r="O58" s="34"/>
      <c r="P58" s="34" t="str" cm="1">
        <f t="array" ref="P58">IF($C58="","",SUMPRODUCT((TEXT($AE$5:$OE$5, "mmm")=LOWER(O$3))*$AE58:$OE58))</f>
        <v/>
      </c>
      <c r="Q58" s="34"/>
      <c r="R58" s="34" t="str" cm="1">
        <f t="array" ref="R58">IF($C58="","",SUMPRODUCT((TEXT($AE$5:$OE$5, "mmm")=LOWER(Q$3))*$AE58:$OE58))</f>
        <v/>
      </c>
      <c r="S58" s="34"/>
      <c r="T58" s="34" t="str" cm="1">
        <f t="array" ref="T58">IF($C58="","",SUMPRODUCT((TEXT($AE$5:$OE$5, "mmm")=LOWER(S$3))*$AE58:$OE58))</f>
        <v/>
      </c>
      <c r="U58" s="34"/>
      <c r="V58" s="34" t="str" cm="1">
        <f t="array" ref="V58">IF($C58="","",SUMPRODUCT((TEXT($AE$5:$OE$5, "mmm")=LOWER(U$3))*$AE58:$OE58))</f>
        <v/>
      </c>
      <c r="W58" s="34"/>
      <c r="X58" s="34" t="str" cm="1">
        <f t="array" ref="X58">IF($C58="","",SUMPRODUCT((TEXT($AE$5:$OE$5, "mmm")=LOWER(W$3))*$AE58:$OE58))</f>
        <v/>
      </c>
      <c r="Y58" s="34"/>
      <c r="Z58" s="34" t="str" cm="1">
        <f t="array" ref="Z58">IF($C58="","",SUMPRODUCT((TEXT($AE$5:$OE$5, "mmm")=LOWER(Y$3))*$AE58:$OE58))</f>
        <v/>
      </c>
      <c r="AA58" s="34"/>
      <c r="AB58" s="34" t="str" cm="1">
        <f t="array" ref="AB58">IF($C58="","",SUMPRODUCT((TEXT($AE$5:$OE$5, "mmm")=LOWER(AA$3))*$AE58:$OE58))</f>
        <v/>
      </c>
      <c r="AC58" s="34"/>
      <c r="AD58" s="34" t="str" cm="1">
        <f t="array" ref="AD58">IF($C58="","",SUMPRODUCT((TEXT($AE$5:$OE$5, "mmm")=LOWER(AC$3))*$AE58:$OE58))</f>
        <v/>
      </c>
      <c r="OE58" s="49"/>
    </row>
    <row r="59" spans="1:395">
      <c r="A59" s="35"/>
      <c r="C59" s="2" t="str">
        <f>IF(ISBLANK($B59),"",_xlfn.XLOOKUP($B59,Task_No,Project!$C$3:$C$144,"INVALID TASK"))</f>
        <v/>
      </c>
      <c r="E59" s="7" t="str">
        <f t="shared" si="17"/>
        <v/>
      </c>
      <c r="F59" s="7" t="str">
        <f t="shared" si="18"/>
        <v/>
      </c>
      <c r="G59" s="34"/>
      <c r="H59" s="34" t="str" cm="1">
        <f t="array" ref="H59">IF($C59="","",SUMPRODUCT((TEXT($AE$5:$OE$5, "mmm")=LOWER(G$3))*$AE59:$OE59))</f>
        <v/>
      </c>
      <c r="I59" s="34"/>
      <c r="J59" s="34" t="str" cm="1">
        <f t="array" ref="J59">IF($C59="","",SUMPRODUCT((TEXT($AE$5:$OE$5, "mmm")=LOWER(I$3))*$AE59:$OE59))</f>
        <v/>
      </c>
      <c r="K59" s="34"/>
      <c r="L59" s="34" t="str" cm="1">
        <f t="array" ref="L59">IF($C59="","",SUMPRODUCT((TEXT($AE$5:$OE$5, "mmm")=LOWER(K$3))*$AE59:$OE59))</f>
        <v/>
      </c>
      <c r="M59" s="34"/>
      <c r="N59" s="34" t="str" cm="1">
        <f t="array" ref="N59">IF($C59="","",SUMPRODUCT((TEXT($AE$5:$OE$5, "mmm")=LOWER(M$3))*$AE59:$OE59))</f>
        <v/>
      </c>
      <c r="O59" s="34"/>
      <c r="P59" s="34" t="str" cm="1">
        <f t="array" ref="P59">IF($C59="","",SUMPRODUCT((TEXT($AE$5:$OE$5, "mmm")=LOWER(O$3))*$AE59:$OE59))</f>
        <v/>
      </c>
      <c r="Q59" s="34"/>
      <c r="R59" s="34" t="str" cm="1">
        <f t="array" ref="R59">IF($C59="","",SUMPRODUCT((TEXT($AE$5:$OE$5, "mmm")=LOWER(Q$3))*$AE59:$OE59))</f>
        <v/>
      </c>
      <c r="S59" s="34"/>
      <c r="T59" s="34" t="str" cm="1">
        <f t="array" ref="T59">IF($C59="","",SUMPRODUCT((TEXT($AE$5:$OE$5, "mmm")=LOWER(S$3))*$AE59:$OE59))</f>
        <v/>
      </c>
      <c r="U59" s="34"/>
      <c r="V59" s="34" t="str" cm="1">
        <f t="array" ref="V59">IF($C59="","",SUMPRODUCT((TEXT($AE$5:$OE$5, "mmm")=LOWER(U$3))*$AE59:$OE59))</f>
        <v/>
      </c>
      <c r="W59" s="34"/>
      <c r="X59" s="34" t="str" cm="1">
        <f t="array" ref="X59">IF($C59="","",SUMPRODUCT((TEXT($AE$5:$OE$5, "mmm")=LOWER(W$3))*$AE59:$OE59))</f>
        <v/>
      </c>
      <c r="Y59" s="34"/>
      <c r="Z59" s="34" t="str" cm="1">
        <f t="array" ref="Z59">IF($C59="","",SUMPRODUCT((TEXT($AE$5:$OE$5, "mmm")=LOWER(Y$3))*$AE59:$OE59))</f>
        <v/>
      </c>
      <c r="AA59" s="34"/>
      <c r="AB59" s="34" t="str" cm="1">
        <f t="array" ref="AB59">IF($C59="","",SUMPRODUCT((TEXT($AE$5:$OE$5, "mmm")=LOWER(AA$3))*$AE59:$OE59))</f>
        <v/>
      </c>
      <c r="AC59" s="34"/>
      <c r="AD59" s="34" t="str" cm="1">
        <f t="array" ref="AD59">IF($C59="","",SUMPRODUCT((TEXT($AE$5:$OE$5, "mmm")=LOWER(AC$3))*$AE59:$OE59))</f>
        <v/>
      </c>
      <c r="OE59" s="49"/>
    </row>
    <row r="60" spans="1:395">
      <c r="A60" s="35"/>
      <c r="C60" s="2" t="str">
        <f>IF(ISBLANK($B60),"",_xlfn.XLOOKUP($B60,Task_No,Project!$C$3:$C$144,"INVALID TASK"))</f>
        <v/>
      </c>
      <c r="E60" s="7" t="str">
        <f t="shared" si="17"/>
        <v/>
      </c>
      <c r="F60" s="7" t="str">
        <f t="shared" si="18"/>
        <v/>
      </c>
      <c r="G60" s="34"/>
      <c r="H60" s="34" t="str" cm="1">
        <f t="array" ref="H60">IF($C60="","",SUMPRODUCT((TEXT($AE$5:$OE$5, "mmm")=LOWER(G$3))*$AE60:$OE60))</f>
        <v/>
      </c>
      <c r="I60" s="34"/>
      <c r="J60" s="34" t="str" cm="1">
        <f t="array" ref="J60">IF($C60="","",SUMPRODUCT((TEXT($AE$5:$OE$5, "mmm")=LOWER(I$3))*$AE60:$OE60))</f>
        <v/>
      </c>
      <c r="K60" s="34"/>
      <c r="L60" s="34" t="str" cm="1">
        <f t="array" ref="L60">IF($C60="","",SUMPRODUCT((TEXT($AE$5:$OE$5, "mmm")=LOWER(K$3))*$AE60:$OE60))</f>
        <v/>
      </c>
      <c r="M60" s="34"/>
      <c r="N60" s="34" t="str" cm="1">
        <f t="array" ref="N60">IF($C60="","",SUMPRODUCT((TEXT($AE$5:$OE$5, "mmm")=LOWER(M$3))*$AE60:$OE60))</f>
        <v/>
      </c>
      <c r="O60" s="34"/>
      <c r="P60" s="34" t="str" cm="1">
        <f t="array" ref="P60">IF($C60="","",SUMPRODUCT((TEXT($AE$5:$OE$5, "mmm")=LOWER(O$3))*$AE60:$OE60))</f>
        <v/>
      </c>
      <c r="Q60" s="34"/>
      <c r="R60" s="34" t="str" cm="1">
        <f t="array" ref="R60">IF($C60="","",SUMPRODUCT((TEXT($AE$5:$OE$5, "mmm")=LOWER(Q$3))*$AE60:$OE60))</f>
        <v/>
      </c>
      <c r="S60" s="34"/>
      <c r="T60" s="34" t="str" cm="1">
        <f t="array" ref="T60">IF($C60="","",SUMPRODUCT((TEXT($AE$5:$OE$5, "mmm")=LOWER(S$3))*$AE60:$OE60))</f>
        <v/>
      </c>
      <c r="U60" s="34"/>
      <c r="V60" s="34" t="str" cm="1">
        <f t="array" ref="V60">IF($C60="","",SUMPRODUCT((TEXT($AE$5:$OE$5, "mmm")=LOWER(U$3))*$AE60:$OE60))</f>
        <v/>
      </c>
      <c r="W60" s="34"/>
      <c r="X60" s="34" t="str" cm="1">
        <f t="array" ref="X60">IF($C60="","",SUMPRODUCT((TEXT($AE$5:$OE$5, "mmm")=LOWER(W$3))*$AE60:$OE60))</f>
        <v/>
      </c>
      <c r="Y60" s="34"/>
      <c r="Z60" s="34" t="str" cm="1">
        <f t="array" ref="Z60">IF($C60="","",SUMPRODUCT((TEXT($AE$5:$OE$5, "mmm")=LOWER(Y$3))*$AE60:$OE60))</f>
        <v/>
      </c>
      <c r="AA60" s="34"/>
      <c r="AB60" s="34" t="str" cm="1">
        <f t="array" ref="AB60">IF($C60="","",SUMPRODUCT((TEXT($AE$5:$OE$5, "mmm")=LOWER(AA$3))*$AE60:$OE60))</f>
        <v/>
      </c>
      <c r="AC60" s="34"/>
      <c r="AD60" s="34" t="str" cm="1">
        <f t="array" ref="AD60">IF($C60="","",SUMPRODUCT((TEXT($AE$5:$OE$5, "mmm")=LOWER(AC$3))*$AE60:$OE60))</f>
        <v/>
      </c>
      <c r="OE60" s="49"/>
    </row>
    <row r="61" spans="1:395">
      <c r="A61" s="35"/>
      <c r="C61" s="2" t="str">
        <f>IF(ISBLANK($B61),"",_xlfn.XLOOKUP($B61,Task_No,Project!$C$3:$C$144,"INVALID TASK"))</f>
        <v/>
      </c>
      <c r="E61" s="7" t="str">
        <f t="shared" si="17"/>
        <v/>
      </c>
      <c r="F61" s="7" t="str">
        <f t="shared" si="18"/>
        <v/>
      </c>
      <c r="G61" s="34"/>
      <c r="H61" s="34" t="str" cm="1">
        <f t="array" ref="H61">IF($C61="","",SUMPRODUCT((TEXT($AE$5:$OE$5, "mmm")=LOWER(G$3))*$AE61:$OE61))</f>
        <v/>
      </c>
      <c r="I61" s="34"/>
      <c r="J61" s="34" t="str" cm="1">
        <f t="array" ref="J61">IF($C61="","",SUMPRODUCT((TEXT($AE$5:$OE$5, "mmm")=LOWER(I$3))*$AE61:$OE61))</f>
        <v/>
      </c>
      <c r="K61" s="34"/>
      <c r="L61" s="34" t="str" cm="1">
        <f t="array" ref="L61">IF($C61="","",SUMPRODUCT((TEXT($AE$5:$OE$5, "mmm")=LOWER(K$3))*$AE61:$OE61))</f>
        <v/>
      </c>
      <c r="M61" s="34"/>
      <c r="N61" s="34" t="str" cm="1">
        <f t="array" ref="N61">IF($C61="","",SUMPRODUCT((TEXT($AE$5:$OE$5, "mmm")=LOWER(M$3))*$AE61:$OE61))</f>
        <v/>
      </c>
      <c r="O61" s="34"/>
      <c r="P61" s="34" t="str" cm="1">
        <f t="array" ref="P61">IF($C61="","",SUMPRODUCT((TEXT($AE$5:$OE$5, "mmm")=LOWER(O$3))*$AE61:$OE61))</f>
        <v/>
      </c>
      <c r="Q61" s="34"/>
      <c r="R61" s="34" t="str" cm="1">
        <f t="array" ref="R61">IF($C61="","",SUMPRODUCT((TEXT($AE$5:$OE$5, "mmm")=LOWER(Q$3))*$AE61:$OE61))</f>
        <v/>
      </c>
      <c r="S61" s="34"/>
      <c r="T61" s="34" t="str" cm="1">
        <f t="array" ref="T61">IF($C61="","",SUMPRODUCT((TEXT($AE$5:$OE$5, "mmm")=LOWER(S$3))*$AE61:$OE61))</f>
        <v/>
      </c>
      <c r="U61" s="34"/>
      <c r="V61" s="34" t="str" cm="1">
        <f t="array" ref="V61">IF($C61="","",SUMPRODUCT((TEXT($AE$5:$OE$5, "mmm")=LOWER(U$3))*$AE61:$OE61))</f>
        <v/>
      </c>
      <c r="W61" s="34"/>
      <c r="X61" s="34" t="str" cm="1">
        <f t="array" ref="X61">IF($C61="","",SUMPRODUCT((TEXT($AE$5:$OE$5, "mmm")=LOWER(W$3))*$AE61:$OE61))</f>
        <v/>
      </c>
      <c r="Y61" s="34"/>
      <c r="Z61" s="34" t="str" cm="1">
        <f t="array" ref="Z61">IF($C61="","",SUMPRODUCT((TEXT($AE$5:$OE$5, "mmm")=LOWER(Y$3))*$AE61:$OE61))</f>
        <v/>
      </c>
      <c r="AA61" s="34"/>
      <c r="AB61" s="34" t="str" cm="1">
        <f t="array" ref="AB61">IF($C61="","",SUMPRODUCT((TEXT($AE$5:$OE$5, "mmm")=LOWER(AA$3))*$AE61:$OE61))</f>
        <v/>
      </c>
      <c r="AC61" s="34"/>
      <c r="AD61" s="34" t="str" cm="1">
        <f t="array" ref="AD61">IF($C61="","",SUMPRODUCT((TEXT($AE$5:$OE$5, "mmm")=LOWER(AC$3))*$AE61:$OE61))</f>
        <v/>
      </c>
      <c r="OE61" s="49"/>
    </row>
    <row r="62" spans="1:395">
      <c r="A62" s="35"/>
      <c r="C62" s="2" t="str">
        <f>IF(ISBLANK($B62),"",_xlfn.XLOOKUP($B62,Task_No,Project!$C$3:$C$144,"INVALID TASK"))</f>
        <v/>
      </c>
      <c r="E62" s="7" t="str">
        <f t="shared" si="17"/>
        <v/>
      </c>
      <c r="F62" s="7" t="str">
        <f t="shared" si="18"/>
        <v/>
      </c>
      <c r="G62" s="34"/>
      <c r="H62" s="34" t="str" cm="1">
        <f t="array" ref="H62">IF($C62="","",SUMPRODUCT((TEXT($AE$5:$OE$5, "mmm")=LOWER(G$3))*$AE62:$OE62))</f>
        <v/>
      </c>
      <c r="I62" s="34"/>
      <c r="J62" s="34" t="str" cm="1">
        <f t="array" ref="J62">IF($C62="","",SUMPRODUCT((TEXT($AE$5:$OE$5, "mmm")=LOWER(I$3))*$AE62:$OE62))</f>
        <v/>
      </c>
      <c r="K62" s="34"/>
      <c r="L62" s="34" t="str" cm="1">
        <f t="array" ref="L62">IF($C62="","",SUMPRODUCT((TEXT($AE$5:$OE$5, "mmm")=LOWER(K$3))*$AE62:$OE62))</f>
        <v/>
      </c>
      <c r="M62" s="34"/>
      <c r="N62" s="34" t="str" cm="1">
        <f t="array" ref="N62">IF($C62="","",SUMPRODUCT((TEXT($AE$5:$OE$5, "mmm")=LOWER(M$3))*$AE62:$OE62))</f>
        <v/>
      </c>
      <c r="O62" s="34"/>
      <c r="P62" s="34" t="str" cm="1">
        <f t="array" ref="P62">IF($C62="","",SUMPRODUCT((TEXT($AE$5:$OE$5, "mmm")=LOWER(O$3))*$AE62:$OE62))</f>
        <v/>
      </c>
      <c r="Q62" s="34"/>
      <c r="R62" s="34" t="str" cm="1">
        <f t="array" ref="R62">IF($C62="","",SUMPRODUCT((TEXT($AE$5:$OE$5, "mmm")=LOWER(Q$3))*$AE62:$OE62))</f>
        <v/>
      </c>
      <c r="S62" s="34"/>
      <c r="T62" s="34" t="str" cm="1">
        <f t="array" ref="T62">IF($C62="","",SUMPRODUCT((TEXT($AE$5:$OE$5, "mmm")=LOWER(S$3))*$AE62:$OE62))</f>
        <v/>
      </c>
      <c r="U62" s="34"/>
      <c r="V62" s="34" t="str" cm="1">
        <f t="array" ref="V62">IF($C62="","",SUMPRODUCT((TEXT($AE$5:$OE$5, "mmm")=LOWER(U$3))*$AE62:$OE62))</f>
        <v/>
      </c>
      <c r="W62" s="34"/>
      <c r="X62" s="34" t="str" cm="1">
        <f t="array" ref="X62">IF($C62="","",SUMPRODUCT((TEXT($AE$5:$OE$5, "mmm")=LOWER(W$3))*$AE62:$OE62))</f>
        <v/>
      </c>
      <c r="Y62" s="34"/>
      <c r="Z62" s="34" t="str" cm="1">
        <f t="array" ref="Z62">IF($C62="","",SUMPRODUCT((TEXT($AE$5:$OE$5, "mmm")=LOWER(Y$3))*$AE62:$OE62))</f>
        <v/>
      </c>
      <c r="AA62" s="34"/>
      <c r="AB62" s="34" t="str" cm="1">
        <f t="array" ref="AB62">IF($C62="","",SUMPRODUCT((TEXT($AE$5:$OE$5, "mmm")=LOWER(AA$3))*$AE62:$OE62))</f>
        <v/>
      </c>
      <c r="AC62" s="34"/>
      <c r="AD62" s="34" t="str" cm="1">
        <f t="array" ref="AD62">IF($C62="","",SUMPRODUCT((TEXT($AE$5:$OE$5, "mmm")=LOWER(AC$3))*$AE62:$OE62))</f>
        <v/>
      </c>
      <c r="OE62" s="49"/>
    </row>
    <row r="63" spans="1:395">
      <c r="A63" s="35"/>
      <c r="C63" s="2" t="str">
        <f>IF(ISBLANK($B63),"",_xlfn.XLOOKUP($B63,Task_No,Project!$C$3:$C$144,"INVALID TASK"))</f>
        <v/>
      </c>
      <c r="E63" s="7" t="str">
        <f t="shared" si="17"/>
        <v/>
      </c>
      <c r="F63" s="7" t="str">
        <f t="shared" si="18"/>
        <v/>
      </c>
      <c r="G63" s="34"/>
      <c r="H63" s="34" t="str" cm="1">
        <f t="array" ref="H63">IF($C63="","",SUMPRODUCT((TEXT($AE$5:$OE$5, "mmm")=LOWER(G$3))*$AE63:$OE63))</f>
        <v/>
      </c>
      <c r="I63" s="34"/>
      <c r="J63" s="34" t="str" cm="1">
        <f t="array" ref="J63">IF($C63="","",SUMPRODUCT((TEXT($AE$5:$OE$5, "mmm")=LOWER(I$3))*$AE63:$OE63))</f>
        <v/>
      </c>
      <c r="K63" s="34"/>
      <c r="L63" s="34" t="str" cm="1">
        <f t="array" ref="L63">IF($C63="","",SUMPRODUCT((TEXT($AE$5:$OE$5, "mmm")=LOWER(K$3))*$AE63:$OE63))</f>
        <v/>
      </c>
      <c r="M63" s="34"/>
      <c r="N63" s="34" t="str" cm="1">
        <f t="array" ref="N63">IF($C63="","",SUMPRODUCT((TEXT($AE$5:$OE$5, "mmm")=LOWER(M$3))*$AE63:$OE63))</f>
        <v/>
      </c>
      <c r="O63" s="34"/>
      <c r="P63" s="34" t="str" cm="1">
        <f t="array" ref="P63">IF($C63="","",SUMPRODUCT((TEXT($AE$5:$OE$5, "mmm")=LOWER(O$3))*$AE63:$OE63))</f>
        <v/>
      </c>
      <c r="Q63" s="34"/>
      <c r="R63" s="34" t="str" cm="1">
        <f t="array" ref="R63">IF($C63="","",SUMPRODUCT((TEXT($AE$5:$OE$5, "mmm")=LOWER(Q$3))*$AE63:$OE63))</f>
        <v/>
      </c>
      <c r="S63" s="34"/>
      <c r="T63" s="34" t="str" cm="1">
        <f t="array" ref="T63">IF($C63="","",SUMPRODUCT((TEXT($AE$5:$OE$5, "mmm")=LOWER(S$3))*$AE63:$OE63))</f>
        <v/>
      </c>
      <c r="U63" s="34"/>
      <c r="V63" s="34" t="str" cm="1">
        <f t="array" ref="V63">IF($C63="","",SUMPRODUCT((TEXT($AE$5:$OE$5, "mmm")=LOWER(U$3))*$AE63:$OE63))</f>
        <v/>
      </c>
      <c r="W63" s="34"/>
      <c r="X63" s="34" t="str" cm="1">
        <f t="array" ref="X63">IF($C63="","",SUMPRODUCT((TEXT($AE$5:$OE$5, "mmm")=LOWER(W$3))*$AE63:$OE63))</f>
        <v/>
      </c>
      <c r="Y63" s="34"/>
      <c r="Z63" s="34" t="str" cm="1">
        <f t="array" ref="Z63">IF($C63="","",SUMPRODUCT((TEXT($AE$5:$OE$5, "mmm")=LOWER(Y$3))*$AE63:$OE63))</f>
        <v/>
      </c>
      <c r="AA63" s="34"/>
      <c r="AB63" s="34" t="str" cm="1">
        <f t="array" ref="AB63">IF($C63="","",SUMPRODUCT((TEXT($AE$5:$OE$5, "mmm")=LOWER(AA$3))*$AE63:$OE63))</f>
        <v/>
      </c>
      <c r="AC63" s="34"/>
      <c r="AD63" s="34" t="str" cm="1">
        <f t="array" ref="AD63">IF($C63="","",SUMPRODUCT((TEXT($AE$5:$OE$5, "mmm")=LOWER(AC$3))*$AE63:$OE63))</f>
        <v/>
      </c>
      <c r="OE63" s="49"/>
    </row>
    <row r="64" spans="1:395">
      <c r="A64" s="35"/>
      <c r="C64" s="2" t="str">
        <f>IF(ISBLANK($B64),"",_xlfn.XLOOKUP($B64,Task_No,Project!$C$3:$C$144,"INVALID TASK"))</f>
        <v/>
      </c>
      <c r="E64" s="7" t="str">
        <f t="shared" si="17"/>
        <v/>
      </c>
      <c r="F64" s="7" t="str">
        <f t="shared" si="18"/>
        <v/>
      </c>
      <c r="G64" s="34"/>
      <c r="H64" s="34" t="str" cm="1">
        <f t="array" ref="H64">IF($C64="","",SUMPRODUCT((TEXT($AE$5:$OE$5, "mmm")=LOWER(G$3))*$AE64:$OE64))</f>
        <v/>
      </c>
      <c r="I64" s="34"/>
      <c r="J64" s="34" t="str" cm="1">
        <f t="array" ref="J64">IF($C64="","",SUMPRODUCT((TEXT($AE$5:$OE$5, "mmm")=LOWER(I$3))*$AE64:$OE64))</f>
        <v/>
      </c>
      <c r="K64" s="34"/>
      <c r="L64" s="34" t="str" cm="1">
        <f t="array" ref="L64">IF($C64="","",SUMPRODUCT((TEXT($AE$5:$OE$5, "mmm")=LOWER(K$3))*$AE64:$OE64))</f>
        <v/>
      </c>
      <c r="M64" s="34"/>
      <c r="N64" s="34" t="str" cm="1">
        <f t="array" ref="N64">IF($C64="","",SUMPRODUCT((TEXT($AE$5:$OE$5, "mmm")=LOWER(M$3))*$AE64:$OE64))</f>
        <v/>
      </c>
      <c r="O64" s="34"/>
      <c r="P64" s="34" t="str" cm="1">
        <f t="array" ref="P64">IF($C64="","",SUMPRODUCT((TEXT($AE$5:$OE$5, "mmm")=LOWER(O$3))*$AE64:$OE64))</f>
        <v/>
      </c>
      <c r="Q64" s="34"/>
      <c r="R64" s="34" t="str" cm="1">
        <f t="array" ref="R64">IF($C64="","",SUMPRODUCT((TEXT($AE$5:$OE$5, "mmm")=LOWER(Q$3))*$AE64:$OE64))</f>
        <v/>
      </c>
      <c r="S64" s="34"/>
      <c r="T64" s="34" t="str" cm="1">
        <f t="array" ref="T64">IF($C64="","",SUMPRODUCT((TEXT($AE$5:$OE$5, "mmm")=LOWER(S$3))*$AE64:$OE64))</f>
        <v/>
      </c>
      <c r="U64" s="34"/>
      <c r="V64" s="34" t="str" cm="1">
        <f t="array" ref="V64">IF($C64="","",SUMPRODUCT((TEXT($AE$5:$OE$5, "mmm")=LOWER(U$3))*$AE64:$OE64))</f>
        <v/>
      </c>
      <c r="W64" s="34"/>
      <c r="X64" s="34" t="str" cm="1">
        <f t="array" ref="X64">IF($C64="","",SUMPRODUCT((TEXT($AE$5:$OE$5, "mmm")=LOWER(W$3))*$AE64:$OE64))</f>
        <v/>
      </c>
      <c r="Y64" s="34"/>
      <c r="Z64" s="34" t="str" cm="1">
        <f t="array" ref="Z64">IF($C64="","",SUMPRODUCT((TEXT($AE$5:$OE$5, "mmm")=LOWER(Y$3))*$AE64:$OE64))</f>
        <v/>
      </c>
      <c r="AA64" s="34"/>
      <c r="AB64" s="34" t="str" cm="1">
        <f t="array" ref="AB64">IF($C64="","",SUMPRODUCT((TEXT($AE$5:$OE$5, "mmm")=LOWER(AA$3))*$AE64:$OE64))</f>
        <v/>
      </c>
      <c r="AC64" s="34"/>
      <c r="AD64" s="34" t="str" cm="1">
        <f t="array" ref="AD64">IF($C64="","",SUMPRODUCT((TEXT($AE$5:$OE$5, "mmm")=LOWER(AC$3))*$AE64:$OE64))</f>
        <v/>
      </c>
      <c r="OE64" s="49"/>
    </row>
    <row r="65" spans="1:395">
      <c r="A65" s="35"/>
      <c r="C65" s="2" t="str">
        <f>IF(ISBLANK($B65),"",_xlfn.XLOOKUP($B65,Task_No,Project!$C$3:$C$144,"INVALID TASK"))</f>
        <v/>
      </c>
      <c r="E65" s="7" t="str">
        <f t="shared" si="17"/>
        <v/>
      </c>
      <c r="F65" s="7" t="str">
        <f t="shared" si="18"/>
        <v/>
      </c>
      <c r="G65" s="34"/>
      <c r="H65" s="34" t="str" cm="1">
        <f t="array" ref="H65">IF($C65="","",SUMPRODUCT((TEXT($AE$5:$OE$5, "mmm")=LOWER(G$3))*$AE65:$OE65))</f>
        <v/>
      </c>
      <c r="I65" s="34"/>
      <c r="J65" s="34" t="str" cm="1">
        <f t="array" ref="J65">IF($C65="","",SUMPRODUCT((TEXT($AE$5:$OE$5, "mmm")=LOWER(I$3))*$AE65:$OE65))</f>
        <v/>
      </c>
      <c r="K65" s="34"/>
      <c r="L65" s="34" t="str" cm="1">
        <f t="array" ref="L65">IF($C65="","",SUMPRODUCT((TEXT($AE$5:$OE$5, "mmm")=LOWER(K$3))*$AE65:$OE65))</f>
        <v/>
      </c>
      <c r="M65" s="34"/>
      <c r="N65" s="34" t="str" cm="1">
        <f t="array" ref="N65">IF($C65="","",SUMPRODUCT((TEXT($AE$5:$OE$5, "mmm")=LOWER(M$3))*$AE65:$OE65))</f>
        <v/>
      </c>
      <c r="O65" s="34"/>
      <c r="P65" s="34" t="str" cm="1">
        <f t="array" ref="P65">IF($C65="","",SUMPRODUCT((TEXT($AE$5:$OE$5, "mmm")=LOWER(O$3))*$AE65:$OE65))</f>
        <v/>
      </c>
      <c r="Q65" s="34"/>
      <c r="R65" s="34" t="str" cm="1">
        <f t="array" ref="R65">IF($C65="","",SUMPRODUCT((TEXT($AE$5:$OE$5, "mmm")=LOWER(Q$3))*$AE65:$OE65))</f>
        <v/>
      </c>
      <c r="S65" s="34"/>
      <c r="T65" s="34" t="str" cm="1">
        <f t="array" ref="T65">IF($C65="","",SUMPRODUCT((TEXT($AE$5:$OE$5, "mmm")=LOWER(S$3))*$AE65:$OE65))</f>
        <v/>
      </c>
      <c r="U65" s="34"/>
      <c r="V65" s="34" t="str" cm="1">
        <f t="array" ref="V65">IF($C65="","",SUMPRODUCT((TEXT($AE$5:$OE$5, "mmm")=LOWER(U$3))*$AE65:$OE65))</f>
        <v/>
      </c>
      <c r="W65" s="34"/>
      <c r="X65" s="34" t="str" cm="1">
        <f t="array" ref="X65">IF($C65="","",SUMPRODUCT((TEXT($AE$5:$OE$5, "mmm")=LOWER(W$3))*$AE65:$OE65))</f>
        <v/>
      </c>
      <c r="Y65" s="34"/>
      <c r="Z65" s="34" t="str" cm="1">
        <f t="array" ref="Z65">IF($C65="","",SUMPRODUCT((TEXT($AE$5:$OE$5, "mmm")=LOWER(Y$3))*$AE65:$OE65))</f>
        <v/>
      </c>
      <c r="AA65" s="34"/>
      <c r="AB65" s="34" t="str" cm="1">
        <f t="array" ref="AB65">IF($C65="","",SUMPRODUCT((TEXT($AE$5:$OE$5, "mmm")=LOWER(AA$3))*$AE65:$OE65))</f>
        <v/>
      </c>
      <c r="AC65" s="34"/>
      <c r="AD65" s="34" t="str" cm="1">
        <f t="array" ref="AD65">IF($C65="","",SUMPRODUCT((TEXT($AE$5:$OE$5, "mmm")=LOWER(AC$3))*$AE65:$OE65))</f>
        <v/>
      </c>
      <c r="OE65" s="49"/>
    </row>
    <row r="66" spans="1:395">
      <c r="A66" s="35"/>
      <c r="C66" s="2" t="str">
        <f>IF(ISBLANK($B66),"",_xlfn.XLOOKUP($B66,Task_No,Project!$C$3:$C$144,"INVALID TASK"))</f>
        <v/>
      </c>
      <c r="E66" s="7" t="str">
        <f t="shared" si="17"/>
        <v/>
      </c>
      <c r="F66" s="7" t="str">
        <f t="shared" si="18"/>
        <v/>
      </c>
      <c r="G66" s="34"/>
      <c r="H66" s="34" t="str" cm="1">
        <f t="array" ref="H66">IF($C66="","",SUMPRODUCT((TEXT($AE$5:$OE$5, "mmm")=LOWER(G$3))*$AE66:$OE66))</f>
        <v/>
      </c>
      <c r="I66" s="34"/>
      <c r="J66" s="34" t="str" cm="1">
        <f t="array" ref="J66">IF($C66="","",SUMPRODUCT((TEXT($AE$5:$OE$5, "mmm")=LOWER(I$3))*$AE66:$OE66))</f>
        <v/>
      </c>
      <c r="K66" s="34"/>
      <c r="L66" s="34" t="str" cm="1">
        <f t="array" ref="L66">IF($C66="","",SUMPRODUCT((TEXT($AE$5:$OE$5, "mmm")=LOWER(K$3))*$AE66:$OE66))</f>
        <v/>
      </c>
      <c r="M66" s="34"/>
      <c r="N66" s="34" t="str" cm="1">
        <f t="array" ref="N66">IF($C66="","",SUMPRODUCT((TEXT($AE$5:$OE$5, "mmm")=LOWER(M$3))*$AE66:$OE66))</f>
        <v/>
      </c>
      <c r="O66" s="34"/>
      <c r="P66" s="34" t="str" cm="1">
        <f t="array" ref="P66">IF($C66="","",SUMPRODUCT((TEXT($AE$5:$OE$5, "mmm")=LOWER(O$3))*$AE66:$OE66))</f>
        <v/>
      </c>
      <c r="Q66" s="34"/>
      <c r="R66" s="34" t="str" cm="1">
        <f t="array" ref="R66">IF($C66="","",SUMPRODUCT((TEXT($AE$5:$OE$5, "mmm")=LOWER(Q$3))*$AE66:$OE66))</f>
        <v/>
      </c>
      <c r="S66" s="34"/>
      <c r="T66" s="34" t="str" cm="1">
        <f t="array" ref="T66">IF($C66="","",SUMPRODUCT((TEXT($AE$5:$OE$5, "mmm")=LOWER(S$3))*$AE66:$OE66))</f>
        <v/>
      </c>
      <c r="U66" s="34"/>
      <c r="V66" s="34" t="str" cm="1">
        <f t="array" ref="V66">IF($C66="","",SUMPRODUCT((TEXT($AE$5:$OE$5, "mmm")=LOWER(U$3))*$AE66:$OE66))</f>
        <v/>
      </c>
      <c r="W66" s="34"/>
      <c r="X66" s="34" t="str" cm="1">
        <f t="array" ref="X66">IF($C66="","",SUMPRODUCT((TEXT($AE$5:$OE$5, "mmm")=LOWER(W$3))*$AE66:$OE66))</f>
        <v/>
      </c>
      <c r="Y66" s="34"/>
      <c r="Z66" s="34" t="str" cm="1">
        <f t="array" ref="Z66">IF($C66="","",SUMPRODUCT((TEXT($AE$5:$OE$5, "mmm")=LOWER(Y$3))*$AE66:$OE66))</f>
        <v/>
      </c>
      <c r="AA66" s="34"/>
      <c r="AB66" s="34" t="str" cm="1">
        <f t="array" ref="AB66">IF($C66="","",SUMPRODUCT((TEXT($AE$5:$OE$5, "mmm")=LOWER(AA$3))*$AE66:$OE66))</f>
        <v/>
      </c>
      <c r="AC66" s="34"/>
      <c r="AD66" s="34" t="str" cm="1">
        <f t="array" ref="AD66">IF($C66="","",SUMPRODUCT((TEXT($AE$5:$OE$5, "mmm")=LOWER(AC$3))*$AE66:$OE66))</f>
        <v/>
      </c>
      <c r="OE66" s="49"/>
    </row>
    <row r="67" spans="1:395">
      <c r="A67" s="35"/>
      <c r="C67" s="2" t="str">
        <f>IF(ISBLANK($B67),"",_xlfn.XLOOKUP($B67,Task_No,Project!$C$3:$C$144,"INVALID TASK"))</f>
        <v/>
      </c>
      <c r="E67" s="7" t="str">
        <f t="shared" si="17"/>
        <v/>
      </c>
      <c r="F67" s="7" t="str">
        <f t="shared" si="18"/>
        <v/>
      </c>
      <c r="G67" s="34"/>
      <c r="H67" s="34" t="str" cm="1">
        <f t="array" ref="H67">IF($C67="","",SUMPRODUCT((TEXT($AE$5:$OE$5, "mmm")=LOWER(G$3))*$AE67:$OE67))</f>
        <v/>
      </c>
      <c r="I67" s="34"/>
      <c r="J67" s="34" t="str" cm="1">
        <f t="array" ref="J67">IF($C67="","",SUMPRODUCT((TEXT($AE$5:$OE$5, "mmm")=LOWER(I$3))*$AE67:$OE67))</f>
        <v/>
      </c>
      <c r="K67" s="34"/>
      <c r="L67" s="34" t="str" cm="1">
        <f t="array" ref="L67">IF($C67="","",SUMPRODUCT((TEXT($AE$5:$OE$5, "mmm")=LOWER(K$3))*$AE67:$OE67))</f>
        <v/>
      </c>
      <c r="M67" s="34"/>
      <c r="N67" s="34" t="str" cm="1">
        <f t="array" ref="N67">IF($C67="","",SUMPRODUCT((TEXT($AE$5:$OE$5, "mmm")=LOWER(M$3))*$AE67:$OE67))</f>
        <v/>
      </c>
      <c r="O67" s="34"/>
      <c r="P67" s="34" t="str" cm="1">
        <f t="array" ref="P67">IF($C67="","",SUMPRODUCT((TEXT($AE$5:$OE$5, "mmm")=LOWER(O$3))*$AE67:$OE67))</f>
        <v/>
      </c>
      <c r="Q67" s="34"/>
      <c r="R67" s="34" t="str" cm="1">
        <f t="array" ref="R67">IF($C67="","",SUMPRODUCT((TEXT($AE$5:$OE$5, "mmm")=LOWER(Q$3))*$AE67:$OE67))</f>
        <v/>
      </c>
      <c r="S67" s="34"/>
      <c r="T67" s="34" t="str" cm="1">
        <f t="array" ref="T67">IF($C67="","",SUMPRODUCT((TEXT($AE$5:$OE$5, "mmm")=LOWER(S$3))*$AE67:$OE67))</f>
        <v/>
      </c>
      <c r="U67" s="34"/>
      <c r="V67" s="34" t="str" cm="1">
        <f t="array" ref="V67">IF($C67="","",SUMPRODUCT((TEXT($AE$5:$OE$5, "mmm")=LOWER(U$3))*$AE67:$OE67))</f>
        <v/>
      </c>
      <c r="W67" s="34"/>
      <c r="X67" s="34" t="str" cm="1">
        <f t="array" ref="X67">IF($C67="","",SUMPRODUCT((TEXT($AE$5:$OE$5, "mmm")=LOWER(W$3))*$AE67:$OE67))</f>
        <v/>
      </c>
      <c r="Y67" s="34"/>
      <c r="Z67" s="34" t="str" cm="1">
        <f t="array" ref="Z67">IF($C67="","",SUMPRODUCT((TEXT($AE$5:$OE$5, "mmm")=LOWER(Y$3))*$AE67:$OE67))</f>
        <v/>
      </c>
      <c r="AA67" s="34"/>
      <c r="AB67" s="34" t="str" cm="1">
        <f t="array" ref="AB67">IF($C67="","",SUMPRODUCT((TEXT($AE$5:$OE$5, "mmm")=LOWER(AA$3))*$AE67:$OE67))</f>
        <v/>
      </c>
      <c r="AC67" s="34"/>
      <c r="AD67" s="34" t="str" cm="1">
        <f t="array" ref="AD67">IF($C67="","",SUMPRODUCT((TEXT($AE$5:$OE$5, "mmm")=LOWER(AC$3))*$AE67:$OE67))</f>
        <v/>
      </c>
      <c r="OE67" s="49"/>
    </row>
    <row r="68" spans="1:395">
      <c r="A68" s="35"/>
      <c r="C68" s="2" t="str">
        <f>IF(ISBLANK($B68),"",_xlfn.XLOOKUP($B68,Task_No,Project!$C$3:$C$144,"INVALID TASK"))</f>
        <v/>
      </c>
      <c r="E68" s="7" t="str">
        <f t="shared" si="17"/>
        <v/>
      </c>
      <c r="F68" s="7" t="str">
        <f t="shared" si="18"/>
        <v/>
      </c>
      <c r="G68" s="34"/>
      <c r="H68" s="34" t="str" cm="1">
        <f t="array" ref="H68">IF($C68="","",SUMPRODUCT((TEXT($AE$5:$OE$5, "mmm")=LOWER(G$3))*$AE68:$OE68))</f>
        <v/>
      </c>
      <c r="I68" s="34"/>
      <c r="J68" s="34" t="str" cm="1">
        <f t="array" ref="J68">IF($C68="","",SUMPRODUCT((TEXT($AE$5:$OE$5, "mmm")=LOWER(I$3))*$AE68:$OE68))</f>
        <v/>
      </c>
      <c r="K68" s="34"/>
      <c r="L68" s="34" t="str" cm="1">
        <f t="array" ref="L68">IF($C68="","",SUMPRODUCT((TEXT($AE$5:$OE$5, "mmm")=LOWER(K$3))*$AE68:$OE68))</f>
        <v/>
      </c>
      <c r="M68" s="34"/>
      <c r="N68" s="34" t="str" cm="1">
        <f t="array" ref="N68">IF($C68="","",SUMPRODUCT((TEXT($AE$5:$OE$5, "mmm")=LOWER(M$3))*$AE68:$OE68))</f>
        <v/>
      </c>
      <c r="O68" s="34"/>
      <c r="P68" s="34" t="str" cm="1">
        <f t="array" ref="P68">IF($C68="","",SUMPRODUCT((TEXT($AE$5:$OE$5, "mmm")=LOWER(O$3))*$AE68:$OE68))</f>
        <v/>
      </c>
      <c r="Q68" s="34"/>
      <c r="R68" s="34" t="str" cm="1">
        <f t="array" ref="R68">IF($C68="","",SUMPRODUCT((TEXT($AE$5:$OE$5, "mmm")=LOWER(Q$3))*$AE68:$OE68))</f>
        <v/>
      </c>
      <c r="S68" s="34"/>
      <c r="T68" s="34" t="str" cm="1">
        <f t="array" ref="T68">IF($C68="","",SUMPRODUCT((TEXT($AE$5:$OE$5, "mmm")=LOWER(S$3))*$AE68:$OE68))</f>
        <v/>
      </c>
      <c r="U68" s="34"/>
      <c r="V68" s="34" t="str" cm="1">
        <f t="array" ref="V68">IF($C68="","",SUMPRODUCT((TEXT($AE$5:$OE$5, "mmm")=LOWER(U$3))*$AE68:$OE68))</f>
        <v/>
      </c>
      <c r="W68" s="34"/>
      <c r="X68" s="34" t="str" cm="1">
        <f t="array" ref="X68">IF($C68="","",SUMPRODUCT((TEXT($AE$5:$OE$5, "mmm")=LOWER(W$3))*$AE68:$OE68))</f>
        <v/>
      </c>
      <c r="Y68" s="34"/>
      <c r="Z68" s="34" t="str" cm="1">
        <f t="array" ref="Z68">IF($C68="","",SUMPRODUCT((TEXT($AE$5:$OE$5, "mmm")=LOWER(Y$3))*$AE68:$OE68))</f>
        <v/>
      </c>
      <c r="AA68" s="34"/>
      <c r="AB68" s="34" t="str" cm="1">
        <f t="array" ref="AB68">IF($C68="","",SUMPRODUCT((TEXT($AE$5:$OE$5, "mmm")=LOWER(AA$3))*$AE68:$OE68))</f>
        <v/>
      </c>
      <c r="AC68" s="34"/>
      <c r="AD68" s="34" t="str" cm="1">
        <f t="array" ref="AD68">IF($C68="","",SUMPRODUCT((TEXT($AE$5:$OE$5, "mmm")=LOWER(AC$3))*$AE68:$OE68))</f>
        <v/>
      </c>
      <c r="OE68" s="49"/>
    </row>
    <row r="69" spans="1:395">
      <c r="A69" s="35"/>
      <c r="C69" s="2" t="str">
        <f>IF(ISBLANK($B69),"",_xlfn.XLOOKUP($B69,Task_No,Project!$C$3:$C$144,"INVALID TASK"))</f>
        <v/>
      </c>
      <c r="E69" s="7" t="str">
        <f t="shared" si="17"/>
        <v/>
      </c>
      <c r="F69" s="7" t="str">
        <f t="shared" si="18"/>
        <v/>
      </c>
      <c r="G69" s="34"/>
      <c r="H69" s="34" t="str" cm="1">
        <f t="array" ref="H69">IF($C69="","",SUMPRODUCT((TEXT($AE$5:$OE$5, "mmm")=LOWER(G$3))*$AE69:$OE69))</f>
        <v/>
      </c>
      <c r="I69" s="34"/>
      <c r="J69" s="34" t="str" cm="1">
        <f t="array" ref="J69">IF($C69="","",SUMPRODUCT((TEXT($AE$5:$OE$5, "mmm")=LOWER(I$3))*$AE69:$OE69))</f>
        <v/>
      </c>
      <c r="K69" s="34"/>
      <c r="L69" s="34" t="str" cm="1">
        <f t="array" ref="L69">IF($C69="","",SUMPRODUCT((TEXT($AE$5:$OE$5, "mmm")=LOWER(K$3))*$AE69:$OE69))</f>
        <v/>
      </c>
      <c r="M69" s="34"/>
      <c r="N69" s="34" t="str" cm="1">
        <f t="array" ref="N69">IF($C69="","",SUMPRODUCT((TEXT($AE$5:$OE$5, "mmm")=LOWER(M$3))*$AE69:$OE69))</f>
        <v/>
      </c>
      <c r="O69" s="34"/>
      <c r="P69" s="34" t="str" cm="1">
        <f t="array" ref="P69">IF($C69="","",SUMPRODUCT((TEXT($AE$5:$OE$5, "mmm")=LOWER(O$3))*$AE69:$OE69))</f>
        <v/>
      </c>
      <c r="Q69" s="34"/>
      <c r="R69" s="34" t="str" cm="1">
        <f t="array" ref="R69">IF($C69="","",SUMPRODUCT((TEXT($AE$5:$OE$5, "mmm")=LOWER(Q$3))*$AE69:$OE69))</f>
        <v/>
      </c>
      <c r="S69" s="34"/>
      <c r="T69" s="34" t="str" cm="1">
        <f t="array" ref="T69">IF($C69="","",SUMPRODUCT((TEXT($AE$5:$OE$5, "mmm")=LOWER(S$3))*$AE69:$OE69))</f>
        <v/>
      </c>
      <c r="U69" s="34"/>
      <c r="V69" s="34" t="str" cm="1">
        <f t="array" ref="V69">IF($C69="","",SUMPRODUCT((TEXT($AE$5:$OE$5, "mmm")=LOWER(U$3))*$AE69:$OE69))</f>
        <v/>
      </c>
      <c r="W69" s="34"/>
      <c r="X69" s="34" t="str" cm="1">
        <f t="array" ref="X69">IF($C69="","",SUMPRODUCT((TEXT($AE$5:$OE$5, "mmm")=LOWER(W$3))*$AE69:$OE69))</f>
        <v/>
      </c>
      <c r="Y69" s="34"/>
      <c r="Z69" s="34" t="str" cm="1">
        <f t="array" ref="Z69">IF($C69="","",SUMPRODUCT((TEXT($AE$5:$OE$5, "mmm")=LOWER(Y$3))*$AE69:$OE69))</f>
        <v/>
      </c>
      <c r="AA69" s="34"/>
      <c r="AB69" s="34" t="str" cm="1">
        <f t="array" ref="AB69">IF($C69="","",SUMPRODUCT((TEXT($AE$5:$OE$5, "mmm")=LOWER(AA$3))*$AE69:$OE69))</f>
        <v/>
      </c>
      <c r="AC69" s="34"/>
      <c r="AD69" s="34" t="str" cm="1">
        <f t="array" ref="AD69">IF($C69="","",SUMPRODUCT((TEXT($AE$5:$OE$5, "mmm")=LOWER(AC$3))*$AE69:$OE69))</f>
        <v/>
      </c>
      <c r="OE69" s="49"/>
    </row>
    <row r="70" spans="1:395">
      <c r="A70" s="35"/>
      <c r="C70" s="2" t="str">
        <f>IF(ISBLANK($B70),"",_xlfn.XLOOKUP($B70,Task_No,Project!$C$3:$C$144,"INVALID TASK"))</f>
        <v/>
      </c>
      <c r="E70" s="7" t="str">
        <f t="shared" si="17"/>
        <v/>
      </c>
      <c r="F70" s="7" t="str">
        <f t="shared" si="18"/>
        <v/>
      </c>
      <c r="G70" s="34"/>
      <c r="H70" s="34" t="str" cm="1">
        <f t="array" ref="H70">IF($C70="","",SUMPRODUCT((TEXT($AE$5:$OE$5, "mmm")=LOWER(G$3))*$AE70:$OE70))</f>
        <v/>
      </c>
      <c r="I70" s="34"/>
      <c r="J70" s="34" t="str" cm="1">
        <f t="array" ref="J70">IF($C70="","",SUMPRODUCT((TEXT($AE$5:$OE$5, "mmm")=LOWER(I$3))*$AE70:$OE70))</f>
        <v/>
      </c>
      <c r="K70" s="34"/>
      <c r="L70" s="34" t="str" cm="1">
        <f t="array" ref="L70">IF($C70="","",SUMPRODUCT((TEXT($AE$5:$OE$5, "mmm")=LOWER(K$3))*$AE70:$OE70))</f>
        <v/>
      </c>
      <c r="M70" s="34"/>
      <c r="N70" s="34" t="str" cm="1">
        <f t="array" ref="N70">IF($C70="","",SUMPRODUCT((TEXT($AE$5:$OE$5, "mmm")=LOWER(M$3))*$AE70:$OE70))</f>
        <v/>
      </c>
      <c r="O70" s="34"/>
      <c r="P70" s="34" t="str" cm="1">
        <f t="array" ref="P70">IF($C70="","",SUMPRODUCT((TEXT($AE$5:$OE$5, "mmm")=LOWER(O$3))*$AE70:$OE70))</f>
        <v/>
      </c>
      <c r="Q70" s="34"/>
      <c r="R70" s="34" t="str" cm="1">
        <f t="array" ref="R70">IF($C70="","",SUMPRODUCT((TEXT($AE$5:$OE$5, "mmm")=LOWER(Q$3))*$AE70:$OE70))</f>
        <v/>
      </c>
      <c r="S70" s="34"/>
      <c r="T70" s="34" t="str" cm="1">
        <f t="array" ref="T70">IF($C70="","",SUMPRODUCT((TEXT($AE$5:$OE$5, "mmm")=LOWER(S$3))*$AE70:$OE70))</f>
        <v/>
      </c>
      <c r="U70" s="34"/>
      <c r="V70" s="34" t="str" cm="1">
        <f t="array" ref="V70">IF($C70="","",SUMPRODUCT((TEXT($AE$5:$OE$5, "mmm")=LOWER(U$3))*$AE70:$OE70))</f>
        <v/>
      </c>
      <c r="W70" s="34"/>
      <c r="X70" s="34" t="str" cm="1">
        <f t="array" ref="X70">IF($C70="","",SUMPRODUCT((TEXT($AE$5:$OE$5, "mmm")=LOWER(W$3))*$AE70:$OE70))</f>
        <v/>
      </c>
      <c r="Y70" s="34"/>
      <c r="Z70" s="34" t="str" cm="1">
        <f t="array" ref="Z70">IF($C70="","",SUMPRODUCT((TEXT($AE$5:$OE$5, "mmm")=LOWER(Y$3))*$AE70:$OE70))</f>
        <v/>
      </c>
      <c r="AA70" s="34"/>
      <c r="AB70" s="34" t="str" cm="1">
        <f t="array" ref="AB70">IF($C70="","",SUMPRODUCT((TEXT($AE$5:$OE$5, "mmm")=LOWER(AA$3))*$AE70:$OE70))</f>
        <v/>
      </c>
      <c r="AC70" s="34"/>
      <c r="AD70" s="34" t="str" cm="1">
        <f t="array" ref="AD70">IF($C70="","",SUMPRODUCT((TEXT($AE$5:$OE$5, "mmm")=LOWER(AC$3))*$AE70:$OE70))</f>
        <v/>
      </c>
      <c r="OE70" s="49"/>
    </row>
    <row r="71" spans="1:395">
      <c r="A71" s="35"/>
      <c r="C71" s="2" t="str">
        <f>IF(ISBLANK($B71),"",_xlfn.XLOOKUP($B71,Task_No,Project!$C$3:$C$144,"INVALID TASK"))</f>
        <v/>
      </c>
      <c r="E71" s="7" t="str">
        <f t="shared" si="17"/>
        <v/>
      </c>
      <c r="F71" s="7" t="str">
        <f t="shared" si="18"/>
        <v/>
      </c>
      <c r="G71" s="34"/>
      <c r="H71" s="34" t="str" cm="1">
        <f t="array" ref="H71">IF($C71="","",SUMPRODUCT((TEXT($AE$5:$OE$5, "mmm")=LOWER(G$3))*$AE71:$OE71))</f>
        <v/>
      </c>
      <c r="I71" s="34"/>
      <c r="J71" s="34" t="str" cm="1">
        <f t="array" ref="J71">IF($C71="","",SUMPRODUCT((TEXT($AE$5:$OE$5, "mmm")=LOWER(I$3))*$AE71:$OE71))</f>
        <v/>
      </c>
      <c r="K71" s="34"/>
      <c r="L71" s="34" t="str" cm="1">
        <f t="array" ref="L71">IF($C71="","",SUMPRODUCT((TEXT($AE$5:$OE$5, "mmm")=LOWER(K$3))*$AE71:$OE71))</f>
        <v/>
      </c>
      <c r="M71" s="34"/>
      <c r="N71" s="34" t="str" cm="1">
        <f t="array" ref="N71">IF($C71="","",SUMPRODUCT((TEXT($AE$5:$OE$5, "mmm")=LOWER(M$3))*$AE71:$OE71))</f>
        <v/>
      </c>
      <c r="O71" s="34"/>
      <c r="P71" s="34" t="str" cm="1">
        <f t="array" ref="P71">IF($C71="","",SUMPRODUCT((TEXT($AE$5:$OE$5, "mmm")=LOWER(O$3))*$AE71:$OE71))</f>
        <v/>
      </c>
      <c r="Q71" s="34"/>
      <c r="R71" s="34" t="str" cm="1">
        <f t="array" ref="R71">IF($C71="","",SUMPRODUCT((TEXT($AE$5:$OE$5, "mmm")=LOWER(Q$3))*$AE71:$OE71))</f>
        <v/>
      </c>
      <c r="S71" s="34"/>
      <c r="T71" s="34" t="str" cm="1">
        <f t="array" ref="T71">IF($C71="","",SUMPRODUCT((TEXT($AE$5:$OE$5, "mmm")=LOWER(S$3))*$AE71:$OE71))</f>
        <v/>
      </c>
      <c r="U71" s="34"/>
      <c r="V71" s="34" t="str" cm="1">
        <f t="array" ref="V71">IF($C71="","",SUMPRODUCT((TEXT($AE$5:$OE$5, "mmm")=LOWER(U$3))*$AE71:$OE71))</f>
        <v/>
      </c>
      <c r="W71" s="34"/>
      <c r="X71" s="34" t="str" cm="1">
        <f t="array" ref="X71">IF($C71="","",SUMPRODUCT((TEXT($AE$5:$OE$5, "mmm")=LOWER(W$3))*$AE71:$OE71))</f>
        <v/>
      </c>
      <c r="Y71" s="34"/>
      <c r="Z71" s="34" t="str" cm="1">
        <f t="array" ref="Z71">IF($C71="","",SUMPRODUCT((TEXT($AE$5:$OE$5, "mmm")=LOWER(Y$3))*$AE71:$OE71))</f>
        <v/>
      </c>
      <c r="AA71" s="34"/>
      <c r="AB71" s="34" t="str" cm="1">
        <f t="array" ref="AB71">IF($C71="","",SUMPRODUCT((TEXT($AE$5:$OE$5, "mmm")=LOWER(AA$3))*$AE71:$OE71))</f>
        <v/>
      </c>
      <c r="AC71" s="34"/>
      <c r="AD71" s="34" t="str" cm="1">
        <f t="array" ref="AD71">IF($C71="","",SUMPRODUCT((TEXT($AE$5:$OE$5, "mmm")=LOWER(AC$3))*$AE71:$OE71))</f>
        <v/>
      </c>
      <c r="OE71" s="49"/>
    </row>
    <row r="72" spans="1:395">
      <c r="A72" s="35"/>
      <c r="C72" s="2" t="str">
        <f>IF(ISBLANK($B72),"",_xlfn.XLOOKUP($B72,Task_No,Project!$C$3:$C$144,"INVALID TASK"))</f>
        <v/>
      </c>
      <c r="E72" s="7" t="str">
        <f t="shared" si="17"/>
        <v/>
      </c>
      <c r="F72" s="7" t="str">
        <f t="shared" si="18"/>
        <v/>
      </c>
      <c r="G72" s="34"/>
      <c r="H72" s="34" t="str" cm="1">
        <f t="array" ref="H72">IF($C72="","",SUMPRODUCT((TEXT($AE$5:$OE$5, "mmm")=LOWER(G$3))*$AE72:$OE72))</f>
        <v/>
      </c>
      <c r="I72" s="34"/>
      <c r="J72" s="34" t="str" cm="1">
        <f t="array" ref="J72">IF($C72="","",SUMPRODUCT((TEXT($AE$5:$OE$5, "mmm")=LOWER(I$3))*$AE72:$OE72))</f>
        <v/>
      </c>
      <c r="K72" s="34"/>
      <c r="L72" s="34" t="str" cm="1">
        <f t="array" ref="L72">IF($C72="","",SUMPRODUCT((TEXT($AE$5:$OE$5, "mmm")=LOWER(K$3))*$AE72:$OE72))</f>
        <v/>
      </c>
      <c r="M72" s="34"/>
      <c r="N72" s="34" t="str" cm="1">
        <f t="array" ref="N72">IF($C72="","",SUMPRODUCT((TEXT($AE$5:$OE$5, "mmm")=LOWER(M$3))*$AE72:$OE72))</f>
        <v/>
      </c>
      <c r="O72" s="34"/>
      <c r="P72" s="34" t="str" cm="1">
        <f t="array" ref="P72">IF($C72="","",SUMPRODUCT((TEXT($AE$5:$OE$5, "mmm")=LOWER(O$3))*$AE72:$OE72))</f>
        <v/>
      </c>
      <c r="Q72" s="34"/>
      <c r="R72" s="34" t="str" cm="1">
        <f t="array" ref="R72">IF($C72="","",SUMPRODUCT((TEXT($AE$5:$OE$5, "mmm")=LOWER(Q$3))*$AE72:$OE72))</f>
        <v/>
      </c>
      <c r="S72" s="34"/>
      <c r="T72" s="34" t="str" cm="1">
        <f t="array" ref="T72">IF($C72="","",SUMPRODUCT((TEXT($AE$5:$OE$5, "mmm")=LOWER(S$3))*$AE72:$OE72))</f>
        <v/>
      </c>
      <c r="U72" s="34"/>
      <c r="V72" s="34" t="str" cm="1">
        <f t="array" ref="V72">IF($C72="","",SUMPRODUCT((TEXT($AE$5:$OE$5, "mmm")=LOWER(U$3))*$AE72:$OE72))</f>
        <v/>
      </c>
      <c r="W72" s="34"/>
      <c r="X72" s="34" t="str" cm="1">
        <f t="array" ref="X72">IF($C72="","",SUMPRODUCT((TEXT($AE$5:$OE$5, "mmm")=LOWER(W$3))*$AE72:$OE72))</f>
        <v/>
      </c>
      <c r="Y72" s="34"/>
      <c r="Z72" s="34" t="str" cm="1">
        <f t="array" ref="Z72">IF($C72="","",SUMPRODUCT((TEXT($AE$5:$OE$5, "mmm")=LOWER(Y$3))*$AE72:$OE72))</f>
        <v/>
      </c>
      <c r="AA72" s="34"/>
      <c r="AB72" s="34" t="str" cm="1">
        <f t="array" ref="AB72">IF($C72="","",SUMPRODUCT((TEXT($AE$5:$OE$5, "mmm")=LOWER(AA$3))*$AE72:$OE72))</f>
        <v/>
      </c>
      <c r="AC72" s="34"/>
      <c r="AD72" s="34" t="str" cm="1">
        <f t="array" ref="AD72">IF($C72="","",SUMPRODUCT((TEXT($AE$5:$OE$5, "mmm")=LOWER(AC$3))*$AE72:$OE72))</f>
        <v/>
      </c>
      <c r="OE72" s="49"/>
    </row>
    <row r="73" spans="1:395">
      <c r="A73" s="35"/>
      <c r="C73" s="2" t="str">
        <f>IF(ISBLANK($B73),"",_xlfn.XLOOKUP($B73,Task_No,Project!$C$3:$C$144,"INVALID TASK"))</f>
        <v/>
      </c>
      <c r="E73" s="7" t="str">
        <f t="shared" si="17"/>
        <v/>
      </c>
      <c r="F73" s="7" t="str">
        <f t="shared" si="18"/>
        <v/>
      </c>
      <c r="G73" s="34"/>
      <c r="H73" s="34" t="str" cm="1">
        <f t="array" ref="H73">IF($C73="","",SUMPRODUCT((TEXT($AE$5:$OE$5, "mmm")=LOWER(G$3))*$AE73:$OE73))</f>
        <v/>
      </c>
      <c r="I73" s="34"/>
      <c r="J73" s="34" t="str" cm="1">
        <f t="array" ref="J73">IF($C73="","",SUMPRODUCT((TEXT($AE$5:$OE$5, "mmm")=LOWER(I$3))*$AE73:$OE73))</f>
        <v/>
      </c>
      <c r="K73" s="34"/>
      <c r="L73" s="34" t="str" cm="1">
        <f t="array" ref="L73">IF($C73="","",SUMPRODUCT((TEXT($AE$5:$OE$5, "mmm")=LOWER(K$3))*$AE73:$OE73))</f>
        <v/>
      </c>
      <c r="M73" s="34"/>
      <c r="N73" s="34" t="str" cm="1">
        <f t="array" ref="N73">IF($C73="","",SUMPRODUCT((TEXT($AE$5:$OE$5, "mmm")=LOWER(M$3))*$AE73:$OE73))</f>
        <v/>
      </c>
      <c r="O73" s="34"/>
      <c r="P73" s="34" t="str" cm="1">
        <f t="array" ref="P73">IF($C73="","",SUMPRODUCT((TEXT($AE$5:$OE$5, "mmm")=LOWER(O$3))*$AE73:$OE73))</f>
        <v/>
      </c>
      <c r="Q73" s="34"/>
      <c r="R73" s="34" t="str" cm="1">
        <f t="array" ref="R73">IF($C73="","",SUMPRODUCT((TEXT($AE$5:$OE$5, "mmm")=LOWER(Q$3))*$AE73:$OE73))</f>
        <v/>
      </c>
      <c r="S73" s="34"/>
      <c r="T73" s="34" t="str" cm="1">
        <f t="array" ref="T73">IF($C73="","",SUMPRODUCT((TEXT($AE$5:$OE$5, "mmm")=LOWER(S$3))*$AE73:$OE73))</f>
        <v/>
      </c>
      <c r="U73" s="34"/>
      <c r="V73" s="34" t="str" cm="1">
        <f t="array" ref="V73">IF($C73="","",SUMPRODUCT((TEXT($AE$5:$OE$5, "mmm")=LOWER(U$3))*$AE73:$OE73))</f>
        <v/>
      </c>
      <c r="W73" s="34"/>
      <c r="X73" s="34" t="str" cm="1">
        <f t="array" ref="X73">IF($C73="","",SUMPRODUCT((TEXT($AE$5:$OE$5, "mmm")=LOWER(W$3))*$AE73:$OE73))</f>
        <v/>
      </c>
      <c r="Y73" s="34"/>
      <c r="Z73" s="34" t="str" cm="1">
        <f t="array" ref="Z73">IF($C73="","",SUMPRODUCT((TEXT($AE$5:$OE$5, "mmm")=LOWER(Y$3))*$AE73:$OE73))</f>
        <v/>
      </c>
      <c r="AA73" s="34"/>
      <c r="AB73" s="34" t="str" cm="1">
        <f t="array" ref="AB73">IF($C73="","",SUMPRODUCT((TEXT($AE$5:$OE$5, "mmm")=LOWER(AA$3))*$AE73:$OE73))</f>
        <v/>
      </c>
      <c r="AC73" s="34"/>
      <c r="AD73" s="34" t="str" cm="1">
        <f t="array" ref="AD73">IF($C73="","",SUMPRODUCT((TEXT($AE$5:$OE$5, "mmm")=LOWER(AC$3))*$AE73:$OE73))</f>
        <v/>
      </c>
      <c r="OE73" s="49"/>
    </row>
    <row r="74" spans="1:395">
      <c r="A74" s="35"/>
      <c r="C74" s="2" t="str">
        <f>IF(ISBLANK($B74),"",_xlfn.XLOOKUP($B74,Task_No,Project!$C$3:$C$144,"INVALID TASK"))</f>
        <v/>
      </c>
      <c r="E74" s="7" t="str">
        <f t="shared" si="17"/>
        <v/>
      </c>
      <c r="F74" s="7" t="str">
        <f t="shared" si="18"/>
        <v/>
      </c>
      <c r="G74" s="34"/>
      <c r="H74" s="34" t="str" cm="1">
        <f t="array" ref="H74">IF($C74="","",SUMPRODUCT((TEXT($AE$5:$OE$5, "mmm")=LOWER(G$3))*$AE74:$OE74))</f>
        <v/>
      </c>
      <c r="I74" s="34"/>
      <c r="J74" s="34" t="str" cm="1">
        <f t="array" ref="J74">IF($C74="","",SUMPRODUCT((TEXT($AE$5:$OE$5, "mmm")=LOWER(I$3))*$AE74:$OE74))</f>
        <v/>
      </c>
      <c r="K74" s="34"/>
      <c r="L74" s="34" t="str" cm="1">
        <f t="array" ref="L74">IF($C74="","",SUMPRODUCT((TEXT($AE$5:$OE$5, "mmm")=LOWER(K$3))*$AE74:$OE74))</f>
        <v/>
      </c>
      <c r="M74" s="34"/>
      <c r="N74" s="34" t="str" cm="1">
        <f t="array" ref="N74">IF($C74="","",SUMPRODUCT((TEXT($AE$5:$OE$5, "mmm")=LOWER(M$3))*$AE74:$OE74))</f>
        <v/>
      </c>
      <c r="O74" s="34"/>
      <c r="P74" s="34" t="str" cm="1">
        <f t="array" ref="P74">IF($C74="","",SUMPRODUCT((TEXT($AE$5:$OE$5, "mmm")=LOWER(O$3))*$AE74:$OE74))</f>
        <v/>
      </c>
      <c r="Q74" s="34"/>
      <c r="R74" s="34" t="str" cm="1">
        <f t="array" ref="R74">IF($C74="","",SUMPRODUCT((TEXT($AE$5:$OE$5, "mmm")=LOWER(Q$3))*$AE74:$OE74))</f>
        <v/>
      </c>
      <c r="S74" s="34"/>
      <c r="T74" s="34" t="str" cm="1">
        <f t="array" ref="T74">IF($C74="","",SUMPRODUCT((TEXT($AE$5:$OE$5, "mmm")=LOWER(S$3))*$AE74:$OE74))</f>
        <v/>
      </c>
      <c r="U74" s="34"/>
      <c r="V74" s="34" t="str" cm="1">
        <f t="array" ref="V74">IF($C74="","",SUMPRODUCT((TEXT($AE$5:$OE$5, "mmm")=LOWER(U$3))*$AE74:$OE74))</f>
        <v/>
      </c>
      <c r="W74" s="34"/>
      <c r="X74" s="34" t="str" cm="1">
        <f t="array" ref="X74">IF($C74="","",SUMPRODUCT((TEXT($AE$5:$OE$5, "mmm")=LOWER(W$3))*$AE74:$OE74))</f>
        <v/>
      </c>
      <c r="Y74" s="34"/>
      <c r="Z74" s="34" t="str" cm="1">
        <f t="array" ref="Z74">IF($C74="","",SUMPRODUCT((TEXT($AE$5:$OE$5, "mmm")=LOWER(Y$3))*$AE74:$OE74))</f>
        <v/>
      </c>
      <c r="AA74" s="34"/>
      <c r="AB74" s="34" t="str" cm="1">
        <f t="array" ref="AB74">IF($C74="","",SUMPRODUCT((TEXT($AE$5:$OE$5, "mmm")=LOWER(AA$3))*$AE74:$OE74))</f>
        <v/>
      </c>
      <c r="AC74" s="34"/>
      <c r="AD74" s="34" t="str" cm="1">
        <f t="array" ref="AD74">IF($C74="","",SUMPRODUCT((TEXT($AE$5:$OE$5, "mmm")=LOWER(AC$3))*$AE74:$OE74))</f>
        <v/>
      </c>
      <c r="OE74" s="49"/>
    </row>
    <row r="75" spans="1:395">
      <c r="A75" s="35"/>
      <c r="C75" s="2" t="str">
        <f>IF(ISBLANK($B75),"",_xlfn.XLOOKUP($B75,Task_No,Project!$C$3:$C$144,"INVALID TASK"))</f>
        <v/>
      </c>
      <c r="E75" s="7" t="str">
        <f t="shared" si="17"/>
        <v/>
      </c>
      <c r="F75" s="7" t="str">
        <f t="shared" si="18"/>
        <v/>
      </c>
      <c r="G75" s="34"/>
      <c r="H75" s="34" t="str" cm="1">
        <f t="array" ref="H75">IF($C75="","",SUMPRODUCT((TEXT($AE$5:$OE$5, "mmm")=LOWER(G$3))*$AE75:$OE75))</f>
        <v/>
      </c>
      <c r="I75" s="34"/>
      <c r="J75" s="34" t="str" cm="1">
        <f t="array" ref="J75">IF($C75="","",SUMPRODUCT((TEXT($AE$5:$OE$5, "mmm")=LOWER(I$3))*$AE75:$OE75))</f>
        <v/>
      </c>
      <c r="K75" s="34"/>
      <c r="L75" s="34" t="str" cm="1">
        <f t="array" ref="L75">IF($C75="","",SUMPRODUCT((TEXT($AE$5:$OE$5, "mmm")=LOWER(K$3))*$AE75:$OE75))</f>
        <v/>
      </c>
      <c r="M75" s="34"/>
      <c r="N75" s="34" t="str" cm="1">
        <f t="array" ref="N75">IF($C75="","",SUMPRODUCT((TEXT($AE$5:$OE$5, "mmm")=LOWER(M$3))*$AE75:$OE75))</f>
        <v/>
      </c>
      <c r="O75" s="34"/>
      <c r="P75" s="34" t="str" cm="1">
        <f t="array" ref="P75">IF($C75="","",SUMPRODUCT((TEXT($AE$5:$OE$5, "mmm")=LOWER(O$3))*$AE75:$OE75))</f>
        <v/>
      </c>
      <c r="Q75" s="34"/>
      <c r="R75" s="34" t="str" cm="1">
        <f t="array" ref="R75">IF($C75="","",SUMPRODUCT((TEXT($AE$5:$OE$5, "mmm")=LOWER(Q$3))*$AE75:$OE75))</f>
        <v/>
      </c>
      <c r="S75" s="34"/>
      <c r="T75" s="34" t="str" cm="1">
        <f t="array" ref="T75">IF($C75="","",SUMPRODUCT((TEXT($AE$5:$OE$5, "mmm")=LOWER(S$3))*$AE75:$OE75))</f>
        <v/>
      </c>
      <c r="U75" s="34"/>
      <c r="V75" s="34" t="str" cm="1">
        <f t="array" ref="V75">IF($C75="","",SUMPRODUCT((TEXT($AE$5:$OE$5, "mmm")=LOWER(U$3))*$AE75:$OE75))</f>
        <v/>
      </c>
      <c r="W75" s="34"/>
      <c r="X75" s="34" t="str" cm="1">
        <f t="array" ref="X75">IF($C75="","",SUMPRODUCT((TEXT($AE$5:$OE$5, "mmm")=LOWER(W$3))*$AE75:$OE75))</f>
        <v/>
      </c>
      <c r="Y75" s="34"/>
      <c r="Z75" s="34" t="str" cm="1">
        <f t="array" ref="Z75">IF($C75="","",SUMPRODUCT((TEXT($AE$5:$OE$5, "mmm")=LOWER(Y$3))*$AE75:$OE75))</f>
        <v/>
      </c>
      <c r="AA75" s="34"/>
      <c r="AB75" s="34" t="str" cm="1">
        <f t="array" ref="AB75">IF($C75="","",SUMPRODUCT((TEXT($AE$5:$OE$5, "mmm")=LOWER(AA$3))*$AE75:$OE75))</f>
        <v/>
      </c>
      <c r="AC75" s="34"/>
      <c r="AD75" s="34" t="str" cm="1">
        <f t="array" ref="AD75">IF($C75="","",SUMPRODUCT((TEXT($AE$5:$OE$5, "mmm")=LOWER(AC$3))*$AE75:$OE75))</f>
        <v/>
      </c>
      <c r="OE75" s="49"/>
    </row>
    <row r="76" spans="1:395">
      <c r="A76" s="35"/>
      <c r="C76" s="2" t="str">
        <f>IF(ISBLANK($B76),"",_xlfn.XLOOKUP($B76,Task_No,Project!$C$3:$C$144,"INVALID TASK"))</f>
        <v/>
      </c>
      <c r="E76" s="7" t="str">
        <f t="shared" si="17"/>
        <v/>
      </c>
      <c r="F76" s="7" t="str">
        <f t="shared" si="18"/>
        <v/>
      </c>
      <c r="G76" s="34"/>
      <c r="H76" s="34" t="str" cm="1">
        <f t="array" ref="H76">IF($C76="","",SUMPRODUCT((TEXT($AE$5:$OE$5, "mmm")=LOWER(G$3))*$AE76:$OE76))</f>
        <v/>
      </c>
      <c r="I76" s="34"/>
      <c r="J76" s="34" t="str" cm="1">
        <f t="array" ref="J76">IF($C76="","",SUMPRODUCT((TEXT($AE$5:$OE$5, "mmm")=LOWER(I$3))*$AE76:$OE76))</f>
        <v/>
      </c>
      <c r="K76" s="34"/>
      <c r="L76" s="34" t="str" cm="1">
        <f t="array" ref="L76">IF($C76="","",SUMPRODUCT((TEXT($AE$5:$OE$5, "mmm")=LOWER(K$3))*$AE76:$OE76))</f>
        <v/>
      </c>
      <c r="M76" s="34"/>
      <c r="N76" s="34" t="str" cm="1">
        <f t="array" ref="N76">IF($C76="","",SUMPRODUCT((TEXT($AE$5:$OE$5, "mmm")=LOWER(M$3))*$AE76:$OE76))</f>
        <v/>
      </c>
      <c r="O76" s="34"/>
      <c r="P76" s="34" t="str" cm="1">
        <f t="array" ref="P76">IF($C76="","",SUMPRODUCT((TEXT($AE$5:$OE$5, "mmm")=LOWER(O$3))*$AE76:$OE76))</f>
        <v/>
      </c>
      <c r="Q76" s="34"/>
      <c r="R76" s="34" t="str" cm="1">
        <f t="array" ref="R76">IF($C76="","",SUMPRODUCT((TEXT($AE$5:$OE$5, "mmm")=LOWER(Q$3))*$AE76:$OE76))</f>
        <v/>
      </c>
      <c r="S76" s="34"/>
      <c r="T76" s="34" t="str" cm="1">
        <f t="array" ref="T76">IF($C76="","",SUMPRODUCT((TEXT($AE$5:$OE$5, "mmm")=LOWER(S$3))*$AE76:$OE76))</f>
        <v/>
      </c>
      <c r="U76" s="34"/>
      <c r="V76" s="34" t="str" cm="1">
        <f t="array" ref="V76">IF($C76="","",SUMPRODUCT((TEXT($AE$5:$OE$5, "mmm")=LOWER(U$3))*$AE76:$OE76))</f>
        <v/>
      </c>
      <c r="W76" s="34"/>
      <c r="X76" s="34" t="str" cm="1">
        <f t="array" ref="X76">IF($C76="","",SUMPRODUCT((TEXT($AE$5:$OE$5, "mmm")=LOWER(W$3))*$AE76:$OE76))</f>
        <v/>
      </c>
      <c r="Y76" s="34"/>
      <c r="Z76" s="34" t="str" cm="1">
        <f t="array" ref="Z76">IF($C76="","",SUMPRODUCT((TEXT($AE$5:$OE$5, "mmm")=LOWER(Y$3))*$AE76:$OE76))</f>
        <v/>
      </c>
      <c r="AA76" s="34"/>
      <c r="AB76" s="34" t="str" cm="1">
        <f t="array" ref="AB76">IF($C76="","",SUMPRODUCT((TEXT($AE$5:$OE$5, "mmm")=LOWER(AA$3))*$AE76:$OE76))</f>
        <v/>
      </c>
      <c r="AC76" s="34"/>
      <c r="AD76" s="34" t="str" cm="1">
        <f t="array" ref="AD76">IF($C76="","",SUMPRODUCT((TEXT($AE$5:$OE$5, "mmm")=LOWER(AC$3))*$AE76:$OE76))</f>
        <v/>
      </c>
      <c r="OE76" s="49"/>
    </row>
    <row r="77" spans="1:395">
      <c r="A77" s="35"/>
      <c r="C77" s="2" t="str">
        <f>IF(ISBLANK($B77),"",_xlfn.XLOOKUP($B77,Task_No,Project!$C$3:$C$144,"INVALID TASK"))</f>
        <v/>
      </c>
      <c r="E77" s="7" t="str">
        <f t="shared" si="17"/>
        <v/>
      </c>
      <c r="F77" s="7" t="str">
        <f t="shared" si="18"/>
        <v/>
      </c>
      <c r="G77" s="34"/>
      <c r="H77" s="34" t="str" cm="1">
        <f t="array" ref="H77">IF($C77="","",SUMPRODUCT((TEXT($AE$5:$OE$5, "mmm")=LOWER(G$3))*$AE77:$OE77))</f>
        <v/>
      </c>
      <c r="I77" s="34"/>
      <c r="J77" s="34" t="str" cm="1">
        <f t="array" ref="J77">IF($C77="","",SUMPRODUCT((TEXT($AE$5:$OE$5, "mmm")=LOWER(I$3))*$AE77:$OE77))</f>
        <v/>
      </c>
      <c r="K77" s="34"/>
      <c r="L77" s="34" t="str" cm="1">
        <f t="array" ref="L77">IF($C77="","",SUMPRODUCT((TEXT($AE$5:$OE$5, "mmm")=LOWER(K$3))*$AE77:$OE77))</f>
        <v/>
      </c>
      <c r="M77" s="34"/>
      <c r="N77" s="34" t="str" cm="1">
        <f t="array" ref="N77">IF($C77="","",SUMPRODUCT((TEXT($AE$5:$OE$5, "mmm")=LOWER(M$3))*$AE77:$OE77))</f>
        <v/>
      </c>
      <c r="O77" s="34"/>
      <c r="P77" s="34" t="str" cm="1">
        <f t="array" ref="P77">IF($C77="","",SUMPRODUCT((TEXT($AE$5:$OE$5, "mmm")=LOWER(O$3))*$AE77:$OE77))</f>
        <v/>
      </c>
      <c r="Q77" s="34"/>
      <c r="R77" s="34" t="str" cm="1">
        <f t="array" ref="R77">IF($C77="","",SUMPRODUCT((TEXT($AE$5:$OE$5, "mmm")=LOWER(Q$3))*$AE77:$OE77))</f>
        <v/>
      </c>
      <c r="S77" s="34"/>
      <c r="T77" s="34" t="str" cm="1">
        <f t="array" ref="T77">IF($C77="","",SUMPRODUCT((TEXT($AE$5:$OE$5, "mmm")=LOWER(S$3))*$AE77:$OE77))</f>
        <v/>
      </c>
      <c r="U77" s="34"/>
      <c r="V77" s="34" t="str" cm="1">
        <f t="array" ref="V77">IF($C77="","",SUMPRODUCT((TEXT($AE$5:$OE$5, "mmm")=LOWER(U$3))*$AE77:$OE77))</f>
        <v/>
      </c>
      <c r="W77" s="34"/>
      <c r="X77" s="34" t="str" cm="1">
        <f t="array" ref="X77">IF($C77="","",SUMPRODUCT((TEXT($AE$5:$OE$5, "mmm")=LOWER(W$3))*$AE77:$OE77))</f>
        <v/>
      </c>
      <c r="Y77" s="34"/>
      <c r="Z77" s="34" t="str" cm="1">
        <f t="array" ref="Z77">IF($C77="","",SUMPRODUCT((TEXT($AE$5:$OE$5, "mmm")=LOWER(Y$3))*$AE77:$OE77))</f>
        <v/>
      </c>
      <c r="AA77" s="34"/>
      <c r="AB77" s="34" t="str" cm="1">
        <f t="array" ref="AB77">IF($C77="","",SUMPRODUCT((TEXT($AE$5:$OE$5, "mmm")=LOWER(AA$3))*$AE77:$OE77))</f>
        <v/>
      </c>
      <c r="AC77" s="34"/>
      <c r="AD77" s="34" t="str" cm="1">
        <f t="array" ref="AD77">IF($C77="","",SUMPRODUCT((TEXT($AE$5:$OE$5, "mmm")=LOWER(AC$3))*$AE77:$OE77))</f>
        <v/>
      </c>
      <c r="OE77" s="49"/>
    </row>
    <row r="78" spans="1:395">
      <c r="A78" s="35"/>
      <c r="C78" s="2" t="str">
        <f>IF(ISBLANK($B78),"",_xlfn.XLOOKUP($B78,Task_No,Project!$C$3:$C$144,"INVALID TASK"))</f>
        <v/>
      </c>
      <c r="E78" s="7" t="str">
        <f t="shared" si="17"/>
        <v/>
      </c>
      <c r="F78" s="7" t="str">
        <f t="shared" si="18"/>
        <v/>
      </c>
      <c r="G78" s="34"/>
      <c r="H78" s="34" t="str" cm="1">
        <f t="array" ref="H78">IF($C78="","",SUMPRODUCT((TEXT($AE$5:$OE$5, "mmm")=LOWER(G$3))*$AE78:$OE78))</f>
        <v/>
      </c>
      <c r="I78" s="34"/>
      <c r="J78" s="34" t="str" cm="1">
        <f t="array" ref="J78">IF($C78="","",SUMPRODUCT((TEXT($AE$5:$OE$5, "mmm")=LOWER(I$3))*$AE78:$OE78))</f>
        <v/>
      </c>
      <c r="K78" s="34"/>
      <c r="L78" s="34" t="str" cm="1">
        <f t="array" ref="L78">IF($C78="","",SUMPRODUCT((TEXT($AE$5:$OE$5, "mmm")=LOWER(K$3))*$AE78:$OE78))</f>
        <v/>
      </c>
      <c r="M78" s="34"/>
      <c r="N78" s="34" t="str" cm="1">
        <f t="array" ref="N78">IF($C78="","",SUMPRODUCT((TEXT($AE$5:$OE$5, "mmm")=LOWER(M$3))*$AE78:$OE78))</f>
        <v/>
      </c>
      <c r="O78" s="34"/>
      <c r="P78" s="34" t="str" cm="1">
        <f t="array" ref="P78">IF($C78="","",SUMPRODUCT((TEXT($AE$5:$OE$5, "mmm")=LOWER(O$3))*$AE78:$OE78))</f>
        <v/>
      </c>
      <c r="Q78" s="34"/>
      <c r="R78" s="34" t="str" cm="1">
        <f t="array" ref="R78">IF($C78="","",SUMPRODUCT((TEXT($AE$5:$OE$5, "mmm")=LOWER(Q$3))*$AE78:$OE78))</f>
        <v/>
      </c>
      <c r="S78" s="34"/>
      <c r="T78" s="34" t="str" cm="1">
        <f t="array" ref="T78">IF($C78="","",SUMPRODUCT((TEXT($AE$5:$OE$5, "mmm")=LOWER(S$3))*$AE78:$OE78))</f>
        <v/>
      </c>
      <c r="U78" s="34"/>
      <c r="V78" s="34" t="str" cm="1">
        <f t="array" ref="V78">IF($C78="","",SUMPRODUCT((TEXT($AE$5:$OE$5, "mmm")=LOWER(U$3))*$AE78:$OE78))</f>
        <v/>
      </c>
      <c r="W78" s="34"/>
      <c r="X78" s="34" t="str" cm="1">
        <f t="array" ref="X78">IF($C78="","",SUMPRODUCT((TEXT($AE$5:$OE$5, "mmm")=LOWER(W$3))*$AE78:$OE78))</f>
        <v/>
      </c>
      <c r="Y78" s="34"/>
      <c r="Z78" s="34" t="str" cm="1">
        <f t="array" ref="Z78">IF($C78="","",SUMPRODUCT((TEXT($AE$5:$OE$5, "mmm")=LOWER(Y$3))*$AE78:$OE78))</f>
        <v/>
      </c>
      <c r="AA78" s="34"/>
      <c r="AB78" s="34" t="str" cm="1">
        <f t="array" ref="AB78">IF($C78="","",SUMPRODUCT((TEXT($AE$5:$OE$5, "mmm")=LOWER(AA$3))*$AE78:$OE78))</f>
        <v/>
      </c>
      <c r="AC78" s="34"/>
      <c r="AD78" s="34" t="str" cm="1">
        <f t="array" ref="AD78">IF($C78="","",SUMPRODUCT((TEXT($AE$5:$OE$5, "mmm")=LOWER(AC$3))*$AE78:$OE78))</f>
        <v/>
      </c>
      <c r="OE78" s="49"/>
    </row>
    <row r="79" spans="1:395">
      <c r="A79" s="35"/>
      <c r="C79" s="2" t="str">
        <f>IF(ISBLANK($B79),"",_xlfn.XLOOKUP($B79,Task_No,Project!$C$3:$C$144,"INVALID TASK"))</f>
        <v/>
      </c>
      <c r="E79" s="7" t="str">
        <f t="shared" si="17"/>
        <v/>
      </c>
      <c r="F79" s="7" t="str">
        <f t="shared" si="18"/>
        <v/>
      </c>
      <c r="G79" s="34"/>
      <c r="H79" s="34" t="str" cm="1">
        <f t="array" ref="H79">IF($C79="","",SUMPRODUCT((TEXT($AE$5:$OE$5, "mmm")=LOWER(G$3))*$AE79:$OE79))</f>
        <v/>
      </c>
      <c r="I79" s="34"/>
      <c r="J79" s="34" t="str" cm="1">
        <f t="array" ref="J79">IF($C79="","",SUMPRODUCT((TEXT($AE$5:$OE$5, "mmm")=LOWER(I$3))*$AE79:$OE79))</f>
        <v/>
      </c>
      <c r="K79" s="34"/>
      <c r="L79" s="34" t="str" cm="1">
        <f t="array" ref="L79">IF($C79="","",SUMPRODUCT((TEXT($AE$5:$OE$5, "mmm")=LOWER(K$3))*$AE79:$OE79))</f>
        <v/>
      </c>
      <c r="M79" s="34"/>
      <c r="N79" s="34" t="str" cm="1">
        <f t="array" ref="N79">IF($C79="","",SUMPRODUCT((TEXT($AE$5:$OE$5, "mmm")=LOWER(M$3))*$AE79:$OE79))</f>
        <v/>
      </c>
      <c r="O79" s="34"/>
      <c r="P79" s="34" t="str" cm="1">
        <f t="array" ref="P79">IF($C79="","",SUMPRODUCT((TEXT($AE$5:$OE$5, "mmm")=LOWER(O$3))*$AE79:$OE79))</f>
        <v/>
      </c>
      <c r="Q79" s="34"/>
      <c r="R79" s="34" t="str" cm="1">
        <f t="array" ref="R79">IF($C79="","",SUMPRODUCT((TEXT($AE$5:$OE$5, "mmm")=LOWER(Q$3))*$AE79:$OE79))</f>
        <v/>
      </c>
      <c r="S79" s="34"/>
      <c r="T79" s="34" t="str" cm="1">
        <f t="array" ref="T79">IF($C79="","",SUMPRODUCT((TEXT($AE$5:$OE$5, "mmm")=LOWER(S$3))*$AE79:$OE79))</f>
        <v/>
      </c>
      <c r="U79" s="34"/>
      <c r="V79" s="34" t="str" cm="1">
        <f t="array" ref="V79">IF($C79="","",SUMPRODUCT((TEXT($AE$5:$OE$5, "mmm")=LOWER(U$3))*$AE79:$OE79))</f>
        <v/>
      </c>
      <c r="W79" s="34"/>
      <c r="X79" s="34" t="str" cm="1">
        <f t="array" ref="X79">IF($C79="","",SUMPRODUCT((TEXT($AE$5:$OE$5, "mmm")=LOWER(W$3))*$AE79:$OE79))</f>
        <v/>
      </c>
      <c r="Y79" s="34"/>
      <c r="Z79" s="34" t="str" cm="1">
        <f t="array" ref="Z79">IF($C79="","",SUMPRODUCT((TEXT($AE$5:$OE$5, "mmm")=LOWER(Y$3))*$AE79:$OE79))</f>
        <v/>
      </c>
      <c r="AA79" s="34"/>
      <c r="AB79" s="34" t="str" cm="1">
        <f t="array" ref="AB79">IF($C79="","",SUMPRODUCT((TEXT($AE$5:$OE$5, "mmm")=LOWER(AA$3))*$AE79:$OE79))</f>
        <v/>
      </c>
      <c r="AC79" s="34"/>
      <c r="AD79" s="34" t="str" cm="1">
        <f t="array" ref="AD79">IF($C79="","",SUMPRODUCT((TEXT($AE$5:$OE$5, "mmm")=LOWER(AC$3))*$AE79:$OE79))</f>
        <v/>
      </c>
      <c r="OE79" s="49"/>
    </row>
    <row r="80" spans="1:395">
      <c r="A80" s="35"/>
      <c r="C80" s="2" t="str">
        <f>IF(ISBLANK($B80),"",_xlfn.XLOOKUP($B80,Task_No,Project!$C$3:$C$144,"INVALID TASK"))</f>
        <v/>
      </c>
      <c r="E80" s="7" t="str">
        <f t="shared" si="17"/>
        <v/>
      </c>
      <c r="F80" s="7" t="str">
        <f t="shared" si="18"/>
        <v/>
      </c>
      <c r="G80" s="34"/>
      <c r="H80" s="34" t="str" cm="1">
        <f t="array" ref="H80">IF($C80="","",SUMPRODUCT((TEXT($AE$5:$OE$5, "mmm")=LOWER(G$3))*$AE80:$OE80))</f>
        <v/>
      </c>
      <c r="I80" s="34"/>
      <c r="J80" s="34" t="str" cm="1">
        <f t="array" ref="J80">IF($C80="","",SUMPRODUCT((TEXT($AE$5:$OE$5, "mmm")=LOWER(I$3))*$AE80:$OE80))</f>
        <v/>
      </c>
      <c r="K80" s="34"/>
      <c r="L80" s="34" t="str" cm="1">
        <f t="array" ref="L80">IF($C80="","",SUMPRODUCT((TEXT($AE$5:$OE$5, "mmm")=LOWER(K$3))*$AE80:$OE80))</f>
        <v/>
      </c>
      <c r="M80" s="34"/>
      <c r="N80" s="34" t="str" cm="1">
        <f t="array" ref="N80">IF($C80="","",SUMPRODUCT((TEXT($AE$5:$OE$5, "mmm")=LOWER(M$3))*$AE80:$OE80))</f>
        <v/>
      </c>
      <c r="O80" s="34"/>
      <c r="P80" s="34" t="str" cm="1">
        <f t="array" ref="P80">IF($C80="","",SUMPRODUCT((TEXT($AE$5:$OE$5, "mmm")=LOWER(O$3))*$AE80:$OE80))</f>
        <v/>
      </c>
      <c r="Q80" s="34"/>
      <c r="R80" s="34" t="str" cm="1">
        <f t="array" ref="R80">IF($C80="","",SUMPRODUCT((TEXT($AE$5:$OE$5, "mmm")=LOWER(Q$3))*$AE80:$OE80))</f>
        <v/>
      </c>
      <c r="S80" s="34"/>
      <c r="T80" s="34" t="str" cm="1">
        <f t="array" ref="T80">IF($C80="","",SUMPRODUCT((TEXT($AE$5:$OE$5, "mmm")=LOWER(S$3))*$AE80:$OE80))</f>
        <v/>
      </c>
      <c r="U80" s="34"/>
      <c r="V80" s="34" t="str" cm="1">
        <f t="array" ref="V80">IF($C80="","",SUMPRODUCT((TEXT($AE$5:$OE$5, "mmm")=LOWER(U$3))*$AE80:$OE80))</f>
        <v/>
      </c>
      <c r="W80" s="34"/>
      <c r="X80" s="34" t="str" cm="1">
        <f t="array" ref="X80">IF($C80="","",SUMPRODUCT((TEXT($AE$5:$OE$5, "mmm")=LOWER(W$3))*$AE80:$OE80))</f>
        <v/>
      </c>
      <c r="Y80" s="34"/>
      <c r="Z80" s="34" t="str" cm="1">
        <f t="array" ref="Z80">IF($C80="","",SUMPRODUCT((TEXT($AE$5:$OE$5, "mmm")=LOWER(Y$3))*$AE80:$OE80))</f>
        <v/>
      </c>
      <c r="AA80" s="34"/>
      <c r="AB80" s="34" t="str" cm="1">
        <f t="array" ref="AB80">IF($C80="","",SUMPRODUCT((TEXT($AE$5:$OE$5, "mmm")=LOWER(AA$3))*$AE80:$OE80))</f>
        <v/>
      </c>
      <c r="AC80" s="34"/>
      <c r="AD80" s="34" t="str" cm="1">
        <f t="array" ref="AD80">IF($C80="","",SUMPRODUCT((TEXT($AE$5:$OE$5, "mmm")=LOWER(AC$3))*$AE80:$OE80))</f>
        <v/>
      </c>
      <c r="OE80" s="49"/>
    </row>
    <row r="81" spans="1:395">
      <c r="A81" s="35"/>
      <c r="C81" s="2" t="str">
        <f>IF(ISBLANK($B81),"",_xlfn.XLOOKUP($B81,Task_No,Project!$C$3:$C$144,"INVALID TASK"))</f>
        <v/>
      </c>
      <c r="E81" s="7" t="str">
        <f t="shared" si="17"/>
        <v/>
      </c>
      <c r="F81" s="7" t="str">
        <f t="shared" si="18"/>
        <v/>
      </c>
      <c r="G81" s="34"/>
      <c r="H81" s="34" t="str" cm="1">
        <f t="array" ref="H81">IF($C81="","",SUMPRODUCT((TEXT($AE$5:$OE$5, "mmm")=LOWER(G$3))*$AE81:$OE81))</f>
        <v/>
      </c>
      <c r="I81" s="34"/>
      <c r="J81" s="34" t="str" cm="1">
        <f t="array" ref="J81">IF($C81="","",SUMPRODUCT((TEXT($AE$5:$OE$5, "mmm")=LOWER(I$3))*$AE81:$OE81))</f>
        <v/>
      </c>
      <c r="K81" s="34"/>
      <c r="L81" s="34" t="str" cm="1">
        <f t="array" ref="L81">IF($C81="","",SUMPRODUCT((TEXT($AE$5:$OE$5, "mmm")=LOWER(K$3))*$AE81:$OE81))</f>
        <v/>
      </c>
      <c r="M81" s="34"/>
      <c r="N81" s="34" t="str" cm="1">
        <f t="array" ref="N81">IF($C81="","",SUMPRODUCT((TEXT($AE$5:$OE$5, "mmm")=LOWER(M$3))*$AE81:$OE81))</f>
        <v/>
      </c>
      <c r="O81" s="34"/>
      <c r="P81" s="34" t="str" cm="1">
        <f t="array" ref="P81">IF($C81="","",SUMPRODUCT((TEXT($AE$5:$OE$5, "mmm")=LOWER(O$3))*$AE81:$OE81))</f>
        <v/>
      </c>
      <c r="Q81" s="34"/>
      <c r="R81" s="34" t="str" cm="1">
        <f t="array" ref="R81">IF($C81="","",SUMPRODUCT((TEXT($AE$5:$OE$5, "mmm")=LOWER(Q$3))*$AE81:$OE81))</f>
        <v/>
      </c>
      <c r="S81" s="34"/>
      <c r="T81" s="34" t="str" cm="1">
        <f t="array" ref="T81">IF($C81="","",SUMPRODUCT((TEXT($AE$5:$OE$5, "mmm")=LOWER(S$3))*$AE81:$OE81))</f>
        <v/>
      </c>
      <c r="U81" s="34"/>
      <c r="V81" s="34" t="str" cm="1">
        <f t="array" ref="V81">IF($C81="","",SUMPRODUCT((TEXT($AE$5:$OE$5, "mmm")=LOWER(U$3))*$AE81:$OE81))</f>
        <v/>
      </c>
      <c r="W81" s="34"/>
      <c r="X81" s="34" t="str" cm="1">
        <f t="array" ref="X81">IF($C81="","",SUMPRODUCT((TEXT($AE$5:$OE$5, "mmm")=LOWER(W$3))*$AE81:$OE81))</f>
        <v/>
      </c>
      <c r="Y81" s="34"/>
      <c r="Z81" s="34" t="str" cm="1">
        <f t="array" ref="Z81">IF($C81="","",SUMPRODUCT((TEXT($AE$5:$OE$5, "mmm")=LOWER(Y$3))*$AE81:$OE81))</f>
        <v/>
      </c>
      <c r="AA81" s="34"/>
      <c r="AB81" s="34" t="str" cm="1">
        <f t="array" ref="AB81">IF($C81="","",SUMPRODUCT((TEXT($AE$5:$OE$5, "mmm")=LOWER(AA$3))*$AE81:$OE81))</f>
        <v/>
      </c>
      <c r="AC81" s="34"/>
      <c r="AD81" s="34" t="str" cm="1">
        <f t="array" ref="AD81">IF($C81="","",SUMPRODUCT((TEXT($AE$5:$OE$5, "mmm")=LOWER(AC$3))*$AE81:$OE81))</f>
        <v/>
      </c>
      <c r="OE81" s="49"/>
    </row>
    <row r="82" spans="1:395">
      <c r="A82" s="35"/>
      <c r="C82" s="2" t="str">
        <f>IF(ISBLANK($B82),"",_xlfn.XLOOKUP($B82,Task_No,Project!$C$3:$C$144,"INVALID TASK"))</f>
        <v/>
      </c>
      <c r="E82" s="7" t="str">
        <f t="shared" ref="E82:E145" si="19">IF(C82="","",SUM($G82,$I82,$K82,$M82,$O82,$Q82,$S82,$U82,$W82,$Y82,$AA82,$AC82))</f>
        <v/>
      </c>
      <c r="F82" s="7" t="str">
        <f t="shared" ref="F82:F145" si="20">IF(C82 = "", "", SUM($H82,$J82,$L82,$N82,$P82,$R82,$T82,$V82,$X82,$Z82,$AB82,$AD82))</f>
        <v/>
      </c>
      <c r="G82" s="34"/>
      <c r="H82" s="34" t="str" cm="1">
        <f t="array" ref="H82">IF($C82="","",SUMPRODUCT((TEXT($AE$5:$OE$5, "mmm")=LOWER(G$3))*$AE82:$OE82))</f>
        <v/>
      </c>
      <c r="I82" s="34"/>
      <c r="J82" s="34" t="str" cm="1">
        <f t="array" ref="J82">IF($C82="","",SUMPRODUCT((TEXT($AE$5:$OE$5, "mmm")=LOWER(I$3))*$AE82:$OE82))</f>
        <v/>
      </c>
      <c r="K82" s="34"/>
      <c r="L82" s="34" t="str" cm="1">
        <f t="array" ref="L82">IF($C82="","",SUMPRODUCT((TEXT($AE$5:$OE$5, "mmm")=LOWER(K$3))*$AE82:$OE82))</f>
        <v/>
      </c>
      <c r="M82" s="34"/>
      <c r="N82" s="34" t="str" cm="1">
        <f t="array" ref="N82">IF($C82="","",SUMPRODUCT((TEXT($AE$5:$OE$5, "mmm")=LOWER(M$3))*$AE82:$OE82))</f>
        <v/>
      </c>
      <c r="O82" s="34"/>
      <c r="P82" s="34" t="str" cm="1">
        <f t="array" ref="P82">IF($C82="","",SUMPRODUCT((TEXT($AE$5:$OE$5, "mmm")=LOWER(O$3))*$AE82:$OE82))</f>
        <v/>
      </c>
      <c r="Q82" s="34"/>
      <c r="R82" s="34" t="str" cm="1">
        <f t="array" ref="R82">IF($C82="","",SUMPRODUCT((TEXT($AE$5:$OE$5, "mmm")=LOWER(Q$3))*$AE82:$OE82))</f>
        <v/>
      </c>
      <c r="S82" s="34"/>
      <c r="T82" s="34" t="str" cm="1">
        <f t="array" ref="T82">IF($C82="","",SUMPRODUCT((TEXT($AE$5:$OE$5, "mmm")=LOWER(S$3))*$AE82:$OE82))</f>
        <v/>
      </c>
      <c r="U82" s="34"/>
      <c r="V82" s="34" t="str" cm="1">
        <f t="array" ref="V82">IF($C82="","",SUMPRODUCT((TEXT($AE$5:$OE$5, "mmm")=LOWER(U$3))*$AE82:$OE82))</f>
        <v/>
      </c>
      <c r="W82" s="34"/>
      <c r="X82" s="34" t="str" cm="1">
        <f t="array" ref="X82">IF($C82="","",SUMPRODUCT((TEXT($AE$5:$OE$5, "mmm")=LOWER(W$3))*$AE82:$OE82))</f>
        <v/>
      </c>
      <c r="Y82" s="34"/>
      <c r="Z82" s="34" t="str" cm="1">
        <f t="array" ref="Z82">IF($C82="","",SUMPRODUCT((TEXT($AE$5:$OE$5, "mmm")=LOWER(Y$3))*$AE82:$OE82))</f>
        <v/>
      </c>
      <c r="AA82" s="34"/>
      <c r="AB82" s="34" t="str" cm="1">
        <f t="array" ref="AB82">IF($C82="","",SUMPRODUCT((TEXT($AE$5:$OE$5, "mmm")=LOWER(AA$3))*$AE82:$OE82))</f>
        <v/>
      </c>
      <c r="AC82" s="34"/>
      <c r="AD82" s="34" t="str" cm="1">
        <f t="array" ref="AD82">IF($C82="","",SUMPRODUCT((TEXT($AE$5:$OE$5, "mmm")=LOWER(AC$3))*$AE82:$OE82))</f>
        <v/>
      </c>
      <c r="OE82" s="49"/>
    </row>
    <row r="83" spans="1:395">
      <c r="A83" s="35"/>
      <c r="C83" s="2" t="str">
        <f>IF(ISBLANK($B83),"",_xlfn.XLOOKUP($B83,Task_No,Project!$C$3:$C$144,"INVALID TASK"))</f>
        <v/>
      </c>
      <c r="E83" s="7" t="str">
        <f t="shared" si="19"/>
        <v/>
      </c>
      <c r="F83" s="7" t="str">
        <f t="shared" si="20"/>
        <v/>
      </c>
      <c r="G83" s="34"/>
      <c r="H83" s="34" t="str" cm="1">
        <f t="array" ref="H83">IF($C83="","",SUMPRODUCT((TEXT($AE$5:$OE$5, "mmm")=LOWER(G$3))*$AE83:$OE83))</f>
        <v/>
      </c>
      <c r="I83" s="34"/>
      <c r="J83" s="34" t="str" cm="1">
        <f t="array" ref="J83">IF($C83="","",SUMPRODUCT((TEXT($AE$5:$OE$5, "mmm")=LOWER(I$3))*$AE83:$OE83))</f>
        <v/>
      </c>
      <c r="K83" s="34"/>
      <c r="L83" s="34" t="str" cm="1">
        <f t="array" ref="L83">IF($C83="","",SUMPRODUCT((TEXT($AE$5:$OE$5, "mmm")=LOWER(K$3))*$AE83:$OE83))</f>
        <v/>
      </c>
      <c r="M83" s="34"/>
      <c r="N83" s="34" t="str" cm="1">
        <f t="array" ref="N83">IF($C83="","",SUMPRODUCT((TEXT($AE$5:$OE$5, "mmm")=LOWER(M$3))*$AE83:$OE83))</f>
        <v/>
      </c>
      <c r="O83" s="34"/>
      <c r="P83" s="34" t="str" cm="1">
        <f t="array" ref="P83">IF($C83="","",SUMPRODUCT((TEXT($AE$5:$OE$5, "mmm")=LOWER(O$3))*$AE83:$OE83))</f>
        <v/>
      </c>
      <c r="Q83" s="34"/>
      <c r="R83" s="34" t="str" cm="1">
        <f t="array" ref="R83">IF($C83="","",SUMPRODUCT((TEXT($AE$5:$OE$5, "mmm")=LOWER(Q$3))*$AE83:$OE83))</f>
        <v/>
      </c>
      <c r="S83" s="34"/>
      <c r="T83" s="34" t="str" cm="1">
        <f t="array" ref="T83">IF($C83="","",SUMPRODUCT((TEXT($AE$5:$OE$5, "mmm")=LOWER(S$3))*$AE83:$OE83))</f>
        <v/>
      </c>
      <c r="U83" s="34"/>
      <c r="V83" s="34" t="str" cm="1">
        <f t="array" ref="V83">IF($C83="","",SUMPRODUCT((TEXT($AE$5:$OE$5, "mmm")=LOWER(U$3))*$AE83:$OE83))</f>
        <v/>
      </c>
      <c r="W83" s="34"/>
      <c r="X83" s="34" t="str" cm="1">
        <f t="array" ref="X83">IF($C83="","",SUMPRODUCT((TEXT($AE$5:$OE$5, "mmm")=LOWER(W$3))*$AE83:$OE83))</f>
        <v/>
      </c>
      <c r="Y83" s="34"/>
      <c r="Z83" s="34" t="str" cm="1">
        <f t="array" ref="Z83">IF($C83="","",SUMPRODUCT((TEXT($AE$5:$OE$5, "mmm")=LOWER(Y$3))*$AE83:$OE83))</f>
        <v/>
      </c>
      <c r="AA83" s="34"/>
      <c r="AB83" s="34" t="str" cm="1">
        <f t="array" ref="AB83">IF($C83="","",SUMPRODUCT((TEXT($AE$5:$OE$5, "mmm")=LOWER(AA$3))*$AE83:$OE83))</f>
        <v/>
      </c>
      <c r="AC83" s="34"/>
      <c r="AD83" s="34" t="str" cm="1">
        <f t="array" ref="AD83">IF($C83="","",SUMPRODUCT((TEXT($AE$5:$OE$5, "mmm")=LOWER(AC$3))*$AE83:$OE83))</f>
        <v/>
      </c>
      <c r="OE83" s="49"/>
    </row>
    <row r="84" spans="1:395">
      <c r="A84" s="35"/>
      <c r="C84" s="2" t="str">
        <f>IF(ISBLANK($B84),"",_xlfn.XLOOKUP($B84,Task_No,Project!$C$3:$C$144,"INVALID TASK"))</f>
        <v/>
      </c>
      <c r="E84" s="7" t="str">
        <f t="shared" si="19"/>
        <v/>
      </c>
      <c r="F84" s="7" t="str">
        <f t="shared" si="20"/>
        <v/>
      </c>
      <c r="G84" s="34"/>
      <c r="H84" s="34" t="str" cm="1">
        <f t="array" ref="H84">IF($C84="","",SUMPRODUCT((TEXT($AE$5:$OE$5, "mmm")=LOWER(G$3))*$AE84:$OE84))</f>
        <v/>
      </c>
      <c r="I84" s="34"/>
      <c r="J84" s="34" t="str" cm="1">
        <f t="array" ref="J84">IF($C84="","",SUMPRODUCT((TEXT($AE$5:$OE$5, "mmm")=LOWER(I$3))*$AE84:$OE84))</f>
        <v/>
      </c>
      <c r="K84" s="34"/>
      <c r="L84" s="34" t="str" cm="1">
        <f t="array" ref="L84">IF($C84="","",SUMPRODUCT((TEXT($AE$5:$OE$5, "mmm")=LOWER(K$3))*$AE84:$OE84))</f>
        <v/>
      </c>
      <c r="M84" s="34"/>
      <c r="N84" s="34" t="str" cm="1">
        <f t="array" ref="N84">IF($C84="","",SUMPRODUCT((TEXT($AE$5:$OE$5, "mmm")=LOWER(M$3))*$AE84:$OE84))</f>
        <v/>
      </c>
      <c r="O84" s="34"/>
      <c r="P84" s="34" t="str" cm="1">
        <f t="array" ref="P84">IF($C84="","",SUMPRODUCT((TEXT($AE$5:$OE$5, "mmm")=LOWER(O$3))*$AE84:$OE84))</f>
        <v/>
      </c>
      <c r="Q84" s="34"/>
      <c r="R84" s="34" t="str" cm="1">
        <f t="array" ref="R84">IF($C84="","",SUMPRODUCT((TEXT($AE$5:$OE$5, "mmm")=LOWER(Q$3))*$AE84:$OE84))</f>
        <v/>
      </c>
      <c r="S84" s="34"/>
      <c r="T84" s="34" t="str" cm="1">
        <f t="array" ref="T84">IF($C84="","",SUMPRODUCT((TEXT($AE$5:$OE$5, "mmm")=LOWER(S$3))*$AE84:$OE84))</f>
        <v/>
      </c>
      <c r="U84" s="34"/>
      <c r="V84" s="34" t="str" cm="1">
        <f t="array" ref="V84">IF($C84="","",SUMPRODUCT((TEXT($AE$5:$OE$5, "mmm")=LOWER(U$3))*$AE84:$OE84))</f>
        <v/>
      </c>
      <c r="W84" s="34"/>
      <c r="X84" s="34" t="str" cm="1">
        <f t="array" ref="X84">IF($C84="","",SUMPRODUCT((TEXT($AE$5:$OE$5, "mmm")=LOWER(W$3))*$AE84:$OE84))</f>
        <v/>
      </c>
      <c r="Y84" s="34"/>
      <c r="Z84" s="34" t="str" cm="1">
        <f t="array" ref="Z84">IF($C84="","",SUMPRODUCT((TEXT($AE$5:$OE$5, "mmm")=LOWER(Y$3))*$AE84:$OE84))</f>
        <v/>
      </c>
      <c r="AA84" s="34"/>
      <c r="AB84" s="34" t="str" cm="1">
        <f t="array" ref="AB84">IF($C84="","",SUMPRODUCT((TEXT($AE$5:$OE$5, "mmm")=LOWER(AA$3))*$AE84:$OE84))</f>
        <v/>
      </c>
      <c r="AC84" s="34"/>
      <c r="AD84" s="34" t="str" cm="1">
        <f t="array" ref="AD84">IF($C84="","",SUMPRODUCT((TEXT($AE$5:$OE$5, "mmm")=LOWER(AC$3))*$AE84:$OE84))</f>
        <v/>
      </c>
      <c r="OE84" s="49"/>
    </row>
    <row r="85" spans="1:395">
      <c r="A85" s="35"/>
      <c r="C85" s="2" t="str">
        <f>IF(ISBLANK($B85),"",_xlfn.XLOOKUP($B85,Task_No,Project!$C$3:$C$144,"INVALID TASK"))</f>
        <v/>
      </c>
      <c r="E85" s="7" t="str">
        <f t="shared" si="19"/>
        <v/>
      </c>
      <c r="F85" s="7" t="str">
        <f t="shared" si="20"/>
        <v/>
      </c>
      <c r="G85" s="34"/>
      <c r="H85" s="34" t="str" cm="1">
        <f t="array" ref="H85">IF($C85="","",SUMPRODUCT((TEXT($AE$5:$OE$5, "mmm")=LOWER(G$3))*$AE85:$OE85))</f>
        <v/>
      </c>
      <c r="I85" s="34"/>
      <c r="J85" s="34" t="str" cm="1">
        <f t="array" ref="J85">IF($C85="","",SUMPRODUCT((TEXT($AE$5:$OE$5, "mmm")=LOWER(I$3))*$AE85:$OE85))</f>
        <v/>
      </c>
      <c r="K85" s="34"/>
      <c r="L85" s="34" t="str" cm="1">
        <f t="array" ref="L85">IF($C85="","",SUMPRODUCT((TEXT($AE$5:$OE$5, "mmm")=LOWER(K$3))*$AE85:$OE85))</f>
        <v/>
      </c>
      <c r="M85" s="34"/>
      <c r="N85" s="34" t="str" cm="1">
        <f t="array" ref="N85">IF($C85="","",SUMPRODUCT((TEXT($AE$5:$OE$5, "mmm")=LOWER(M$3))*$AE85:$OE85))</f>
        <v/>
      </c>
      <c r="O85" s="34"/>
      <c r="P85" s="34" t="str" cm="1">
        <f t="array" ref="P85">IF($C85="","",SUMPRODUCT((TEXT($AE$5:$OE$5, "mmm")=LOWER(O$3))*$AE85:$OE85))</f>
        <v/>
      </c>
      <c r="Q85" s="34"/>
      <c r="R85" s="34" t="str" cm="1">
        <f t="array" ref="R85">IF($C85="","",SUMPRODUCT((TEXT($AE$5:$OE$5, "mmm")=LOWER(Q$3))*$AE85:$OE85))</f>
        <v/>
      </c>
      <c r="S85" s="34"/>
      <c r="T85" s="34" t="str" cm="1">
        <f t="array" ref="T85">IF($C85="","",SUMPRODUCT((TEXT($AE$5:$OE$5, "mmm")=LOWER(S$3))*$AE85:$OE85))</f>
        <v/>
      </c>
      <c r="U85" s="34"/>
      <c r="V85" s="34" t="str" cm="1">
        <f t="array" ref="V85">IF($C85="","",SUMPRODUCT((TEXT($AE$5:$OE$5, "mmm")=LOWER(U$3))*$AE85:$OE85))</f>
        <v/>
      </c>
      <c r="W85" s="34"/>
      <c r="X85" s="34" t="str" cm="1">
        <f t="array" ref="X85">IF($C85="","",SUMPRODUCT((TEXT($AE$5:$OE$5, "mmm")=LOWER(W$3))*$AE85:$OE85))</f>
        <v/>
      </c>
      <c r="Y85" s="34"/>
      <c r="Z85" s="34" t="str" cm="1">
        <f t="array" ref="Z85">IF($C85="","",SUMPRODUCT((TEXT($AE$5:$OE$5, "mmm")=LOWER(Y$3))*$AE85:$OE85))</f>
        <v/>
      </c>
      <c r="AA85" s="34"/>
      <c r="AB85" s="34" t="str" cm="1">
        <f t="array" ref="AB85">IF($C85="","",SUMPRODUCT((TEXT($AE$5:$OE$5, "mmm")=LOWER(AA$3))*$AE85:$OE85))</f>
        <v/>
      </c>
      <c r="AC85" s="34"/>
      <c r="AD85" s="34" t="str" cm="1">
        <f t="array" ref="AD85">IF($C85="","",SUMPRODUCT((TEXT($AE$5:$OE$5, "mmm")=LOWER(AC$3))*$AE85:$OE85))</f>
        <v/>
      </c>
      <c r="OE85" s="49"/>
    </row>
    <row r="86" spans="1:395">
      <c r="A86" s="35"/>
      <c r="C86" s="2" t="str">
        <f>IF(ISBLANK($B86),"",_xlfn.XLOOKUP($B86,Task_No,Project!$C$3:$C$144,"INVALID TASK"))</f>
        <v/>
      </c>
      <c r="E86" s="7" t="str">
        <f t="shared" si="19"/>
        <v/>
      </c>
      <c r="F86" s="7" t="str">
        <f t="shared" si="20"/>
        <v/>
      </c>
      <c r="G86" s="34"/>
      <c r="H86" s="34" t="str" cm="1">
        <f t="array" ref="H86">IF($C86="","",SUMPRODUCT((TEXT($AE$5:$OE$5, "mmm")=LOWER(G$3))*$AE86:$OE86))</f>
        <v/>
      </c>
      <c r="I86" s="34"/>
      <c r="J86" s="34" t="str" cm="1">
        <f t="array" ref="J86">IF($C86="","",SUMPRODUCT((TEXT($AE$5:$OE$5, "mmm")=LOWER(I$3))*$AE86:$OE86))</f>
        <v/>
      </c>
      <c r="K86" s="34"/>
      <c r="L86" s="34" t="str" cm="1">
        <f t="array" ref="L86">IF($C86="","",SUMPRODUCT((TEXT($AE$5:$OE$5, "mmm")=LOWER(K$3))*$AE86:$OE86))</f>
        <v/>
      </c>
      <c r="M86" s="34"/>
      <c r="N86" s="34" t="str" cm="1">
        <f t="array" ref="N86">IF($C86="","",SUMPRODUCT((TEXT($AE$5:$OE$5, "mmm")=LOWER(M$3))*$AE86:$OE86))</f>
        <v/>
      </c>
      <c r="O86" s="34"/>
      <c r="P86" s="34" t="str" cm="1">
        <f t="array" ref="P86">IF($C86="","",SUMPRODUCT((TEXT($AE$5:$OE$5, "mmm")=LOWER(O$3))*$AE86:$OE86))</f>
        <v/>
      </c>
      <c r="Q86" s="34"/>
      <c r="R86" s="34" t="str" cm="1">
        <f t="array" ref="R86">IF($C86="","",SUMPRODUCT((TEXT($AE$5:$OE$5, "mmm")=LOWER(Q$3))*$AE86:$OE86))</f>
        <v/>
      </c>
      <c r="S86" s="34"/>
      <c r="T86" s="34" t="str" cm="1">
        <f t="array" ref="T86">IF($C86="","",SUMPRODUCT((TEXT($AE$5:$OE$5, "mmm")=LOWER(S$3))*$AE86:$OE86))</f>
        <v/>
      </c>
      <c r="U86" s="34"/>
      <c r="V86" s="34" t="str" cm="1">
        <f t="array" ref="V86">IF($C86="","",SUMPRODUCT((TEXT($AE$5:$OE$5, "mmm")=LOWER(U$3))*$AE86:$OE86))</f>
        <v/>
      </c>
      <c r="W86" s="34"/>
      <c r="X86" s="34" t="str" cm="1">
        <f t="array" ref="X86">IF($C86="","",SUMPRODUCT((TEXT($AE$5:$OE$5, "mmm")=LOWER(W$3))*$AE86:$OE86))</f>
        <v/>
      </c>
      <c r="Y86" s="34"/>
      <c r="Z86" s="34" t="str" cm="1">
        <f t="array" ref="Z86">IF($C86="","",SUMPRODUCT((TEXT($AE$5:$OE$5, "mmm")=LOWER(Y$3))*$AE86:$OE86))</f>
        <v/>
      </c>
      <c r="AA86" s="34"/>
      <c r="AB86" s="34" t="str" cm="1">
        <f t="array" ref="AB86">IF($C86="","",SUMPRODUCT((TEXT($AE$5:$OE$5, "mmm")=LOWER(AA$3))*$AE86:$OE86))</f>
        <v/>
      </c>
      <c r="AC86" s="34"/>
      <c r="AD86" s="34" t="str" cm="1">
        <f t="array" ref="AD86">IF($C86="","",SUMPRODUCT((TEXT($AE$5:$OE$5, "mmm")=LOWER(AC$3))*$AE86:$OE86))</f>
        <v/>
      </c>
      <c r="OE86" s="49"/>
    </row>
    <row r="87" spans="1:395">
      <c r="A87" s="35"/>
      <c r="C87" s="2" t="str">
        <f>IF(ISBLANK($B87),"",_xlfn.XLOOKUP($B87,Task_No,Project!$C$3:$C$144,"INVALID TASK"))</f>
        <v/>
      </c>
      <c r="E87" s="7" t="str">
        <f t="shared" si="19"/>
        <v/>
      </c>
      <c r="F87" s="7" t="str">
        <f t="shared" si="20"/>
        <v/>
      </c>
      <c r="G87" s="34"/>
      <c r="H87" s="34" t="str" cm="1">
        <f t="array" ref="H87">IF($C87="","",SUMPRODUCT((TEXT($AE$5:$OE$5, "mmm")=LOWER(G$3))*$AE87:$OE87))</f>
        <v/>
      </c>
      <c r="I87" s="34"/>
      <c r="J87" s="34" t="str" cm="1">
        <f t="array" ref="J87">IF($C87="","",SUMPRODUCT((TEXT($AE$5:$OE$5, "mmm")=LOWER(I$3))*$AE87:$OE87))</f>
        <v/>
      </c>
      <c r="K87" s="34"/>
      <c r="L87" s="34" t="str" cm="1">
        <f t="array" ref="L87">IF($C87="","",SUMPRODUCT((TEXT($AE$5:$OE$5, "mmm")=LOWER(K$3))*$AE87:$OE87))</f>
        <v/>
      </c>
      <c r="M87" s="34"/>
      <c r="N87" s="34" t="str" cm="1">
        <f t="array" ref="N87">IF($C87="","",SUMPRODUCT((TEXT($AE$5:$OE$5, "mmm")=LOWER(M$3))*$AE87:$OE87))</f>
        <v/>
      </c>
      <c r="O87" s="34"/>
      <c r="P87" s="34" t="str" cm="1">
        <f t="array" ref="P87">IF($C87="","",SUMPRODUCT((TEXT($AE$5:$OE$5, "mmm")=LOWER(O$3))*$AE87:$OE87))</f>
        <v/>
      </c>
      <c r="Q87" s="34"/>
      <c r="R87" s="34" t="str" cm="1">
        <f t="array" ref="R87">IF($C87="","",SUMPRODUCT((TEXT($AE$5:$OE$5, "mmm")=LOWER(Q$3))*$AE87:$OE87))</f>
        <v/>
      </c>
      <c r="S87" s="34"/>
      <c r="T87" s="34" t="str" cm="1">
        <f t="array" ref="T87">IF($C87="","",SUMPRODUCT((TEXT($AE$5:$OE$5, "mmm")=LOWER(S$3))*$AE87:$OE87))</f>
        <v/>
      </c>
      <c r="U87" s="34"/>
      <c r="V87" s="34" t="str" cm="1">
        <f t="array" ref="V87">IF($C87="","",SUMPRODUCT((TEXT($AE$5:$OE$5, "mmm")=LOWER(U$3))*$AE87:$OE87))</f>
        <v/>
      </c>
      <c r="W87" s="34"/>
      <c r="X87" s="34" t="str" cm="1">
        <f t="array" ref="X87">IF($C87="","",SUMPRODUCT((TEXT($AE$5:$OE$5, "mmm")=LOWER(W$3))*$AE87:$OE87))</f>
        <v/>
      </c>
      <c r="Y87" s="34"/>
      <c r="Z87" s="34" t="str" cm="1">
        <f t="array" ref="Z87">IF($C87="","",SUMPRODUCT((TEXT($AE$5:$OE$5, "mmm")=LOWER(Y$3))*$AE87:$OE87))</f>
        <v/>
      </c>
      <c r="AA87" s="34"/>
      <c r="AB87" s="34" t="str" cm="1">
        <f t="array" ref="AB87">IF($C87="","",SUMPRODUCT((TEXT($AE$5:$OE$5, "mmm")=LOWER(AA$3))*$AE87:$OE87))</f>
        <v/>
      </c>
      <c r="AC87" s="34"/>
      <c r="AD87" s="34" t="str" cm="1">
        <f t="array" ref="AD87">IF($C87="","",SUMPRODUCT((TEXT($AE$5:$OE$5, "mmm")=LOWER(AC$3))*$AE87:$OE87))</f>
        <v/>
      </c>
      <c r="OE87" s="49"/>
    </row>
    <row r="88" spans="1:395">
      <c r="A88" s="35"/>
      <c r="C88" s="2" t="str">
        <f>IF(ISBLANK($B88),"",_xlfn.XLOOKUP($B88,Task_No,Project!$C$3:$C$144,"INVALID TASK"))</f>
        <v/>
      </c>
      <c r="E88" s="7" t="str">
        <f t="shared" si="19"/>
        <v/>
      </c>
      <c r="F88" s="7" t="str">
        <f t="shared" si="20"/>
        <v/>
      </c>
      <c r="G88" s="34"/>
      <c r="H88" s="34" t="str" cm="1">
        <f t="array" ref="H88">IF($C88="","",SUMPRODUCT((TEXT($AE$5:$OE$5, "mmm")=LOWER(G$3))*$AE88:$OE88))</f>
        <v/>
      </c>
      <c r="I88" s="34"/>
      <c r="J88" s="34" t="str" cm="1">
        <f t="array" ref="J88">IF($C88="","",SUMPRODUCT((TEXT($AE$5:$OE$5, "mmm")=LOWER(I$3))*$AE88:$OE88))</f>
        <v/>
      </c>
      <c r="K88" s="34"/>
      <c r="L88" s="34" t="str" cm="1">
        <f t="array" ref="L88">IF($C88="","",SUMPRODUCT((TEXT($AE$5:$OE$5, "mmm")=LOWER(K$3))*$AE88:$OE88))</f>
        <v/>
      </c>
      <c r="M88" s="34"/>
      <c r="N88" s="34" t="str" cm="1">
        <f t="array" ref="N88">IF($C88="","",SUMPRODUCT((TEXT($AE$5:$OE$5, "mmm")=LOWER(M$3))*$AE88:$OE88))</f>
        <v/>
      </c>
      <c r="O88" s="34"/>
      <c r="P88" s="34" t="str" cm="1">
        <f t="array" ref="P88">IF($C88="","",SUMPRODUCT((TEXT($AE$5:$OE$5, "mmm")=LOWER(O$3))*$AE88:$OE88))</f>
        <v/>
      </c>
      <c r="Q88" s="34"/>
      <c r="R88" s="34" t="str" cm="1">
        <f t="array" ref="R88">IF($C88="","",SUMPRODUCT((TEXT($AE$5:$OE$5, "mmm")=LOWER(Q$3))*$AE88:$OE88))</f>
        <v/>
      </c>
      <c r="S88" s="34"/>
      <c r="T88" s="34" t="str" cm="1">
        <f t="array" ref="T88">IF($C88="","",SUMPRODUCT((TEXT($AE$5:$OE$5, "mmm")=LOWER(S$3))*$AE88:$OE88))</f>
        <v/>
      </c>
      <c r="U88" s="34"/>
      <c r="V88" s="34" t="str" cm="1">
        <f t="array" ref="V88">IF($C88="","",SUMPRODUCT((TEXT($AE$5:$OE$5, "mmm")=LOWER(U$3))*$AE88:$OE88))</f>
        <v/>
      </c>
      <c r="W88" s="34"/>
      <c r="X88" s="34" t="str" cm="1">
        <f t="array" ref="X88">IF($C88="","",SUMPRODUCT((TEXT($AE$5:$OE$5, "mmm")=LOWER(W$3))*$AE88:$OE88))</f>
        <v/>
      </c>
      <c r="Y88" s="34"/>
      <c r="Z88" s="34" t="str" cm="1">
        <f t="array" ref="Z88">IF($C88="","",SUMPRODUCT((TEXT($AE$5:$OE$5, "mmm")=LOWER(Y$3))*$AE88:$OE88))</f>
        <v/>
      </c>
      <c r="AA88" s="34"/>
      <c r="AB88" s="34" t="str" cm="1">
        <f t="array" ref="AB88">IF($C88="","",SUMPRODUCT((TEXT($AE$5:$OE$5, "mmm")=LOWER(AA$3))*$AE88:$OE88))</f>
        <v/>
      </c>
      <c r="AC88" s="34"/>
      <c r="AD88" s="34" t="str" cm="1">
        <f t="array" ref="AD88">IF($C88="","",SUMPRODUCT((TEXT($AE$5:$OE$5, "mmm")=LOWER(AC$3))*$AE88:$OE88))</f>
        <v/>
      </c>
      <c r="OE88" s="49"/>
    </row>
    <row r="89" spans="1:395">
      <c r="A89" s="35"/>
      <c r="C89" s="2" t="str">
        <f>IF(ISBLANK($B89),"",_xlfn.XLOOKUP($B89,Task_No,Project!$C$3:$C$144,"INVALID TASK"))</f>
        <v/>
      </c>
      <c r="E89" s="7" t="str">
        <f t="shared" si="19"/>
        <v/>
      </c>
      <c r="F89" s="7" t="str">
        <f t="shared" si="20"/>
        <v/>
      </c>
      <c r="G89" s="34"/>
      <c r="H89" s="34" t="str" cm="1">
        <f t="array" ref="H89">IF($C89="","",SUMPRODUCT((TEXT($AE$5:$OE$5, "mmm")=LOWER(G$3))*$AE89:$OE89))</f>
        <v/>
      </c>
      <c r="I89" s="34"/>
      <c r="J89" s="34" t="str" cm="1">
        <f t="array" ref="J89">IF($C89="","",SUMPRODUCT((TEXT($AE$5:$OE$5, "mmm")=LOWER(I$3))*$AE89:$OE89))</f>
        <v/>
      </c>
      <c r="K89" s="34"/>
      <c r="L89" s="34" t="str" cm="1">
        <f t="array" ref="L89">IF($C89="","",SUMPRODUCT((TEXT($AE$5:$OE$5, "mmm")=LOWER(K$3))*$AE89:$OE89))</f>
        <v/>
      </c>
      <c r="M89" s="34"/>
      <c r="N89" s="34" t="str" cm="1">
        <f t="array" ref="N89">IF($C89="","",SUMPRODUCT((TEXT($AE$5:$OE$5, "mmm")=LOWER(M$3))*$AE89:$OE89))</f>
        <v/>
      </c>
      <c r="O89" s="34"/>
      <c r="P89" s="34" t="str" cm="1">
        <f t="array" ref="P89">IF($C89="","",SUMPRODUCT((TEXT($AE$5:$OE$5, "mmm")=LOWER(O$3))*$AE89:$OE89))</f>
        <v/>
      </c>
      <c r="Q89" s="34"/>
      <c r="R89" s="34" t="str" cm="1">
        <f t="array" ref="R89">IF($C89="","",SUMPRODUCT((TEXT($AE$5:$OE$5, "mmm")=LOWER(Q$3))*$AE89:$OE89))</f>
        <v/>
      </c>
      <c r="S89" s="34"/>
      <c r="T89" s="34" t="str" cm="1">
        <f t="array" ref="T89">IF($C89="","",SUMPRODUCT((TEXT($AE$5:$OE$5, "mmm")=LOWER(S$3))*$AE89:$OE89))</f>
        <v/>
      </c>
      <c r="U89" s="34"/>
      <c r="V89" s="34" t="str" cm="1">
        <f t="array" ref="V89">IF($C89="","",SUMPRODUCT((TEXT($AE$5:$OE$5, "mmm")=LOWER(U$3))*$AE89:$OE89))</f>
        <v/>
      </c>
      <c r="W89" s="34"/>
      <c r="X89" s="34" t="str" cm="1">
        <f t="array" ref="X89">IF($C89="","",SUMPRODUCT((TEXT($AE$5:$OE$5, "mmm")=LOWER(W$3))*$AE89:$OE89))</f>
        <v/>
      </c>
      <c r="Y89" s="34"/>
      <c r="Z89" s="34" t="str" cm="1">
        <f t="array" ref="Z89">IF($C89="","",SUMPRODUCT((TEXT($AE$5:$OE$5, "mmm")=LOWER(Y$3))*$AE89:$OE89))</f>
        <v/>
      </c>
      <c r="AA89" s="34"/>
      <c r="AB89" s="34" t="str" cm="1">
        <f t="array" ref="AB89">IF($C89="","",SUMPRODUCT((TEXT($AE$5:$OE$5, "mmm")=LOWER(AA$3))*$AE89:$OE89))</f>
        <v/>
      </c>
      <c r="AC89" s="34"/>
      <c r="AD89" s="34" t="str" cm="1">
        <f t="array" ref="AD89">IF($C89="","",SUMPRODUCT((TEXT($AE$5:$OE$5, "mmm")=LOWER(AC$3))*$AE89:$OE89))</f>
        <v/>
      </c>
      <c r="OE89" s="49"/>
    </row>
    <row r="90" spans="1:395">
      <c r="A90" s="35"/>
      <c r="C90" s="2" t="str">
        <f>IF(ISBLANK($B90),"",_xlfn.XLOOKUP($B90,Task_No,Project!$C$3:$C$144,"INVALID TASK"))</f>
        <v/>
      </c>
      <c r="E90" s="7" t="str">
        <f t="shared" si="19"/>
        <v/>
      </c>
      <c r="F90" s="7" t="str">
        <f t="shared" si="20"/>
        <v/>
      </c>
      <c r="G90" s="34"/>
      <c r="H90" s="34" t="str" cm="1">
        <f t="array" ref="H90">IF($C90="","",SUMPRODUCT((TEXT($AE$5:$OE$5, "mmm")=LOWER(G$3))*$AE90:$OE90))</f>
        <v/>
      </c>
      <c r="I90" s="34"/>
      <c r="J90" s="34" t="str" cm="1">
        <f t="array" ref="J90">IF($C90="","",SUMPRODUCT((TEXT($AE$5:$OE$5, "mmm")=LOWER(I$3))*$AE90:$OE90))</f>
        <v/>
      </c>
      <c r="K90" s="34"/>
      <c r="L90" s="34" t="str" cm="1">
        <f t="array" ref="L90">IF($C90="","",SUMPRODUCT((TEXT($AE$5:$OE$5, "mmm")=LOWER(K$3))*$AE90:$OE90))</f>
        <v/>
      </c>
      <c r="M90" s="34"/>
      <c r="N90" s="34" t="str" cm="1">
        <f t="array" ref="N90">IF($C90="","",SUMPRODUCT((TEXT($AE$5:$OE$5, "mmm")=LOWER(M$3))*$AE90:$OE90))</f>
        <v/>
      </c>
      <c r="O90" s="34"/>
      <c r="P90" s="34" t="str" cm="1">
        <f t="array" ref="P90">IF($C90="","",SUMPRODUCT((TEXT($AE$5:$OE$5, "mmm")=LOWER(O$3))*$AE90:$OE90))</f>
        <v/>
      </c>
      <c r="Q90" s="34"/>
      <c r="R90" s="34" t="str" cm="1">
        <f t="array" ref="R90">IF($C90="","",SUMPRODUCT((TEXT($AE$5:$OE$5, "mmm")=LOWER(Q$3))*$AE90:$OE90))</f>
        <v/>
      </c>
      <c r="S90" s="34"/>
      <c r="T90" s="34" t="str" cm="1">
        <f t="array" ref="T90">IF($C90="","",SUMPRODUCT((TEXT($AE$5:$OE$5, "mmm")=LOWER(S$3))*$AE90:$OE90))</f>
        <v/>
      </c>
      <c r="U90" s="34"/>
      <c r="V90" s="34" t="str" cm="1">
        <f t="array" ref="V90">IF($C90="","",SUMPRODUCT((TEXT($AE$5:$OE$5, "mmm")=LOWER(U$3))*$AE90:$OE90))</f>
        <v/>
      </c>
      <c r="W90" s="34"/>
      <c r="X90" s="34" t="str" cm="1">
        <f t="array" ref="X90">IF($C90="","",SUMPRODUCT((TEXT($AE$5:$OE$5, "mmm")=LOWER(W$3))*$AE90:$OE90))</f>
        <v/>
      </c>
      <c r="Y90" s="34"/>
      <c r="Z90" s="34" t="str" cm="1">
        <f t="array" ref="Z90">IF($C90="","",SUMPRODUCT((TEXT($AE$5:$OE$5, "mmm")=LOWER(Y$3))*$AE90:$OE90))</f>
        <v/>
      </c>
      <c r="AA90" s="34"/>
      <c r="AB90" s="34" t="str" cm="1">
        <f t="array" ref="AB90">IF($C90="","",SUMPRODUCT((TEXT($AE$5:$OE$5, "mmm")=LOWER(AA$3))*$AE90:$OE90))</f>
        <v/>
      </c>
      <c r="AC90" s="34"/>
      <c r="AD90" s="34" t="str" cm="1">
        <f t="array" ref="AD90">IF($C90="","",SUMPRODUCT((TEXT($AE$5:$OE$5, "mmm")=LOWER(AC$3))*$AE90:$OE90))</f>
        <v/>
      </c>
      <c r="OE90" s="49"/>
    </row>
    <row r="91" spans="1:395">
      <c r="A91" s="35"/>
      <c r="C91" s="2" t="str">
        <f>IF(ISBLANK($B91),"",_xlfn.XLOOKUP($B91,Task_No,Project!$C$3:$C$144,"INVALID TASK"))</f>
        <v/>
      </c>
      <c r="E91" s="7" t="str">
        <f t="shared" si="19"/>
        <v/>
      </c>
      <c r="F91" s="7" t="str">
        <f t="shared" si="20"/>
        <v/>
      </c>
      <c r="G91" s="34"/>
      <c r="H91" s="34" t="str" cm="1">
        <f t="array" ref="H91">IF($C91="","",SUMPRODUCT((TEXT($AE$5:$OE$5, "mmm")=LOWER(G$3))*$AE91:$OE91))</f>
        <v/>
      </c>
      <c r="I91" s="34"/>
      <c r="J91" s="34" t="str" cm="1">
        <f t="array" ref="J91">IF($C91="","",SUMPRODUCT((TEXT($AE$5:$OE$5, "mmm")=LOWER(I$3))*$AE91:$OE91))</f>
        <v/>
      </c>
      <c r="K91" s="34"/>
      <c r="L91" s="34" t="str" cm="1">
        <f t="array" ref="L91">IF($C91="","",SUMPRODUCT((TEXT($AE$5:$OE$5, "mmm")=LOWER(K$3))*$AE91:$OE91))</f>
        <v/>
      </c>
      <c r="M91" s="34"/>
      <c r="N91" s="34" t="str" cm="1">
        <f t="array" ref="N91">IF($C91="","",SUMPRODUCT((TEXT($AE$5:$OE$5, "mmm")=LOWER(M$3))*$AE91:$OE91))</f>
        <v/>
      </c>
      <c r="O91" s="34"/>
      <c r="P91" s="34" t="str" cm="1">
        <f t="array" ref="P91">IF($C91="","",SUMPRODUCT((TEXT($AE$5:$OE$5, "mmm")=LOWER(O$3))*$AE91:$OE91))</f>
        <v/>
      </c>
      <c r="Q91" s="34"/>
      <c r="R91" s="34" t="str" cm="1">
        <f t="array" ref="R91">IF($C91="","",SUMPRODUCT((TEXT($AE$5:$OE$5, "mmm")=LOWER(Q$3))*$AE91:$OE91))</f>
        <v/>
      </c>
      <c r="S91" s="34"/>
      <c r="T91" s="34" t="str" cm="1">
        <f t="array" ref="T91">IF($C91="","",SUMPRODUCT((TEXT($AE$5:$OE$5, "mmm")=LOWER(S$3))*$AE91:$OE91))</f>
        <v/>
      </c>
      <c r="U91" s="34"/>
      <c r="V91" s="34" t="str" cm="1">
        <f t="array" ref="V91">IF($C91="","",SUMPRODUCT((TEXT($AE$5:$OE$5, "mmm")=LOWER(U$3))*$AE91:$OE91))</f>
        <v/>
      </c>
      <c r="W91" s="34"/>
      <c r="X91" s="34" t="str" cm="1">
        <f t="array" ref="X91">IF($C91="","",SUMPRODUCT((TEXT($AE$5:$OE$5, "mmm")=LOWER(W$3))*$AE91:$OE91))</f>
        <v/>
      </c>
      <c r="Y91" s="34"/>
      <c r="Z91" s="34" t="str" cm="1">
        <f t="array" ref="Z91">IF($C91="","",SUMPRODUCT((TEXT($AE$5:$OE$5, "mmm")=LOWER(Y$3))*$AE91:$OE91))</f>
        <v/>
      </c>
      <c r="AA91" s="34"/>
      <c r="AB91" s="34" t="str" cm="1">
        <f t="array" ref="AB91">IF($C91="","",SUMPRODUCT((TEXT($AE$5:$OE$5, "mmm")=LOWER(AA$3))*$AE91:$OE91))</f>
        <v/>
      </c>
      <c r="AC91" s="34"/>
      <c r="AD91" s="34" t="str" cm="1">
        <f t="array" ref="AD91">IF($C91="","",SUMPRODUCT((TEXT($AE$5:$OE$5, "mmm")=LOWER(AC$3))*$AE91:$OE91))</f>
        <v/>
      </c>
      <c r="OE91" s="49"/>
    </row>
    <row r="92" spans="1:395">
      <c r="A92" s="35"/>
      <c r="C92" s="2" t="str">
        <f>IF(ISBLANK($B92),"",_xlfn.XLOOKUP($B92,Task_No,Project!$C$3:$C$144,"INVALID TASK"))</f>
        <v/>
      </c>
      <c r="E92" s="7" t="str">
        <f t="shared" si="19"/>
        <v/>
      </c>
      <c r="F92" s="7" t="str">
        <f t="shared" si="20"/>
        <v/>
      </c>
      <c r="G92" s="34"/>
      <c r="H92" s="34" t="str" cm="1">
        <f t="array" ref="H92">IF($C92="","",SUMPRODUCT((TEXT($AE$5:$OE$5, "mmm")=LOWER(G$3))*$AE92:$OE92))</f>
        <v/>
      </c>
      <c r="I92" s="34"/>
      <c r="J92" s="34" t="str" cm="1">
        <f t="array" ref="J92">IF($C92="","",SUMPRODUCT((TEXT($AE$5:$OE$5, "mmm")=LOWER(I$3))*$AE92:$OE92))</f>
        <v/>
      </c>
      <c r="K92" s="34"/>
      <c r="L92" s="34" t="str" cm="1">
        <f t="array" ref="L92">IF($C92="","",SUMPRODUCT((TEXT($AE$5:$OE$5, "mmm")=LOWER(K$3))*$AE92:$OE92))</f>
        <v/>
      </c>
      <c r="M92" s="34"/>
      <c r="N92" s="34" t="str" cm="1">
        <f t="array" ref="N92">IF($C92="","",SUMPRODUCT((TEXT($AE$5:$OE$5, "mmm")=LOWER(M$3))*$AE92:$OE92))</f>
        <v/>
      </c>
      <c r="O92" s="34"/>
      <c r="P92" s="34" t="str" cm="1">
        <f t="array" ref="P92">IF($C92="","",SUMPRODUCT((TEXT($AE$5:$OE$5, "mmm")=LOWER(O$3))*$AE92:$OE92))</f>
        <v/>
      </c>
      <c r="Q92" s="34"/>
      <c r="R92" s="34" t="str" cm="1">
        <f t="array" ref="R92">IF($C92="","",SUMPRODUCT((TEXT($AE$5:$OE$5, "mmm")=LOWER(Q$3))*$AE92:$OE92))</f>
        <v/>
      </c>
      <c r="S92" s="34"/>
      <c r="T92" s="34" t="str" cm="1">
        <f t="array" ref="T92">IF($C92="","",SUMPRODUCT((TEXT($AE$5:$OE$5, "mmm")=LOWER(S$3))*$AE92:$OE92))</f>
        <v/>
      </c>
      <c r="U92" s="34"/>
      <c r="V92" s="34" t="str" cm="1">
        <f t="array" ref="V92">IF($C92="","",SUMPRODUCT((TEXT($AE$5:$OE$5, "mmm")=LOWER(U$3))*$AE92:$OE92))</f>
        <v/>
      </c>
      <c r="W92" s="34"/>
      <c r="X92" s="34" t="str" cm="1">
        <f t="array" ref="X92">IF($C92="","",SUMPRODUCT((TEXT($AE$5:$OE$5, "mmm")=LOWER(W$3))*$AE92:$OE92))</f>
        <v/>
      </c>
      <c r="Y92" s="34"/>
      <c r="Z92" s="34" t="str" cm="1">
        <f t="array" ref="Z92">IF($C92="","",SUMPRODUCT((TEXT($AE$5:$OE$5, "mmm")=LOWER(Y$3))*$AE92:$OE92))</f>
        <v/>
      </c>
      <c r="AA92" s="34"/>
      <c r="AB92" s="34" t="str" cm="1">
        <f t="array" ref="AB92">IF($C92="","",SUMPRODUCT((TEXT($AE$5:$OE$5, "mmm")=LOWER(AA$3))*$AE92:$OE92))</f>
        <v/>
      </c>
      <c r="AC92" s="34"/>
      <c r="AD92" s="34" t="str" cm="1">
        <f t="array" ref="AD92">IF($C92="","",SUMPRODUCT((TEXT($AE$5:$OE$5, "mmm")=LOWER(AC$3))*$AE92:$OE92))</f>
        <v/>
      </c>
      <c r="OE92" s="49"/>
    </row>
    <row r="93" spans="1:395">
      <c r="A93" s="35"/>
      <c r="C93" s="2" t="str">
        <f>IF(ISBLANK($B93),"",_xlfn.XLOOKUP($B93,Task_No,Project!$C$3:$C$144,"INVALID TASK"))</f>
        <v/>
      </c>
      <c r="E93" s="7" t="str">
        <f t="shared" si="19"/>
        <v/>
      </c>
      <c r="F93" s="7" t="str">
        <f t="shared" si="20"/>
        <v/>
      </c>
      <c r="G93" s="34"/>
      <c r="H93" s="34" t="str" cm="1">
        <f t="array" ref="H93">IF($C93="","",SUMPRODUCT((TEXT($AE$5:$OE$5, "mmm")=LOWER(G$3))*$AE93:$OE93))</f>
        <v/>
      </c>
      <c r="I93" s="34"/>
      <c r="J93" s="34" t="str" cm="1">
        <f t="array" ref="J93">IF($C93="","",SUMPRODUCT((TEXT($AE$5:$OE$5, "mmm")=LOWER(I$3))*$AE93:$OE93))</f>
        <v/>
      </c>
      <c r="K93" s="34"/>
      <c r="L93" s="34" t="str" cm="1">
        <f t="array" ref="L93">IF($C93="","",SUMPRODUCT((TEXT($AE$5:$OE$5, "mmm")=LOWER(K$3))*$AE93:$OE93))</f>
        <v/>
      </c>
      <c r="M93" s="34"/>
      <c r="N93" s="34" t="str" cm="1">
        <f t="array" ref="N93">IF($C93="","",SUMPRODUCT((TEXT($AE$5:$OE$5, "mmm")=LOWER(M$3))*$AE93:$OE93))</f>
        <v/>
      </c>
      <c r="O93" s="34"/>
      <c r="P93" s="34" t="str" cm="1">
        <f t="array" ref="P93">IF($C93="","",SUMPRODUCT((TEXT($AE$5:$OE$5, "mmm")=LOWER(O$3))*$AE93:$OE93))</f>
        <v/>
      </c>
      <c r="Q93" s="34"/>
      <c r="R93" s="34" t="str" cm="1">
        <f t="array" ref="R93">IF($C93="","",SUMPRODUCT((TEXT($AE$5:$OE$5, "mmm")=LOWER(Q$3))*$AE93:$OE93))</f>
        <v/>
      </c>
      <c r="S93" s="34"/>
      <c r="T93" s="34" t="str" cm="1">
        <f t="array" ref="T93">IF($C93="","",SUMPRODUCT((TEXT($AE$5:$OE$5, "mmm")=LOWER(S$3))*$AE93:$OE93))</f>
        <v/>
      </c>
      <c r="U93" s="34"/>
      <c r="V93" s="34" t="str" cm="1">
        <f t="array" ref="V93">IF($C93="","",SUMPRODUCT((TEXT($AE$5:$OE$5, "mmm")=LOWER(U$3))*$AE93:$OE93))</f>
        <v/>
      </c>
      <c r="W93" s="34"/>
      <c r="X93" s="34" t="str" cm="1">
        <f t="array" ref="X93">IF($C93="","",SUMPRODUCT((TEXT($AE$5:$OE$5, "mmm")=LOWER(W$3))*$AE93:$OE93))</f>
        <v/>
      </c>
      <c r="Y93" s="34"/>
      <c r="Z93" s="34" t="str" cm="1">
        <f t="array" ref="Z93">IF($C93="","",SUMPRODUCT((TEXT($AE$5:$OE$5, "mmm")=LOWER(Y$3))*$AE93:$OE93))</f>
        <v/>
      </c>
      <c r="AA93" s="34"/>
      <c r="AB93" s="34" t="str" cm="1">
        <f t="array" ref="AB93">IF($C93="","",SUMPRODUCT((TEXT($AE$5:$OE$5, "mmm")=LOWER(AA$3))*$AE93:$OE93))</f>
        <v/>
      </c>
      <c r="AC93" s="34"/>
      <c r="AD93" s="34" t="str" cm="1">
        <f t="array" ref="AD93">IF($C93="","",SUMPRODUCT((TEXT($AE$5:$OE$5, "mmm")=LOWER(AC$3))*$AE93:$OE93))</f>
        <v/>
      </c>
      <c r="OE93" s="49"/>
    </row>
    <row r="94" spans="1:395">
      <c r="A94" s="35"/>
      <c r="C94" s="2" t="str">
        <f>IF(ISBLANK($B94),"",_xlfn.XLOOKUP($B94,Task_No,Project!$C$3:$C$144,"INVALID TASK"))</f>
        <v/>
      </c>
      <c r="E94" s="7" t="str">
        <f t="shared" si="19"/>
        <v/>
      </c>
      <c r="F94" s="7" t="str">
        <f t="shared" si="20"/>
        <v/>
      </c>
      <c r="G94" s="34"/>
      <c r="H94" s="34" t="str" cm="1">
        <f t="array" ref="H94">IF($C94="","",SUMPRODUCT((TEXT($AE$5:$OE$5, "mmm")=LOWER(G$3))*$AE94:$OE94))</f>
        <v/>
      </c>
      <c r="I94" s="34"/>
      <c r="J94" s="34" t="str" cm="1">
        <f t="array" ref="J94">IF($C94="","",SUMPRODUCT((TEXT($AE$5:$OE$5, "mmm")=LOWER(I$3))*$AE94:$OE94))</f>
        <v/>
      </c>
      <c r="K94" s="34"/>
      <c r="L94" s="34" t="str" cm="1">
        <f t="array" ref="L94">IF($C94="","",SUMPRODUCT((TEXT($AE$5:$OE$5, "mmm")=LOWER(K$3))*$AE94:$OE94))</f>
        <v/>
      </c>
      <c r="M94" s="34"/>
      <c r="N94" s="34" t="str" cm="1">
        <f t="array" ref="N94">IF($C94="","",SUMPRODUCT((TEXT($AE$5:$OE$5, "mmm")=LOWER(M$3))*$AE94:$OE94))</f>
        <v/>
      </c>
      <c r="O94" s="34"/>
      <c r="P94" s="34" t="str" cm="1">
        <f t="array" ref="P94">IF($C94="","",SUMPRODUCT((TEXT($AE$5:$OE$5, "mmm")=LOWER(O$3))*$AE94:$OE94))</f>
        <v/>
      </c>
      <c r="Q94" s="34"/>
      <c r="R94" s="34" t="str" cm="1">
        <f t="array" ref="R94">IF($C94="","",SUMPRODUCT((TEXT($AE$5:$OE$5, "mmm")=LOWER(Q$3))*$AE94:$OE94))</f>
        <v/>
      </c>
      <c r="S94" s="34"/>
      <c r="T94" s="34" t="str" cm="1">
        <f t="array" ref="T94">IF($C94="","",SUMPRODUCT((TEXT($AE$5:$OE$5, "mmm")=LOWER(S$3))*$AE94:$OE94))</f>
        <v/>
      </c>
      <c r="U94" s="34"/>
      <c r="V94" s="34" t="str" cm="1">
        <f t="array" ref="V94">IF($C94="","",SUMPRODUCT((TEXT($AE$5:$OE$5, "mmm")=LOWER(U$3))*$AE94:$OE94))</f>
        <v/>
      </c>
      <c r="W94" s="34"/>
      <c r="X94" s="34" t="str" cm="1">
        <f t="array" ref="X94">IF($C94="","",SUMPRODUCT((TEXT($AE$5:$OE$5, "mmm")=LOWER(W$3))*$AE94:$OE94))</f>
        <v/>
      </c>
      <c r="Y94" s="34"/>
      <c r="Z94" s="34" t="str" cm="1">
        <f t="array" ref="Z94">IF($C94="","",SUMPRODUCT((TEXT($AE$5:$OE$5, "mmm")=LOWER(Y$3))*$AE94:$OE94))</f>
        <v/>
      </c>
      <c r="AA94" s="34"/>
      <c r="AB94" s="34" t="str" cm="1">
        <f t="array" ref="AB94">IF($C94="","",SUMPRODUCT((TEXT($AE$5:$OE$5, "mmm")=LOWER(AA$3))*$AE94:$OE94))</f>
        <v/>
      </c>
      <c r="AC94" s="34"/>
      <c r="AD94" s="34" t="str" cm="1">
        <f t="array" ref="AD94">IF($C94="","",SUMPRODUCT((TEXT($AE$5:$OE$5, "mmm")=LOWER(AC$3))*$AE94:$OE94))</f>
        <v/>
      </c>
      <c r="OE94" s="49"/>
    </row>
    <row r="95" spans="1:395">
      <c r="A95" s="35"/>
      <c r="C95" s="2" t="str">
        <f>IF(ISBLANK($B95),"",_xlfn.XLOOKUP($B95,Task_No,Project!$C$3:$C$144,"INVALID TASK"))</f>
        <v/>
      </c>
      <c r="E95" s="7" t="str">
        <f t="shared" si="19"/>
        <v/>
      </c>
      <c r="F95" s="7" t="str">
        <f t="shared" si="20"/>
        <v/>
      </c>
      <c r="G95" s="34"/>
      <c r="H95" s="34" t="str" cm="1">
        <f t="array" ref="H95">IF($C95="","",SUMPRODUCT((TEXT($AE$5:$OE$5, "mmm")=LOWER(G$3))*$AE95:$OE95))</f>
        <v/>
      </c>
      <c r="I95" s="34"/>
      <c r="J95" s="34" t="str" cm="1">
        <f t="array" ref="J95">IF($C95="","",SUMPRODUCT((TEXT($AE$5:$OE$5, "mmm")=LOWER(I$3))*$AE95:$OE95))</f>
        <v/>
      </c>
      <c r="K95" s="34"/>
      <c r="L95" s="34" t="str" cm="1">
        <f t="array" ref="L95">IF($C95="","",SUMPRODUCT((TEXT($AE$5:$OE$5, "mmm")=LOWER(K$3))*$AE95:$OE95))</f>
        <v/>
      </c>
      <c r="M95" s="34"/>
      <c r="N95" s="34" t="str" cm="1">
        <f t="array" ref="N95">IF($C95="","",SUMPRODUCT((TEXT($AE$5:$OE$5, "mmm")=LOWER(M$3))*$AE95:$OE95))</f>
        <v/>
      </c>
      <c r="O95" s="34"/>
      <c r="P95" s="34" t="str" cm="1">
        <f t="array" ref="P95">IF($C95="","",SUMPRODUCT((TEXT($AE$5:$OE$5, "mmm")=LOWER(O$3))*$AE95:$OE95))</f>
        <v/>
      </c>
      <c r="Q95" s="34"/>
      <c r="R95" s="34" t="str" cm="1">
        <f t="array" ref="R95">IF($C95="","",SUMPRODUCT((TEXT($AE$5:$OE$5, "mmm")=LOWER(Q$3))*$AE95:$OE95))</f>
        <v/>
      </c>
      <c r="S95" s="34"/>
      <c r="T95" s="34" t="str" cm="1">
        <f t="array" ref="T95">IF($C95="","",SUMPRODUCT((TEXT($AE$5:$OE$5, "mmm")=LOWER(S$3))*$AE95:$OE95))</f>
        <v/>
      </c>
      <c r="U95" s="34"/>
      <c r="V95" s="34" t="str" cm="1">
        <f t="array" ref="V95">IF($C95="","",SUMPRODUCT((TEXT($AE$5:$OE$5, "mmm")=LOWER(U$3))*$AE95:$OE95))</f>
        <v/>
      </c>
      <c r="W95" s="34"/>
      <c r="X95" s="34" t="str" cm="1">
        <f t="array" ref="X95">IF($C95="","",SUMPRODUCT((TEXT($AE$5:$OE$5, "mmm")=LOWER(W$3))*$AE95:$OE95))</f>
        <v/>
      </c>
      <c r="Y95" s="34"/>
      <c r="Z95" s="34" t="str" cm="1">
        <f t="array" ref="Z95">IF($C95="","",SUMPRODUCT((TEXT($AE$5:$OE$5, "mmm")=LOWER(Y$3))*$AE95:$OE95))</f>
        <v/>
      </c>
      <c r="AA95" s="34"/>
      <c r="AB95" s="34" t="str" cm="1">
        <f t="array" ref="AB95">IF($C95="","",SUMPRODUCT((TEXT($AE$5:$OE$5, "mmm")=LOWER(AA$3))*$AE95:$OE95))</f>
        <v/>
      </c>
      <c r="AC95" s="34"/>
      <c r="AD95" s="34" t="str" cm="1">
        <f t="array" ref="AD95">IF($C95="","",SUMPRODUCT((TEXT($AE$5:$OE$5, "mmm")=LOWER(AC$3))*$AE95:$OE95))</f>
        <v/>
      </c>
      <c r="OE95" s="49"/>
    </row>
    <row r="96" spans="1:395">
      <c r="A96" s="35"/>
      <c r="C96" s="2" t="str">
        <f>IF(ISBLANK($B96),"",_xlfn.XLOOKUP($B96,Task_No,Project!$C$3:$C$144,"INVALID TASK"))</f>
        <v/>
      </c>
      <c r="E96" s="7" t="str">
        <f t="shared" si="19"/>
        <v/>
      </c>
      <c r="F96" s="7" t="str">
        <f t="shared" si="20"/>
        <v/>
      </c>
      <c r="G96" s="34"/>
      <c r="H96" s="34" t="str" cm="1">
        <f t="array" ref="H96">IF($C96="","",SUMPRODUCT((TEXT($AE$5:$OE$5, "mmm")=LOWER(G$3))*$AE96:$OE96))</f>
        <v/>
      </c>
      <c r="I96" s="34"/>
      <c r="J96" s="34" t="str" cm="1">
        <f t="array" ref="J96">IF($C96="","",SUMPRODUCT((TEXT($AE$5:$OE$5, "mmm")=LOWER(I$3))*$AE96:$OE96))</f>
        <v/>
      </c>
      <c r="K96" s="34"/>
      <c r="L96" s="34" t="str" cm="1">
        <f t="array" ref="L96">IF($C96="","",SUMPRODUCT((TEXT($AE$5:$OE$5, "mmm")=LOWER(K$3))*$AE96:$OE96))</f>
        <v/>
      </c>
      <c r="M96" s="34"/>
      <c r="N96" s="34" t="str" cm="1">
        <f t="array" ref="N96">IF($C96="","",SUMPRODUCT((TEXT($AE$5:$OE$5, "mmm")=LOWER(M$3))*$AE96:$OE96))</f>
        <v/>
      </c>
      <c r="O96" s="34"/>
      <c r="P96" s="34" t="str" cm="1">
        <f t="array" ref="P96">IF($C96="","",SUMPRODUCT((TEXT($AE$5:$OE$5, "mmm")=LOWER(O$3))*$AE96:$OE96))</f>
        <v/>
      </c>
      <c r="Q96" s="34"/>
      <c r="R96" s="34" t="str" cm="1">
        <f t="array" ref="R96">IF($C96="","",SUMPRODUCT((TEXT($AE$5:$OE$5, "mmm")=LOWER(Q$3))*$AE96:$OE96))</f>
        <v/>
      </c>
      <c r="S96" s="34"/>
      <c r="T96" s="34" t="str" cm="1">
        <f t="array" ref="T96">IF($C96="","",SUMPRODUCT((TEXT($AE$5:$OE$5, "mmm")=LOWER(S$3))*$AE96:$OE96))</f>
        <v/>
      </c>
      <c r="U96" s="34"/>
      <c r="V96" s="34" t="str" cm="1">
        <f t="array" ref="V96">IF($C96="","",SUMPRODUCT((TEXT($AE$5:$OE$5, "mmm")=LOWER(U$3))*$AE96:$OE96))</f>
        <v/>
      </c>
      <c r="W96" s="34"/>
      <c r="X96" s="34" t="str" cm="1">
        <f t="array" ref="X96">IF($C96="","",SUMPRODUCT((TEXT($AE$5:$OE$5, "mmm")=LOWER(W$3))*$AE96:$OE96))</f>
        <v/>
      </c>
      <c r="Y96" s="34"/>
      <c r="Z96" s="34" t="str" cm="1">
        <f t="array" ref="Z96">IF($C96="","",SUMPRODUCT((TEXT($AE$5:$OE$5, "mmm")=LOWER(Y$3))*$AE96:$OE96))</f>
        <v/>
      </c>
      <c r="AA96" s="34"/>
      <c r="AB96" s="34" t="str" cm="1">
        <f t="array" ref="AB96">IF($C96="","",SUMPRODUCT((TEXT($AE$5:$OE$5, "mmm")=LOWER(AA$3))*$AE96:$OE96))</f>
        <v/>
      </c>
      <c r="AC96" s="34"/>
      <c r="AD96" s="34" t="str" cm="1">
        <f t="array" ref="AD96">IF($C96="","",SUMPRODUCT((TEXT($AE$5:$OE$5, "mmm")=LOWER(AC$3))*$AE96:$OE96))</f>
        <v/>
      </c>
      <c r="OE96" s="49"/>
    </row>
    <row r="97" spans="1:395">
      <c r="A97" s="35"/>
      <c r="C97" s="2" t="str">
        <f>IF(ISBLANK($B97),"",_xlfn.XLOOKUP($B97,Task_No,Project!$C$3:$C$144,"INVALID TASK"))</f>
        <v/>
      </c>
      <c r="E97" s="7" t="str">
        <f t="shared" si="19"/>
        <v/>
      </c>
      <c r="F97" s="7" t="str">
        <f t="shared" si="20"/>
        <v/>
      </c>
      <c r="G97" s="34"/>
      <c r="H97" s="34" t="str" cm="1">
        <f t="array" ref="H97">IF($C97="","",SUMPRODUCT((TEXT($AE$5:$OE$5, "mmm")=LOWER(G$3))*$AE97:$OE97))</f>
        <v/>
      </c>
      <c r="I97" s="34"/>
      <c r="J97" s="34" t="str" cm="1">
        <f t="array" ref="J97">IF($C97="","",SUMPRODUCT((TEXT($AE$5:$OE$5, "mmm")=LOWER(I$3))*$AE97:$OE97))</f>
        <v/>
      </c>
      <c r="K97" s="34"/>
      <c r="L97" s="34" t="str" cm="1">
        <f t="array" ref="L97">IF($C97="","",SUMPRODUCT((TEXT($AE$5:$OE$5, "mmm")=LOWER(K$3))*$AE97:$OE97))</f>
        <v/>
      </c>
      <c r="M97" s="34"/>
      <c r="N97" s="34" t="str" cm="1">
        <f t="array" ref="N97">IF($C97="","",SUMPRODUCT((TEXT($AE$5:$OE$5, "mmm")=LOWER(M$3))*$AE97:$OE97))</f>
        <v/>
      </c>
      <c r="O97" s="34"/>
      <c r="P97" s="34" t="str" cm="1">
        <f t="array" ref="P97">IF($C97="","",SUMPRODUCT((TEXT($AE$5:$OE$5, "mmm")=LOWER(O$3))*$AE97:$OE97))</f>
        <v/>
      </c>
      <c r="Q97" s="34"/>
      <c r="R97" s="34" t="str" cm="1">
        <f t="array" ref="R97">IF($C97="","",SUMPRODUCT((TEXT($AE$5:$OE$5, "mmm")=LOWER(Q$3))*$AE97:$OE97))</f>
        <v/>
      </c>
      <c r="S97" s="34"/>
      <c r="T97" s="34" t="str" cm="1">
        <f t="array" ref="T97">IF($C97="","",SUMPRODUCT((TEXT($AE$5:$OE$5, "mmm")=LOWER(S$3))*$AE97:$OE97))</f>
        <v/>
      </c>
      <c r="U97" s="34"/>
      <c r="V97" s="34" t="str" cm="1">
        <f t="array" ref="V97">IF($C97="","",SUMPRODUCT((TEXT($AE$5:$OE$5, "mmm")=LOWER(U$3))*$AE97:$OE97))</f>
        <v/>
      </c>
      <c r="W97" s="34"/>
      <c r="X97" s="34" t="str" cm="1">
        <f t="array" ref="X97">IF($C97="","",SUMPRODUCT((TEXT($AE$5:$OE$5, "mmm")=LOWER(W$3))*$AE97:$OE97))</f>
        <v/>
      </c>
      <c r="Y97" s="34"/>
      <c r="Z97" s="34" t="str" cm="1">
        <f t="array" ref="Z97">IF($C97="","",SUMPRODUCT((TEXT($AE$5:$OE$5, "mmm")=LOWER(Y$3))*$AE97:$OE97))</f>
        <v/>
      </c>
      <c r="AA97" s="34"/>
      <c r="AB97" s="34" t="str" cm="1">
        <f t="array" ref="AB97">IF($C97="","",SUMPRODUCT((TEXT($AE$5:$OE$5, "mmm")=LOWER(AA$3))*$AE97:$OE97))</f>
        <v/>
      </c>
      <c r="AC97" s="34"/>
      <c r="AD97" s="34" t="str" cm="1">
        <f t="array" ref="AD97">IF($C97="","",SUMPRODUCT((TEXT($AE$5:$OE$5, "mmm")=LOWER(AC$3))*$AE97:$OE97))</f>
        <v/>
      </c>
      <c r="OE97" s="49"/>
    </row>
    <row r="98" spans="1:395">
      <c r="A98" s="35"/>
      <c r="C98" s="2" t="str">
        <f>IF(ISBLANK($B98),"",_xlfn.XLOOKUP($B98,Task_No,Project!$C$3:$C$144,"INVALID TASK"))</f>
        <v/>
      </c>
      <c r="E98" s="7" t="str">
        <f t="shared" si="19"/>
        <v/>
      </c>
      <c r="F98" s="7" t="str">
        <f t="shared" si="20"/>
        <v/>
      </c>
      <c r="G98" s="34"/>
      <c r="H98" s="34" t="str" cm="1">
        <f t="array" ref="H98">IF($C98="","",SUMPRODUCT((TEXT($AE$5:$OE$5, "mmm")=LOWER(G$3))*$AE98:$OE98))</f>
        <v/>
      </c>
      <c r="I98" s="34"/>
      <c r="J98" s="34" t="str" cm="1">
        <f t="array" ref="J98">IF($C98="","",SUMPRODUCT((TEXT($AE$5:$OE$5, "mmm")=LOWER(I$3))*$AE98:$OE98))</f>
        <v/>
      </c>
      <c r="K98" s="34"/>
      <c r="L98" s="34" t="str" cm="1">
        <f t="array" ref="L98">IF($C98="","",SUMPRODUCT((TEXT($AE$5:$OE$5, "mmm")=LOWER(K$3))*$AE98:$OE98))</f>
        <v/>
      </c>
      <c r="M98" s="34"/>
      <c r="N98" s="34" t="str" cm="1">
        <f t="array" ref="N98">IF($C98="","",SUMPRODUCT((TEXT($AE$5:$OE$5, "mmm")=LOWER(M$3))*$AE98:$OE98))</f>
        <v/>
      </c>
      <c r="O98" s="34"/>
      <c r="P98" s="34" t="str" cm="1">
        <f t="array" ref="P98">IF($C98="","",SUMPRODUCT((TEXT($AE$5:$OE$5, "mmm")=LOWER(O$3))*$AE98:$OE98))</f>
        <v/>
      </c>
      <c r="Q98" s="34"/>
      <c r="R98" s="34" t="str" cm="1">
        <f t="array" ref="R98">IF($C98="","",SUMPRODUCT((TEXT($AE$5:$OE$5, "mmm")=LOWER(Q$3))*$AE98:$OE98))</f>
        <v/>
      </c>
      <c r="S98" s="34"/>
      <c r="T98" s="34" t="str" cm="1">
        <f t="array" ref="T98">IF($C98="","",SUMPRODUCT((TEXT($AE$5:$OE$5, "mmm")=LOWER(S$3))*$AE98:$OE98))</f>
        <v/>
      </c>
      <c r="U98" s="34"/>
      <c r="V98" s="34" t="str" cm="1">
        <f t="array" ref="V98">IF($C98="","",SUMPRODUCT((TEXT($AE$5:$OE$5, "mmm")=LOWER(U$3))*$AE98:$OE98))</f>
        <v/>
      </c>
      <c r="W98" s="34"/>
      <c r="X98" s="34" t="str" cm="1">
        <f t="array" ref="X98">IF($C98="","",SUMPRODUCT((TEXT($AE$5:$OE$5, "mmm")=LOWER(W$3))*$AE98:$OE98))</f>
        <v/>
      </c>
      <c r="Y98" s="34"/>
      <c r="Z98" s="34" t="str" cm="1">
        <f t="array" ref="Z98">IF($C98="","",SUMPRODUCT((TEXT($AE$5:$OE$5, "mmm")=LOWER(Y$3))*$AE98:$OE98))</f>
        <v/>
      </c>
      <c r="AA98" s="34"/>
      <c r="AB98" s="34" t="str" cm="1">
        <f t="array" ref="AB98">IF($C98="","",SUMPRODUCT((TEXT($AE$5:$OE$5, "mmm")=LOWER(AA$3))*$AE98:$OE98))</f>
        <v/>
      </c>
      <c r="AC98" s="34"/>
      <c r="AD98" s="34" t="str" cm="1">
        <f t="array" ref="AD98">IF($C98="","",SUMPRODUCT((TEXT($AE$5:$OE$5, "mmm")=LOWER(AC$3))*$AE98:$OE98))</f>
        <v/>
      </c>
      <c r="OE98" s="49"/>
    </row>
    <row r="99" spans="1:395">
      <c r="A99" s="35"/>
      <c r="C99" s="2" t="str">
        <f>IF(ISBLANK($B99),"",_xlfn.XLOOKUP($B99,Task_No,Project!$C$3:$C$144,"INVALID TASK"))</f>
        <v/>
      </c>
      <c r="E99" s="7" t="str">
        <f t="shared" si="19"/>
        <v/>
      </c>
      <c r="F99" s="7" t="str">
        <f t="shared" si="20"/>
        <v/>
      </c>
      <c r="G99" s="34"/>
      <c r="H99" s="34" t="str" cm="1">
        <f t="array" ref="H99">IF($C99="","",SUMPRODUCT((TEXT($AE$5:$OE$5, "mmm")=LOWER(G$3))*$AE99:$OE99))</f>
        <v/>
      </c>
      <c r="I99" s="34"/>
      <c r="J99" s="34" t="str" cm="1">
        <f t="array" ref="J99">IF($C99="","",SUMPRODUCT((TEXT($AE$5:$OE$5, "mmm")=LOWER(I$3))*$AE99:$OE99))</f>
        <v/>
      </c>
      <c r="K99" s="34"/>
      <c r="L99" s="34" t="str" cm="1">
        <f t="array" ref="L99">IF($C99="","",SUMPRODUCT((TEXT($AE$5:$OE$5, "mmm")=LOWER(K$3))*$AE99:$OE99))</f>
        <v/>
      </c>
      <c r="M99" s="34"/>
      <c r="N99" s="34" t="str" cm="1">
        <f t="array" ref="N99">IF($C99="","",SUMPRODUCT((TEXT($AE$5:$OE$5, "mmm")=LOWER(M$3))*$AE99:$OE99))</f>
        <v/>
      </c>
      <c r="O99" s="34"/>
      <c r="P99" s="34" t="str" cm="1">
        <f t="array" ref="P99">IF($C99="","",SUMPRODUCT((TEXT($AE$5:$OE$5, "mmm")=LOWER(O$3))*$AE99:$OE99))</f>
        <v/>
      </c>
      <c r="Q99" s="34"/>
      <c r="R99" s="34" t="str" cm="1">
        <f t="array" ref="R99">IF($C99="","",SUMPRODUCT((TEXT($AE$5:$OE$5, "mmm")=LOWER(Q$3))*$AE99:$OE99))</f>
        <v/>
      </c>
      <c r="S99" s="34"/>
      <c r="T99" s="34" t="str" cm="1">
        <f t="array" ref="T99">IF($C99="","",SUMPRODUCT((TEXT($AE$5:$OE$5, "mmm")=LOWER(S$3))*$AE99:$OE99))</f>
        <v/>
      </c>
      <c r="U99" s="34"/>
      <c r="V99" s="34" t="str" cm="1">
        <f t="array" ref="V99">IF($C99="","",SUMPRODUCT((TEXT($AE$5:$OE$5, "mmm")=LOWER(U$3))*$AE99:$OE99))</f>
        <v/>
      </c>
      <c r="W99" s="34"/>
      <c r="X99" s="34" t="str" cm="1">
        <f t="array" ref="X99">IF($C99="","",SUMPRODUCT((TEXT($AE$5:$OE$5, "mmm")=LOWER(W$3))*$AE99:$OE99))</f>
        <v/>
      </c>
      <c r="Y99" s="34"/>
      <c r="Z99" s="34" t="str" cm="1">
        <f t="array" ref="Z99">IF($C99="","",SUMPRODUCT((TEXT($AE$5:$OE$5, "mmm")=LOWER(Y$3))*$AE99:$OE99))</f>
        <v/>
      </c>
      <c r="AA99" s="34"/>
      <c r="AB99" s="34" t="str" cm="1">
        <f t="array" ref="AB99">IF($C99="","",SUMPRODUCT((TEXT($AE$5:$OE$5, "mmm")=LOWER(AA$3))*$AE99:$OE99))</f>
        <v/>
      </c>
      <c r="AC99" s="34"/>
      <c r="AD99" s="34" t="str" cm="1">
        <f t="array" ref="AD99">IF($C99="","",SUMPRODUCT((TEXT($AE$5:$OE$5, "mmm")=LOWER(AC$3))*$AE99:$OE99))</f>
        <v/>
      </c>
      <c r="OE99" s="49"/>
    </row>
    <row r="100" spans="1:395">
      <c r="A100" s="35"/>
      <c r="C100" s="2" t="str">
        <f>IF(ISBLANK($B100),"",_xlfn.XLOOKUP($B100,Task_No,Project!$C$3:$C$144,"INVALID TASK"))</f>
        <v/>
      </c>
      <c r="E100" s="7" t="str">
        <f t="shared" si="19"/>
        <v/>
      </c>
      <c r="F100" s="7" t="str">
        <f t="shared" si="20"/>
        <v/>
      </c>
      <c r="G100" s="34"/>
      <c r="H100" s="34" t="str" cm="1">
        <f t="array" ref="H100">IF($C100="","",SUMPRODUCT((TEXT($AE$5:$OE$5, "mmm")=LOWER(G$3))*$AE100:$OE100))</f>
        <v/>
      </c>
      <c r="I100" s="34"/>
      <c r="J100" s="34" t="str" cm="1">
        <f t="array" ref="J100">IF($C100="","",SUMPRODUCT((TEXT($AE$5:$OE$5, "mmm")=LOWER(I$3))*$AE100:$OE100))</f>
        <v/>
      </c>
      <c r="K100" s="34"/>
      <c r="L100" s="34" t="str" cm="1">
        <f t="array" ref="L100">IF($C100="","",SUMPRODUCT((TEXT($AE$5:$OE$5, "mmm")=LOWER(K$3))*$AE100:$OE100))</f>
        <v/>
      </c>
      <c r="M100" s="34"/>
      <c r="N100" s="34" t="str" cm="1">
        <f t="array" ref="N100">IF($C100="","",SUMPRODUCT((TEXT($AE$5:$OE$5, "mmm")=LOWER(M$3))*$AE100:$OE100))</f>
        <v/>
      </c>
      <c r="O100" s="34"/>
      <c r="P100" s="34" t="str" cm="1">
        <f t="array" ref="P100">IF($C100="","",SUMPRODUCT((TEXT($AE$5:$OE$5, "mmm")=LOWER(O$3))*$AE100:$OE100))</f>
        <v/>
      </c>
      <c r="Q100" s="34"/>
      <c r="R100" s="34" t="str" cm="1">
        <f t="array" ref="R100">IF($C100="","",SUMPRODUCT((TEXT($AE$5:$OE$5, "mmm")=LOWER(Q$3))*$AE100:$OE100))</f>
        <v/>
      </c>
      <c r="S100" s="34"/>
      <c r="T100" s="34" t="str" cm="1">
        <f t="array" ref="T100">IF($C100="","",SUMPRODUCT((TEXT($AE$5:$OE$5, "mmm")=LOWER(S$3))*$AE100:$OE100))</f>
        <v/>
      </c>
      <c r="U100" s="34"/>
      <c r="V100" s="34" t="str" cm="1">
        <f t="array" ref="V100">IF($C100="","",SUMPRODUCT((TEXT($AE$5:$OE$5, "mmm")=LOWER(U$3))*$AE100:$OE100))</f>
        <v/>
      </c>
      <c r="W100" s="34"/>
      <c r="X100" s="34" t="str" cm="1">
        <f t="array" ref="X100">IF($C100="","",SUMPRODUCT((TEXT($AE$5:$OE$5, "mmm")=LOWER(W$3))*$AE100:$OE100))</f>
        <v/>
      </c>
      <c r="Y100" s="34"/>
      <c r="Z100" s="34" t="str" cm="1">
        <f t="array" ref="Z100">IF($C100="","",SUMPRODUCT((TEXT($AE$5:$OE$5, "mmm")=LOWER(Y$3))*$AE100:$OE100))</f>
        <v/>
      </c>
      <c r="AA100" s="34"/>
      <c r="AB100" s="34" t="str" cm="1">
        <f t="array" ref="AB100">IF($C100="","",SUMPRODUCT((TEXT($AE$5:$OE$5, "mmm")=LOWER(AA$3))*$AE100:$OE100))</f>
        <v/>
      </c>
      <c r="AC100" s="34"/>
      <c r="AD100" s="34" t="str" cm="1">
        <f t="array" ref="AD100">IF($C100="","",SUMPRODUCT((TEXT($AE$5:$OE$5, "mmm")=LOWER(AC$3))*$AE100:$OE100))</f>
        <v/>
      </c>
      <c r="OE100" s="49"/>
    </row>
    <row r="101" spans="1:395">
      <c r="A101" s="35"/>
      <c r="C101" s="2" t="str">
        <f>IF(ISBLANK($B101),"",_xlfn.XLOOKUP($B101,Task_No,Project!$C$3:$C$144,"INVALID TASK"))</f>
        <v/>
      </c>
      <c r="E101" s="7" t="str">
        <f t="shared" si="19"/>
        <v/>
      </c>
      <c r="F101" s="7" t="str">
        <f t="shared" si="20"/>
        <v/>
      </c>
      <c r="G101" s="34"/>
      <c r="H101" s="34" t="str" cm="1">
        <f t="array" ref="H101">IF($C101="","",SUMPRODUCT((TEXT($AE$5:$OE$5, "mmm")=LOWER(G$3))*$AE101:$OE101))</f>
        <v/>
      </c>
      <c r="I101" s="34"/>
      <c r="J101" s="34" t="str" cm="1">
        <f t="array" ref="J101">IF($C101="","",SUMPRODUCT((TEXT($AE$5:$OE$5, "mmm")=LOWER(I$3))*$AE101:$OE101))</f>
        <v/>
      </c>
      <c r="K101" s="34"/>
      <c r="L101" s="34" t="str" cm="1">
        <f t="array" ref="L101">IF($C101="","",SUMPRODUCT((TEXT($AE$5:$OE$5, "mmm")=LOWER(K$3))*$AE101:$OE101))</f>
        <v/>
      </c>
      <c r="M101" s="34"/>
      <c r="N101" s="34" t="str" cm="1">
        <f t="array" ref="N101">IF($C101="","",SUMPRODUCT((TEXT($AE$5:$OE$5, "mmm")=LOWER(M$3))*$AE101:$OE101))</f>
        <v/>
      </c>
      <c r="O101" s="34"/>
      <c r="P101" s="34" t="str" cm="1">
        <f t="array" ref="P101">IF($C101="","",SUMPRODUCT((TEXT($AE$5:$OE$5, "mmm")=LOWER(O$3))*$AE101:$OE101))</f>
        <v/>
      </c>
      <c r="Q101" s="34"/>
      <c r="R101" s="34" t="str" cm="1">
        <f t="array" ref="R101">IF($C101="","",SUMPRODUCT((TEXT($AE$5:$OE$5, "mmm")=LOWER(Q$3))*$AE101:$OE101))</f>
        <v/>
      </c>
      <c r="S101" s="34"/>
      <c r="T101" s="34" t="str" cm="1">
        <f t="array" ref="T101">IF($C101="","",SUMPRODUCT((TEXT($AE$5:$OE$5, "mmm")=LOWER(S$3))*$AE101:$OE101))</f>
        <v/>
      </c>
      <c r="U101" s="34"/>
      <c r="V101" s="34" t="str" cm="1">
        <f t="array" ref="V101">IF($C101="","",SUMPRODUCT((TEXT($AE$5:$OE$5, "mmm")=LOWER(U$3))*$AE101:$OE101))</f>
        <v/>
      </c>
      <c r="W101" s="34"/>
      <c r="X101" s="34" t="str" cm="1">
        <f t="array" ref="X101">IF($C101="","",SUMPRODUCT((TEXT($AE$5:$OE$5, "mmm")=LOWER(W$3))*$AE101:$OE101))</f>
        <v/>
      </c>
      <c r="Y101" s="34"/>
      <c r="Z101" s="34" t="str" cm="1">
        <f t="array" ref="Z101">IF($C101="","",SUMPRODUCT((TEXT($AE$5:$OE$5, "mmm")=LOWER(Y$3))*$AE101:$OE101))</f>
        <v/>
      </c>
      <c r="AA101" s="34"/>
      <c r="AB101" s="34" t="str" cm="1">
        <f t="array" ref="AB101">IF($C101="","",SUMPRODUCT((TEXT($AE$5:$OE$5, "mmm")=LOWER(AA$3))*$AE101:$OE101))</f>
        <v/>
      </c>
      <c r="AC101" s="34"/>
      <c r="AD101" s="34" t="str" cm="1">
        <f t="array" ref="AD101">IF($C101="","",SUMPRODUCT((TEXT($AE$5:$OE$5, "mmm")=LOWER(AC$3))*$AE101:$OE101))</f>
        <v/>
      </c>
      <c r="OE101" s="49"/>
    </row>
    <row r="102" spans="1:395">
      <c r="A102" s="35"/>
      <c r="C102" s="2" t="str">
        <f>IF(ISBLANK($B102),"",_xlfn.XLOOKUP($B102,Task_No,Project!$C$3:$C$144,"INVALID TASK"))</f>
        <v/>
      </c>
      <c r="E102" s="7" t="str">
        <f t="shared" si="19"/>
        <v/>
      </c>
      <c r="F102" s="7" t="str">
        <f t="shared" si="20"/>
        <v/>
      </c>
      <c r="G102" s="34"/>
      <c r="H102" s="34" t="str" cm="1">
        <f t="array" ref="H102">IF($C102="","",SUMPRODUCT((TEXT($AE$5:$OE$5, "mmm")=LOWER(G$3))*$AE102:$OE102))</f>
        <v/>
      </c>
      <c r="I102" s="34"/>
      <c r="J102" s="34" t="str" cm="1">
        <f t="array" ref="J102">IF($C102="","",SUMPRODUCT((TEXT($AE$5:$OE$5, "mmm")=LOWER(I$3))*$AE102:$OE102))</f>
        <v/>
      </c>
      <c r="K102" s="34"/>
      <c r="L102" s="34" t="str" cm="1">
        <f t="array" ref="L102">IF($C102="","",SUMPRODUCT((TEXT($AE$5:$OE$5, "mmm")=LOWER(K$3))*$AE102:$OE102))</f>
        <v/>
      </c>
      <c r="M102" s="34"/>
      <c r="N102" s="34" t="str" cm="1">
        <f t="array" ref="N102">IF($C102="","",SUMPRODUCT((TEXT($AE$5:$OE$5, "mmm")=LOWER(M$3))*$AE102:$OE102))</f>
        <v/>
      </c>
      <c r="O102" s="34"/>
      <c r="P102" s="34" t="str" cm="1">
        <f t="array" ref="P102">IF($C102="","",SUMPRODUCT((TEXT($AE$5:$OE$5, "mmm")=LOWER(O$3))*$AE102:$OE102))</f>
        <v/>
      </c>
      <c r="Q102" s="34"/>
      <c r="R102" s="34" t="str" cm="1">
        <f t="array" ref="R102">IF($C102="","",SUMPRODUCT((TEXT($AE$5:$OE$5, "mmm")=LOWER(Q$3))*$AE102:$OE102))</f>
        <v/>
      </c>
      <c r="S102" s="34"/>
      <c r="T102" s="34" t="str" cm="1">
        <f t="array" ref="T102">IF($C102="","",SUMPRODUCT((TEXT($AE$5:$OE$5, "mmm")=LOWER(S$3))*$AE102:$OE102))</f>
        <v/>
      </c>
      <c r="U102" s="34"/>
      <c r="V102" s="34" t="str" cm="1">
        <f t="array" ref="V102">IF($C102="","",SUMPRODUCT((TEXT($AE$5:$OE$5, "mmm")=LOWER(U$3))*$AE102:$OE102))</f>
        <v/>
      </c>
      <c r="W102" s="34"/>
      <c r="X102" s="34" t="str" cm="1">
        <f t="array" ref="X102">IF($C102="","",SUMPRODUCT((TEXT($AE$5:$OE$5, "mmm")=LOWER(W$3))*$AE102:$OE102))</f>
        <v/>
      </c>
      <c r="Y102" s="34"/>
      <c r="Z102" s="34" t="str" cm="1">
        <f t="array" ref="Z102">IF($C102="","",SUMPRODUCT((TEXT($AE$5:$OE$5, "mmm")=LOWER(Y$3))*$AE102:$OE102))</f>
        <v/>
      </c>
      <c r="AA102" s="34"/>
      <c r="AB102" s="34" t="str" cm="1">
        <f t="array" ref="AB102">IF($C102="","",SUMPRODUCT((TEXT($AE$5:$OE$5, "mmm")=LOWER(AA$3))*$AE102:$OE102))</f>
        <v/>
      </c>
      <c r="AC102" s="34"/>
      <c r="AD102" s="34" t="str" cm="1">
        <f t="array" ref="AD102">IF($C102="","",SUMPRODUCT((TEXT($AE$5:$OE$5, "mmm")=LOWER(AC$3))*$AE102:$OE102))</f>
        <v/>
      </c>
      <c r="OE102" s="49"/>
    </row>
    <row r="103" spans="1:395">
      <c r="A103" s="35"/>
      <c r="C103" s="2" t="str">
        <f>IF(ISBLANK($B103),"",_xlfn.XLOOKUP($B103,Task_No,Project!$C$3:$C$144,"INVALID TASK"))</f>
        <v/>
      </c>
      <c r="E103" s="7" t="str">
        <f t="shared" si="19"/>
        <v/>
      </c>
      <c r="F103" s="7" t="str">
        <f t="shared" si="20"/>
        <v/>
      </c>
      <c r="G103" s="34"/>
      <c r="H103" s="34" t="str" cm="1">
        <f t="array" ref="H103">IF($C103="","",SUMPRODUCT((TEXT($AE$5:$OE$5, "mmm")=LOWER(G$3))*$AE103:$OE103))</f>
        <v/>
      </c>
      <c r="I103" s="34"/>
      <c r="J103" s="34" t="str" cm="1">
        <f t="array" ref="J103">IF($C103="","",SUMPRODUCT((TEXT($AE$5:$OE$5, "mmm")=LOWER(I$3))*$AE103:$OE103))</f>
        <v/>
      </c>
      <c r="K103" s="34"/>
      <c r="L103" s="34" t="str" cm="1">
        <f t="array" ref="L103">IF($C103="","",SUMPRODUCT((TEXT($AE$5:$OE$5, "mmm")=LOWER(K$3))*$AE103:$OE103))</f>
        <v/>
      </c>
      <c r="M103" s="34"/>
      <c r="N103" s="34" t="str" cm="1">
        <f t="array" ref="N103">IF($C103="","",SUMPRODUCT((TEXT($AE$5:$OE$5, "mmm")=LOWER(M$3))*$AE103:$OE103))</f>
        <v/>
      </c>
      <c r="O103" s="34"/>
      <c r="P103" s="34" t="str" cm="1">
        <f t="array" ref="P103">IF($C103="","",SUMPRODUCT((TEXT($AE$5:$OE$5, "mmm")=LOWER(O$3))*$AE103:$OE103))</f>
        <v/>
      </c>
      <c r="Q103" s="34"/>
      <c r="R103" s="34" t="str" cm="1">
        <f t="array" ref="R103">IF($C103="","",SUMPRODUCT((TEXT($AE$5:$OE$5, "mmm")=LOWER(Q$3))*$AE103:$OE103))</f>
        <v/>
      </c>
      <c r="S103" s="34"/>
      <c r="T103" s="34" t="str" cm="1">
        <f t="array" ref="T103">IF($C103="","",SUMPRODUCT((TEXT($AE$5:$OE$5, "mmm")=LOWER(S$3))*$AE103:$OE103))</f>
        <v/>
      </c>
      <c r="U103" s="34"/>
      <c r="V103" s="34" t="str" cm="1">
        <f t="array" ref="V103">IF($C103="","",SUMPRODUCT((TEXT($AE$5:$OE$5, "mmm")=LOWER(U$3))*$AE103:$OE103))</f>
        <v/>
      </c>
      <c r="W103" s="34"/>
      <c r="X103" s="34" t="str" cm="1">
        <f t="array" ref="X103">IF($C103="","",SUMPRODUCT((TEXT($AE$5:$OE$5, "mmm")=LOWER(W$3))*$AE103:$OE103))</f>
        <v/>
      </c>
      <c r="Y103" s="34"/>
      <c r="Z103" s="34" t="str" cm="1">
        <f t="array" ref="Z103">IF($C103="","",SUMPRODUCT((TEXT($AE$5:$OE$5, "mmm")=LOWER(Y$3))*$AE103:$OE103))</f>
        <v/>
      </c>
      <c r="AA103" s="34"/>
      <c r="AB103" s="34" t="str" cm="1">
        <f t="array" ref="AB103">IF($C103="","",SUMPRODUCT((TEXT($AE$5:$OE$5, "mmm")=LOWER(AA$3))*$AE103:$OE103))</f>
        <v/>
      </c>
      <c r="AC103" s="34"/>
      <c r="AD103" s="34" t="str" cm="1">
        <f t="array" ref="AD103">IF($C103="","",SUMPRODUCT((TEXT($AE$5:$OE$5, "mmm")=LOWER(AC$3))*$AE103:$OE103))</f>
        <v/>
      </c>
      <c r="OE103" s="49"/>
    </row>
    <row r="104" spans="1:395">
      <c r="A104" s="35"/>
      <c r="C104" s="2" t="str">
        <f>IF(ISBLANK($B104),"",_xlfn.XLOOKUP($B104,Task_No,Project!$C$3:$C$144,"INVALID TASK"))</f>
        <v/>
      </c>
      <c r="E104" s="7" t="str">
        <f t="shared" si="19"/>
        <v/>
      </c>
      <c r="F104" s="7" t="str">
        <f t="shared" si="20"/>
        <v/>
      </c>
      <c r="G104" s="34"/>
      <c r="H104" s="34" t="str" cm="1">
        <f t="array" ref="H104">IF($C104="","",SUMPRODUCT((TEXT($AE$5:$OE$5, "mmm")=LOWER(G$3))*$AE104:$OE104))</f>
        <v/>
      </c>
      <c r="I104" s="34"/>
      <c r="J104" s="34" t="str" cm="1">
        <f t="array" ref="J104">IF($C104="","",SUMPRODUCT((TEXT($AE$5:$OE$5, "mmm")=LOWER(I$3))*$AE104:$OE104))</f>
        <v/>
      </c>
      <c r="K104" s="34"/>
      <c r="L104" s="34" t="str" cm="1">
        <f t="array" ref="L104">IF($C104="","",SUMPRODUCT((TEXT($AE$5:$OE$5, "mmm")=LOWER(K$3))*$AE104:$OE104))</f>
        <v/>
      </c>
      <c r="M104" s="34"/>
      <c r="N104" s="34" t="str" cm="1">
        <f t="array" ref="N104">IF($C104="","",SUMPRODUCT((TEXT($AE$5:$OE$5, "mmm")=LOWER(M$3))*$AE104:$OE104))</f>
        <v/>
      </c>
      <c r="O104" s="34"/>
      <c r="P104" s="34" t="str" cm="1">
        <f t="array" ref="P104">IF($C104="","",SUMPRODUCT((TEXT($AE$5:$OE$5, "mmm")=LOWER(O$3))*$AE104:$OE104))</f>
        <v/>
      </c>
      <c r="Q104" s="34"/>
      <c r="R104" s="34" t="str" cm="1">
        <f t="array" ref="R104">IF($C104="","",SUMPRODUCT((TEXT($AE$5:$OE$5, "mmm")=LOWER(Q$3))*$AE104:$OE104))</f>
        <v/>
      </c>
      <c r="S104" s="34"/>
      <c r="T104" s="34" t="str" cm="1">
        <f t="array" ref="T104">IF($C104="","",SUMPRODUCT((TEXT($AE$5:$OE$5, "mmm")=LOWER(S$3))*$AE104:$OE104))</f>
        <v/>
      </c>
      <c r="U104" s="34"/>
      <c r="V104" s="34" t="str" cm="1">
        <f t="array" ref="V104">IF($C104="","",SUMPRODUCT((TEXT($AE$5:$OE$5, "mmm")=LOWER(U$3))*$AE104:$OE104))</f>
        <v/>
      </c>
      <c r="W104" s="34"/>
      <c r="X104" s="34" t="str" cm="1">
        <f t="array" ref="X104">IF($C104="","",SUMPRODUCT((TEXT($AE$5:$OE$5, "mmm")=LOWER(W$3))*$AE104:$OE104))</f>
        <v/>
      </c>
      <c r="Y104" s="34"/>
      <c r="Z104" s="34" t="str" cm="1">
        <f t="array" ref="Z104">IF($C104="","",SUMPRODUCT((TEXT($AE$5:$OE$5, "mmm")=LOWER(Y$3))*$AE104:$OE104))</f>
        <v/>
      </c>
      <c r="AA104" s="34"/>
      <c r="AB104" s="34" t="str" cm="1">
        <f t="array" ref="AB104">IF($C104="","",SUMPRODUCT((TEXT($AE$5:$OE$5, "mmm")=LOWER(AA$3))*$AE104:$OE104))</f>
        <v/>
      </c>
      <c r="AC104" s="34"/>
      <c r="AD104" s="34" t="str" cm="1">
        <f t="array" ref="AD104">IF($C104="","",SUMPRODUCT((TEXT($AE$5:$OE$5, "mmm")=LOWER(AC$3))*$AE104:$OE104))</f>
        <v/>
      </c>
      <c r="OE104" s="49"/>
    </row>
    <row r="105" spans="1:395">
      <c r="A105" s="35"/>
      <c r="C105" s="2" t="str">
        <f>IF(ISBLANK($B105),"",_xlfn.XLOOKUP($B105,Task_No,Project!$C$3:$C$144,"INVALID TASK"))</f>
        <v/>
      </c>
      <c r="E105" s="7" t="str">
        <f t="shared" si="19"/>
        <v/>
      </c>
      <c r="F105" s="7" t="str">
        <f t="shared" si="20"/>
        <v/>
      </c>
      <c r="G105" s="34"/>
      <c r="H105" s="34" t="str" cm="1">
        <f t="array" ref="H105">IF($C105="","",SUMPRODUCT((TEXT($AE$5:$OE$5, "mmm")=LOWER(G$3))*$AE105:$OE105))</f>
        <v/>
      </c>
      <c r="I105" s="34"/>
      <c r="J105" s="34" t="str" cm="1">
        <f t="array" ref="J105">IF($C105="","",SUMPRODUCT((TEXT($AE$5:$OE$5, "mmm")=LOWER(I$3))*$AE105:$OE105))</f>
        <v/>
      </c>
      <c r="K105" s="34"/>
      <c r="L105" s="34" t="str" cm="1">
        <f t="array" ref="L105">IF($C105="","",SUMPRODUCT((TEXT($AE$5:$OE$5, "mmm")=LOWER(K$3))*$AE105:$OE105))</f>
        <v/>
      </c>
      <c r="M105" s="34"/>
      <c r="N105" s="34" t="str" cm="1">
        <f t="array" ref="N105">IF($C105="","",SUMPRODUCT((TEXT($AE$5:$OE$5, "mmm")=LOWER(M$3))*$AE105:$OE105))</f>
        <v/>
      </c>
      <c r="O105" s="34"/>
      <c r="P105" s="34" t="str" cm="1">
        <f t="array" ref="P105">IF($C105="","",SUMPRODUCT((TEXT($AE$5:$OE$5, "mmm")=LOWER(O$3))*$AE105:$OE105))</f>
        <v/>
      </c>
      <c r="Q105" s="34"/>
      <c r="R105" s="34" t="str" cm="1">
        <f t="array" ref="R105">IF($C105="","",SUMPRODUCT((TEXT($AE$5:$OE$5, "mmm")=LOWER(Q$3))*$AE105:$OE105))</f>
        <v/>
      </c>
      <c r="S105" s="34"/>
      <c r="T105" s="34" t="str" cm="1">
        <f t="array" ref="T105">IF($C105="","",SUMPRODUCT((TEXT($AE$5:$OE$5, "mmm")=LOWER(S$3))*$AE105:$OE105))</f>
        <v/>
      </c>
      <c r="U105" s="34"/>
      <c r="V105" s="34" t="str" cm="1">
        <f t="array" ref="V105">IF($C105="","",SUMPRODUCT((TEXT($AE$5:$OE$5, "mmm")=LOWER(U$3))*$AE105:$OE105))</f>
        <v/>
      </c>
      <c r="W105" s="34"/>
      <c r="X105" s="34" t="str" cm="1">
        <f t="array" ref="X105">IF($C105="","",SUMPRODUCT((TEXT($AE$5:$OE$5, "mmm")=LOWER(W$3))*$AE105:$OE105))</f>
        <v/>
      </c>
      <c r="Y105" s="34"/>
      <c r="Z105" s="34" t="str" cm="1">
        <f t="array" ref="Z105">IF($C105="","",SUMPRODUCT((TEXT($AE$5:$OE$5, "mmm")=LOWER(Y$3))*$AE105:$OE105))</f>
        <v/>
      </c>
      <c r="AA105" s="34"/>
      <c r="AB105" s="34" t="str" cm="1">
        <f t="array" ref="AB105">IF($C105="","",SUMPRODUCT((TEXT($AE$5:$OE$5, "mmm")=LOWER(AA$3))*$AE105:$OE105))</f>
        <v/>
      </c>
      <c r="AC105" s="34"/>
      <c r="AD105" s="34" t="str" cm="1">
        <f t="array" ref="AD105">IF($C105="","",SUMPRODUCT((TEXT($AE$5:$OE$5, "mmm")=LOWER(AC$3))*$AE105:$OE105))</f>
        <v/>
      </c>
      <c r="OE105" s="49"/>
    </row>
    <row r="106" spans="1:395">
      <c r="A106" s="35"/>
      <c r="C106" s="2" t="str">
        <f>IF(ISBLANK($B106),"",_xlfn.XLOOKUP($B106,Task_No,Project!$C$3:$C$144,"INVALID TASK"))</f>
        <v/>
      </c>
      <c r="E106" s="7" t="str">
        <f t="shared" si="19"/>
        <v/>
      </c>
      <c r="F106" s="7" t="str">
        <f t="shared" si="20"/>
        <v/>
      </c>
      <c r="G106" s="34"/>
      <c r="H106" s="34" t="str" cm="1">
        <f t="array" ref="H106">IF($C106="","",SUMPRODUCT((TEXT($AE$5:$OE$5, "mmm")=LOWER(G$3))*$AE106:$OE106))</f>
        <v/>
      </c>
      <c r="I106" s="34"/>
      <c r="J106" s="34" t="str" cm="1">
        <f t="array" ref="J106">IF($C106="","",SUMPRODUCT((TEXT($AE$5:$OE$5, "mmm")=LOWER(I$3))*$AE106:$OE106))</f>
        <v/>
      </c>
      <c r="K106" s="34"/>
      <c r="L106" s="34" t="str" cm="1">
        <f t="array" ref="L106">IF($C106="","",SUMPRODUCT((TEXT($AE$5:$OE$5, "mmm")=LOWER(K$3))*$AE106:$OE106))</f>
        <v/>
      </c>
      <c r="M106" s="34"/>
      <c r="N106" s="34" t="str" cm="1">
        <f t="array" ref="N106">IF($C106="","",SUMPRODUCT((TEXT($AE$5:$OE$5, "mmm")=LOWER(M$3))*$AE106:$OE106))</f>
        <v/>
      </c>
      <c r="O106" s="34"/>
      <c r="P106" s="34" t="str" cm="1">
        <f t="array" ref="P106">IF($C106="","",SUMPRODUCT((TEXT($AE$5:$OE$5, "mmm")=LOWER(O$3))*$AE106:$OE106))</f>
        <v/>
      </c>
      <c r="Q106" s="34"/>
      <c r="R106" s="34" t="str" cm="1">
        <f t="array" ref="R106">IF($C106="","",SUMPRODUCT((TEXT($AE$5:$OE$5, "mmm")=LOWER(Q$3))*$AE106:$OE106))</f>
        <v/>
      </c>
      <c r="S106" s="34"/>
      <c r="T106" s="34" t="str" cm="1">
        <f t="array" ref="T106">IF($C106="","",SUMPRODUCT((TEXT($AE$5:$OE$5, "mmm")=LOWER(S$3))*$AE106:$OE106))</f>
        <v/>
      </c>
      <c r="U106" s="34"/>
      <c r="V106" s="34" t="str" cm="1">
        <f t="array" ref="V106">IF($C106="","",SUMPRODUCT((TEXT($AE$5:$OE$5, "mmm")=LOWER(U$3))*$AE106:$OE106))</f>
        <v/>
      </c>
      <c r="W106" s="34"/>
      <c r="X106" s="34" t="str" cm="1">
        <f t="array" ref="X106">IF($C106="","",SUMPRODUCT((TEXT($AE$5:$OE$5, "mmm")=LOWER(W$3))*$AE106:$OE106))</f>
        <v/>
      </c>
      <c r="Y106" s="34"/>
      <c r="Z106" s="34" t="str" cm="1">
        <f t="array" ref="Z106">IF($C106="","",SUMPRODUCT((TEXT($AE$5:$OE$5, "mmm")=LOWER(Y$3))*$AE106:$OE106))</f>
        <v/>
      </c>
      <c r="AA106" s="34"/>
      <c r="AB106" s="34" t="str" cm="1">
        <f t="array" ref="AB106">IF($C106="","",SUMPRODUCT((TEXT($AE$5:$OE$5, "mmm")=LOWER(AA$3))*$AE106:$OE106))</f>
        <v/>
      </c>
      <c r="AC106" s="34"/>
      <c r="AD106" s="34" t="str" cm="1">
        <f t="array" ref="AD106">IF($C106="","",SUMPRODUCT((TEXT($AE$5:$OE$5, "mmm")=LOWER(AC$3))*$AE106:$OE106))</f>
        <v/>
      </c>
      <c r="OE106" s="49"/>
    </row>
    <row r="107" spans="1:395">
      <c r="A107" s="35"/>
      <c r="C107" s="2" t="str">
        <f>IF(ISBLANK($B107),"",_xlfn.XLOOKUP($B107,Task_No,Project!$C$3:$C$144,"INVALID TASK"))</f>
        <v/>
      </c>
      <c r="E107" s="7" t="str">
        <f t="shared" si="19"/>
        <v/>
      </c>
      <c r="F107" s="7" t="str">
        <f t="shared" si="20"/>
        <v/>
      </c>
      <c r="G107" s="34"/>
      <c r="H107" s="34" t="str" cm="1">
        <f t="array" ref="H107">IF($C107="","",SUMPRODUCT((TEXT($AE$5:$OE$5, "mmm")=LOWER(G$3))*$AE107:$OE107))</f>
        <v/>
      </c>
      <c r="I107" s="34"/>
      <c r="J107" s="34" t="str" cm="1">
        <f t="array" ref="J107">IF($C107="","",SUMPRODUCT((TEXT($AE$5:$OE$5, "mmm")=LOWER(I$3))*$AE107:$OE107))</f>
        <v/>
      </c>
      <c r="K107" s="34"/>
      <c r="L107" s="34" t="str" cm="1">
        <f t="array" ref="L107">IF($C107="","",SUMPRODUCT((TEXT($AE$5:$OE$5, "mmm")=LOWER(K$3))*$AE107:$OE107))</f>
        <v/>
      </c>
      <c r="M107" s="34"/>
      <c r="N107" s="34" t="str" cm="1">
        <f t="array" ref="N107">IF($C107="","",SUMPRODUCT((TEXT($AE$5:$OE$5, "mmm")=LOWER(M$3))*$AE107:$OE107))</f>
        <v/>
      </c>
      <c r="O107" s="34"/>
      <c r="P107" s="34" t="str" cm="1">
        <f t="array" ref="P107">IF($C107="","",SUMPRODUCT((TEXT($AE$5:$OE$5, "mmm")=LOWER(O$3))*$AE107:$OE107))</f>
        <v/>
      </c>
      <c r="Q107" s="34"/>
      <c r="R107" s="34" t="str" cm="1">
        <f t="array" ref="R107">IF($C107="","",SUMPRODUCT((TEXT($AE$5:$OE$5, "mmm")=LOWER(Q$3))*$AE107:$OE107))</f>
        <v/>
      </c>
      <c r="S107" s="34"/>
      <c r="T107" s="34" t="str" cm="1">
        <f t="array" ref="T107">IF($C107="","",SUMPRODUCT((TEXT($AE$5:$OE$5, "mmm")=LOWER(S$3))*$AE107:$OE107))</f>
        <v/>
      </c>
      <c r="U107" s="34"/>
      <c r="V107" s="34" t="str" cm="1">
        <f t="array" ref="V107">IF($C107="","",SUMPRODUCT((TEXT($AE$5:$OE$5, "mmm")=LOWER(U$3))*$AE107:$OE107))</f>
        <v/>
      </c>
      <c r="W107" s="34"/>
      <c r="X107" s="34" t="str" cm="1">
        <f t="array" ref="X107">IF($C107="","",SUMPRODUCT((TEXT($AE$5:$OE$5, "mmm")=LOWER(W$3))*$AE107:$OE107))</f>
        <v/>
      </c>
      <c r="Y107" s="34"/>
      <c r="Z107" s="34" t="str" cm="1">
        <f t="array" ref="Z107">IF($C107="","",SUMPRODUCT((TEXT($AE$5:$OE$5, "mmm")=LOWER(Y$3))*$AE107:$OE107))</f>
        <v/>
      </c>
      <c r="AA107" s="34"/>
      <c r="AB107" s="34" t="str" cm="1">
        <f t="array" ref="AB107">IF($C107="","",SUMPRODUCT((TEXT($AE$5:$OE$5, "mmm")=LOWER(AA$3))*$AE107:$OE107))</f>
        <v/>
      </c>
      <c r="AC107" s="34"/>
      <c r="AD107" s="34" t="str" cm="1">
        <f t="array" ref="AD107">IF($C107="","",SUMPRODUCT((TEXT($AE$5:$OE$5, "mmm")=LOWER(AC$3))*$AE107:$OE107))</f>
        <v/>
      </c>
      <c r="OE107" s="49"/>
    </row>
    <row r="108" spans="1:395">
      <c r="A108" s="35"/>
      <c r="C108" s="2" t="str">
        <f>IF(ISBLANK($B108),"",_xlfn.XLOOKUP($B108,Task_No,Project!$C$3:$C$144,"INVALID TASK"))</f>
        <v/>
      </c>
      <c r="E108" s="7" t="str">
        <f t="shared" si="19"/>
        <v/>
      </c>
      <c r="F108" s="7" t="str">
        <f t="shared" si="20"/>
        <v/>
      </c>
      <c r="G108" s="34"/>
      <c r="H108" s="34" t="str" cm="1">
        <f t="array" ref="H108">IF($C108="","",SUMPRODUCT((TEXT($AE$5:$OE$5, "mmm")=LOWER(G$3))*$AE108:$OE108))</f>
        <v/>
      </c>
      <c r="I108" s="34"/>
      <c r="J108" s="34" t="str" cm="1">
        <f t="array" ref="J108">IF($C108="","",SUMPRODUCT((TEXT($AE$5:$OE$5, "mmm")=LOWER(I$3))*$AE108:$OE108))</f>
        <v/>
      </c>
      <c r="K108" s="34"/>
      <c r="L108" s="34" t="str" cm="1">
        <f t="array" ref="L108">IF($C108="","",SUMPRODUCT((TEXT($AE$5:$OE$5, "mmm")=LOWER(K$3))*$AE108:$OE108))</f>
        <v/>
      </c>
      <c r="M108" s="34"/>
      <c r="N108" s="34" t="str" cm="1">
        <f t="array" ref="N108">IF($C108="","",SUMPRODUCT((TEXT($AE$5:$OE$5, "mmm")=LOWER(M$3))*$AE108:$OE108))</f>
        <v/>
      </c>
      <c r="O108" s="34"/>
      <c r="P108" s="34" t="str" cm="1">
        <f t="array" ref="P108">IF($C108="","",SUMPRODUCT((TEXT($AE$5:$OE$5, "mmm")=LOWER(O$3))*$AE108:$OE108))</f>
        <v/>
      </c>
      <c r="Q108" s="34"/>
      <c r="R108" s="34" t="str" cm="1">
        <f t="array" ref="R108">IF($C108="","",SUMPRODUCT((TEXT($AE$5:$OE$5, "mmm")=LOWER(Q$3))*$AE108:$OE108))</f>
        <v/>
      </c>
      <c r="S108" s="34"/>
      <c r="T108" s="34" t="str" cm="1">
        <f t="array" ref="T108">IF($C108="","",SUMPRODUCT((TEXT($AE$5:$OE$5, "mmm")=LOWER(S$3))*$AE108:$OE108))</f>
        <v/>
      </c>
      <c r="U108" s="34"/>
      <c r="V108" s="34" t="str" cm="1">
        <f t="array" ref="V108">IF($C108="","",SUMPRODUCT((TEXT($AE$5:$OE$5, "mmm")=LOWER(U$3))*$AE108:$OE108))</f>
        <v/>
      </c>
      <c r="W108" s="34"/>
      <c r="X108" s="34" t="str" cm="1">
        <f t="array" ref="X108">IF($C108="","",SUMPRODUCT((TEXT($AE$5:$OE$5, "mmm")=LOWER(W$3))*$AE108:$OE108))</f>
        <v/>
      </c>
      <c r="Y108" s="34"/>
      <c r="Z108" s="34" t="str" cm="1">
        <f t="array" ref="Z108">IF($C108="","",SUMPRODUCT((TEXT($AE$5:$OE$5, "mmm")=LOWER(Y$3))*$AE108:$OE108))</f>
        <v/>
      </c>
      <c r="AA108" s="34"/>
      <c r="AB108" s="34" t="str" cm="1">
        <f t="array" ref="AB108">IF($C108="","",SUMPRODUCT((TEXT($AE$5:$OE$5, "mmm")=LOWER(AA$3))*$AE108:$OE108))</f>
        <v/>
      </c>
      <c r="AC108" s="34"/>
      <c r="AD108" s="34" t="str" cm="1">
        <f t="array" ref="AD108">IF($C108="","",SUMPRODUCT((TEXT($AE$5:$OE$5, "mmm")=LOWER(AC$3))*$AE108:$OE108))</f>
        <v/>
      </c>
      <c r="OE108" s="49"/>
    </row>
    <row r="109" spans="1:395">
      <c r="A109" s="35"/>
      <c r="C109" s="2" t="str">
        <f>IF(ISBLANK($B109),"",_xlfn.XLOOKUP($B109,Task_No,Project!$C$3:$C$144,"INVALID TASK"))</f>
        <v/>
      </c>
      <c r="E109" s="7" t="str">
        <f t="shared" si="19"/>
        <v/>
      </c>
      <c r="F109" s="7" t="str">
        <f t="shared" si="20"/>
        <v/>
      </c>
      <c r="G109" s="34"/>
      <c r="H109" s="34" t="str" cm="1">
        <f t="array" ref="H109">IF($C109="","",SUMPRODUCT((TEXT($AE$5:$OE$5, "mmm")=LOWER(G$3))*$AE109:$OE109))</f>
        <v/>
      </c>
      <c r="I109" s="34"/>
      <c r="J109" s="34" t="str" cm="1">
        <f t="array" ref="J109">IF($C109="","",SUMPRODUCT((TEXT($AE$5:$OE$5, "mmm")=LOWER(I$3))*$AE109:$OE109))</f>
        <v/>
      </c>
      <c r="K109" s="34"/>
      <c r="L109" s="34" t="str" cm="1">
        <f t="array" ref="L109">IF($C109="","",SUMPRODUCT((TEXT($AE$5:$OE$5, "mmm")=LOWER(K$3))*$AE109:$OE109))</f>
        <v/>
      </c>
      <c r="M109" s="34"/>
      <c r="N109" s="34" t="str" cm="1">
        <f t="array" ref="N109">IF($C109="","",SUMPRODUCT((TEXT($AE$5:$OE$5, "mmm")=LOWER(M$3))*$AE109:$OE109))</f>
        <v/>
      </c>
      <c r="O109" s="34"/>
      <c r="P109" s="34" t="str" cm="1">
        <f t="array" ref="P109">IF($C109="","",SUMPRODUCT((TEXT($AE$5:$OE$5, "mmm")=LOWER(O$3))*$AE109:$OE109))</f>
        <v/>
      </c>
      <c r="Q109" s="34"/>
      <c r="R109" s="34" t="str" cm="1">
        <f t="array" ref="R109">IF($C109="","",SUMPRODUCT((TEXT($AE$5:$OE$5, "mmm")=LOWER(Q$3))*$AE109:$OE109))</f>
        <v/>
      </c>
      <c r="S109" s="34"/>
      <c r="T109" s="34" t="str" cm="1">
        <f t="array" ref="T109">IF($C109="","",SUMPRODUCT((TEXT($AE$5:$OE$5, "mmm")=LOWER(S$3))*$AE109:$OE109))</f>
        <v/>
      </c>
      <c r="U109" s="34"/>
      <c r="V109" s="34" t="str" cm="1">
        <f t="array" ref="V109">IF($C109="","",SUMPRODUCT((TEXT($AE$5:$OE$5, "mmm")=LOWER(U$3))*$AE109:$OE109))</f>
        <v/>
      </c>
      <c r="W109" s="34"/>
      <c r="X109" s="34" t="str" cm="1">
        <f t="array" ref="X109">IF($C109="","",SUMPRODUCT((TEXT($AE$5:$OE$5, "mmm")=LOWER(W$3))*$AE109:$OE109))</f>
        <v/>
      </c>
      <c r="Y109" s="34"/>
      <c r="Z109" s="34" t="str" cm="1">
        <f t="array" ref="Z109">IF($C109="","",SUMPRODUCT((TEXT($AE$5:$OE$5, "mmm")=LOWER(Y$3))*$AE109:$OE109))</f>
        <v/>
      </c>
      <c r="AA109" s="34"/>
      <c r="AB109" s="34" t="str" cm="1">
        <f t="array" ref="AB109">IF($C109="","",SUMPRODUCT((TEXT($AE$5:$OE$5, "mmm")=LOWER(AA$3))*$AE109:$OE109))</f>
        <v/>
      </c>
      <c r="AC109" s="34"/>
      <c r="AD109" s="34" t="str" cm="1">
        <f t="array" ref="AD109">IF($C109="","",SUMPRODUCT((TEXT($AE$5:$OE$5, "mmm")=LOWER(AC$3))*$AE109:$OE109))</f>
        <v/>
      </c>
      <c r="OE109" s="49"/>
    </row>
    <row r="110" spans="1:395">
      <c r="A110" s="35"/>
      <c r="C110" s="2" t="str">
        <f>IF(ISBLANK($B110),"",_xlfn.XLOOKUP($B110,Task_No,Project!$C$3:$C$144,"INVALID TASK"))</f>
        <v/>
      </c>
      <c r="E110" s="7" t="str">
        <f t="shared" si="19"/>
        <v/>
      </c>
      <c r="F110" s="7" t="str">
        <f t="shared" si="20"/>
        <v/>
      </c>
      <c r="G110" s="34"/>
      <c r="H110" s="34" t="str" cm="1">
        <f t="array" ref="H110">IF($C110="","",SUMPRODUCT((TEXT($AE$5:$OE$5, "mmm")=LOWER(G$3))*$AE110:$OE110))</f>
        <v/>
      </c>
      <c r="I110" s="34"/>
      <c r="J110" s="34" t="str" cm="1">
        <f t="array" ref="J110">IF($C110="","",SUMPRODUCT((TEXT($AE$5:$OE$5, "mmm")=LOWER(I$3))*$AE110:$OE110))</f>
        <v/>
      </c>
      <c r="K110" s="34"/>
      <c r="L110" s="34" t="str" cm="1">
        <f t="array" ref="L110">IF($C110="","",SUMPRODUCT((TEXT($AE$5:$OE$5, "mmm")=LOWER(K$3))*$AE110:$OE110))</f>
        <v/>
      </c>
      <c r="M110" s="34"/>
      <c r="N110" s="34" t="str" cm="1">
        <f t="array" ref="N110">IF($C110="","",SUMPRODUCT((TEXT($AE$5:$OE$5, "mmm")=LOWER(M$3))*$AE110:$OE110))</f>
        <v/>
      </c>
      <c r="O110" s="34"/>
      <c r="P110" s="34" t="str" cm="1">
        <f t="array" ref="P110">IF($C110="","",SUMPRODUCT((TEXT($AE$5:$OE$5, "mmm")=LOWER(O$3))*$AE110:$OE110))</f>
        <v/>
      </c>
      <c r="Q110" s="34"/>
      <c r="R110" s="34" t="str" cm="1">
        <f t="array" ref="R110">IF($C110="","",SUMPRODUCT((TEXT($AE$5:$OE$5, "mmm")=LOWER(Q$3))*$AE110:$OE110))</f>
        <v/>
      </c>
      <c r="S110" s="34"/>
      <c r="T110" s="34" t="str" cm="1">
        <f t="array" ref="T110">IF($C110="","",SUMPRODUCT((TEXT($AE$5:$OE$5, "mmm")=LOWER(S$3))*$AE110:$OE110))</f>
        <v/>
      </c>
      <c r="U110" s="34"/>
      <c r="V110" s="34" t="str" cm="1">
        <f t="array" ref="V110">IF($C110="","",SUMPRODUCT((TEXT($AE$5:$OE$5, "mmm")=LOWER(U$3))*$AE110:$OE110))</f>
        <v/>
      </c>
      <c r="W110" s="34"/>
      <c r="X110" s="34" t="str" cm="1">
        <f t="array" ref="X110">IF($C110="","",SUMPRODUCT((TEXT($AE$5:$OE$5, "mmm")=LOWER(W$3))*$AE110:$OE110))</f>
        <v/>
      </c>
      <c r="Y110" s="34"/>
      <c r="Z110" s="34" t="str" cm="1">
        <f t="array" ref="Z110">IF($C110="","",SUMPRODUCT((TEXT($AE$5:$OE$5, "mmm")=LOWER(Y$3))*$AE110:$OE110))</f>
        <v/>
      </c>
      <c r="AA110" s="34"/>
      <c r="AB110" s="34" t="str" cm="1">
        <f t="array" ref="AB110">IF($C110="","",SUMPRODUCT((TEXT($AE$5:$OE$5, "mmm")=LOWER(AA$3))*$AE110:$OE110))</f>
        <v/>
      </c>
      <c r="AC110" s="34"/>
      <c r="AD110" s="34" t="str" cm="1">
        <f t="array" ref="AD110">IF($C110="","",SUMPRODUCT((TEXT($AE$5:$OE$5, "mmm")=LOWER(AC$3))*$AE110:$OE110))</f>
        <v/>
      </c>
      <c r="OE110" s="49"/>
    </row>
    <row r="111" spans="1:395">
      <c r="A111" s="35"/>
      <c r="C111" s="2" t="str">
        <f>IF(ISBLANK($B111),"",_xlfn.XLOOKUP($B111,Task_No,Project!$C$3:$C$144,"INVALID TASK"))</f>
        <v/>
      </c>
      <c r="E111" s="7" t="str">
        <f t="shared" si="19"/>
        <v/>
      </c>
      <c r="F111" s="7" t="str">
        <f t="shared" si="20"/>
        <v/>
      </c>
      <c r="G111" s="34"/>
      <c r="H111" s="34" t="str" cm="1">
        <f t="array" ref="H111">IF($C111="","",SUMPRODUCT((TEXT($AE$5:$OE$5, "mmm")=LOWER(G$3))*$AE111:$OE111))</f>
        <v/>
      </c>
      <c r="I111" s="34"/>
      <c r="J111" s="34" t="str" cm="1">
        <f t="array" ref="J111">IF($C111="","",SUMPRODUCT((TEXT($AE$5:$OE$5, "mmm")=LOWER(I$3))*$AE111:$OE111))</f>
        <v/>
      </c>
      <c r="K111" s="34"/>
      <c r="L111" s="34" t="str" cm="1">
        <f t="array" ref="L111">IF($C111="","",SUMPRODUCT((TEXT($AE$5:$OE$5, "mmm")=LOWER(K$3))*$AE111:$OE111))</f>
        <v/>
      </c>
      <c r="M111" s="34"/>
      <c r="N111" s="34" t="str" cm="1">
        <f t="array" ref="N111">IF($C111="","",SUMPRODUCT((TEXT($AE$5:$OE$5, "mmm")=LOWER(M$3))*$AE111:$OE111))</f>
        <v/>
      </c>
      <c r="O111" s="34"/>
      <c r="P111" s="34" t="str" cm="1">
        <f t="array" ref="P111">IF($C111="","",SUMPRODUCT((TEXT($AE$5:$OE$5, "mmm")=LOWER(O$3))*$AE111:$OE111))</f>
        <v/>
      </c>
      <c r="Q111" s="34"/>
      <c r="R111" s="34" t="str" cm="1">
        <f t="array" ref="R111">IF($C111="","",SUMPRODUCT((TEXT($AE$5:$OE$5, "mmm")=LOWER(Q$3))*$AE111:$OE111))</f>
        <v/>
      </c>
      <c r="S111" s="34"/>
      <c r="T111" s="34" t="str" cm="1">
        <f t="array" ref="T111">IF($C111="","",SUMPRODUCT((TEXT($AE$5:$OE$5, "mmm")=LOWER(S$3))*$AE111:$OE111))</f>
        <v/>
      </c>
      <c r="U111" s="34"/>
      <c r="V111" s="34" t="str" cm="1">
        <f t="array" ref="V111">IF($C111="","",SUMPRODUCT((TEXT($AE$5:$OE$5, "mmm")=LOWER(U$3))*$AE111:$OE111))</f>
        <v/>
      </c>
      <c r="W111" s="34"/>
      <c r="X111" s="34" t="str" cm="1">
        <f t="array" ref="X111">IF($C111="","",SUMPRODUCT((TEXT($AE$5:$OE$5, "mmm")=LOWER(W$3))*$AE111:$OE111))</f>
        <v/>
      </c>
      <c r="Y111" s="34"/>
      <c r="Z111" s="34" t="str" cm="1">
        <f t="array" ref="Z111">IF($C111="","",SUMPRODUCT((TEXT($AE$5:$OE$5, "mmm")=LOWER(Y$3))*$AE111:$OE111))</f>
        <v/>
      </c>
      <c r="AA111" s="34"/>
      <c r="AB111" s="34" t="str" cm="1">
        <f t="array" ref="AB111">IF($C111="","",SUMPRODUCT((TEXT($AE$5:$OE$5, "mmm")=LOWER(AA$3))*$AE111:$OE111))</f>
        <v/>
      </c>
      <c r="AC111" s="34"/>
      <c r="AD111" s="34" t="str" cm="1">
        <f t="array" ref="AD111">IF($C111="","",SUMPRODUCT((TEXT($AE$5:$OE$5, "mmm")=LOWER(AC$3))*$AE111:$OE111))</f>
        <v/>
      </c>
      <c r="OE111" s="49"/>
    </row>
    <row r="112" spans="1:395">
      <c r="A112" s="35"/>
      <c r="C112" s="2" t="str">
        <f>IF(ISBLANK($B112),"",_xlfn.XLOOKUP($B112,Task_No,Project!$C$3:$C$144,"INVALID TASK"))</f>
        <v/>
      </c>
      <c r="E112" s="7" t="str">
        <f t="shared" si="19"/>
        <v/>
      </c>
      <c r="F112" s="7" t="str">
        <f t="shared" si="20"/>
        <v/>
      </c>
      <c r="G112" s="34"/>
      <c r="H112" s="34" t="str" cm="1">
        <f t="array" ref="H112">IF($C112="","",SUMPRODUCT((TEXT($AE$5:$OE$5, "mmm")=LOWER(G$3))*$AE112:$OE112))</f>
        <v/>
      </c>
      <c r="I112" s="34"/>
      <c r="J112" s="34" t="str" cm="1">
        <f t="array" ref="J112">IF($C112="","",SUMPRODUCT((TEXT($AE$5:$OE$5, "mmm")=LOWER(I$3))*$AE112:$OE112))</f>
        <v/>
      </c>
      <c r="K112" s="34"/>
      <c r="L112" s="34" t="str" cm="1">
        <f t="array" ref="L112">IF($C112="","",SUMPRODUCT((TEXT($AE$5:$OE$5, "mmm")=LOWER(K$3))*$AE112:$OE112))</f>
        <v/>
      </c>
      <c r="M112" s="34"/>
      <c r="N112" s="34" t="str" cm="1">
        <f t="array" ref="N112">IF($C112="","",SUMPRODUCT((TEXT($AE$5:$OE$5, "mmm")=LOWER(M$3))*$AE112:$OE112))</f>
        <v/>
      </c>
      <c r="O112" s="34"/>
      <c r="P112" s="34" t="str" cm="1">
        <f t="array" ref="P112">IF($C112="","",SUMPRODUCT((TEXT($AE$5:$OE$5, "mmm")=LOWER(O$3))*$AE112:$OE112))</f>
        <v/>
      </c>
      <c r="Q112" s="34"/>
      <c r="R112" s="34" t="str" cm="1">
        <f t="array" ref="R112">IF($C112="","",SUMPRODUCT((TEXT($AE$5:$OE$5, "mmm")=LOWER(Q$3))*$AE112:$OE112))</f>
        <v/>
      </c>
      <c r="S112" s="34"/>
      <c r="T112" s="34" t="str" cm="1">
        <f t="array" ref="T112">IF($C112="","",SUMPRODUCT((TEXT($AE$5:$OE$5, "mmm")=LOWER(S$3))*$AE112:$OE112))</f>
        <v/>
      </c>
      <c r="U112" s="34"/>
      <c r="V112" s="34" t="str" cm="1">
        <f t="array" ref="V112">IF($C112="","",SUMPRODUCT((TEXT($AE$5:$OE$5, "mmm")=LOWER(U$3))*$AE112:$OE112))</f>
        <v/>
      </c>
      <c r="W112" s="34"/>
      <c r="X112" s="34" t="str" cm="1">
        <f t="array" ref="X112">IF($C112="","",SUMPRODUCT((TEXT($AE$5:$OE$5, "mmm")=LOWER(W$3))*$AE112:$OE112))</f>
        <v/>
      </c>
      <c r="Y112" s="34"/>
      <c r="Z112" s="34" t="str" cm="1">
        <f t="array" ref="Z112">IF($C112="","",SUMPRODUCT((TEXT($AE$5:$OE$5, "mmm")=LOWER(Y$3))*$AE112:$OE112))</f>
        <v/>
      </c>
      <c r="AA112" s="34"/>
      <c r="AB112" s="34" t="str" cm="1">
        <f t="array" ref="AB112">IF($C112="","",SUMPRODUCT((TEXT($AE$5:$OE$5, "mmm")=LOWER(AA$3))*$AE112:$OE112))</f>
        <v/>
      </c>
      <c r="AC112" s="34"/>
      <c r="AD112" s="34" t="str" cm="1">
        <f t="array" ref="AD112">IF($C112="","",SUMPRODUCT((TEXT($AE$5:$OE$5, "mmm")=LOWER(AC$3))*$AE112:$OE112))</f>
        <v/>
      </c>
      <c r="OE112" s="49"/>
    </row>
    <row r="113" spans="1:395">
      <c r="A113" s="35"/>
      <c r="C113" s="2" t="str">
        <f>IF(ISBLANK($B113),"",_xlfn.XLOOKUP($B113,Task_No,Project!$C$3:$C$144,"INVALID TASK"))</f>
        <v/>
      </c>
      <c r="E113" s="7" t="str">
        <f t="shared" si="19"/>
        <v/>
      </c>
      <c r="F113" s="7" t="str">
        <f t="shared" si="20"/>
        <v/>
      </c>
      <c r="G113" s="34"/>
      <c r="H113" s="34" t="str" cm="1">
        <f t="array" ref="H113">IF($C113="","",SUMPRODUCT((TEXT($AE$5:$OE$5, "mmm")=LOWER(G$3))*$AE113:$OE113))</f>
        <v/>
      </c>
      <c r="I113" s="34"/>
      <c r="J113" s="34" t="str" cm="1">
        <f t="array" ref="J113">IF($C113="","",SUMPRODUCT((TEXT($AE$5:$OE$5, "mmm")=LOWER(I$3))*$AE113:$OE113))</f>
        <v/>
      </c>
      <c r="K113" s="34"/>
      <c r="L113" s="34" t="str" cm="1">
        <f t="array" ref="L113">IF($C113="","",SUMPRODUCT((TEXT($AE$5:$OE$5, "mmm")=LOWER(K$3))*$AE113:$OE113))</f>
        <v/>
      </c>
      <c r="M113" s="34"/>
      <c r="N113" s="34" t="str" cm="1">
        <f t="array" ref="N113">IF($C113="","",SUMPRODUCT((TEXT($AE$5:$OE$5, "mmm")=LOWER(M$3))*$AE113:$OE113))</f>
        <v/>
      </c>
      <c r="O113" s="34"/>
      <c r="P113" s="34" t="str" cm="1">
        <f t="array" ref="P113">IF($C113="","",SUMPRODUCT((TEXT($AE$5:$OE$5, "mmm")=LOWER(O$3))*$AE113:$OE113))</f>
        <v/>
      </c>
      <c r="Q113" s="34"/>
      <c r="R113" s="34" t="str" cm="1">
        <f t="array" ref="R113">IF($C113="","",SUMPRODUCT((TEXT($AE$5:$OE$5, "mmm")=LOWER(Q$3))*$AE113:$OE113))</f>
        <v/>
      </c>
      <c r="S113" s="34"/>
      <c r="T113" s="34" t="str" cm="1">
        <f t="array" ref="T113">IF($C113="","",SUMPRODUCT((TEXT($AE$5:$OE$5, "mmm")=LOWER(S$3))*$AE113:$OE113))</f>
        <v/>
      </c>
      <c r="U113" s="34"/>
      <c r="V113" s="34" t="str" cm="1">
        <f t="array" ref="V113">IF($C113="","",SUMPRODUCT((TEXT($AE$5:$OE$5, "mmm")=LOWER(U$3))*$AE113:$OE113))</f>
        <v/>
      </c>
      <c r="W113" s="34"/>
      <c r="X113" s="34" t="str" cm="1">
        <f t="array" ref="X113">IF($C113="","",SUMPRODUCT((TEXT($AE$5:$OE$5, "mmm")=LOWER(W$3))*$AE113:$OE113))</f>
        <v/>
      </c>
      <c r="Y113" s="34"/>
      <c r="Z113" s="34" t="str" cm="1">
        <f t="array" ref="Z113">IF($C113="","",SUMPRODUCT((TEXT($AE$5:$OE$5, "mmm")=LOWER(Y$3))*$AE113:$OE113))</f>
        <v/>
      </c>
      <c r="AA113" s="34"/>
      <c r="AB113" s="34" t="str" cm="1">
        <f t="array" ref="AB113">IF($C113="","",SUMPRODUCT((TEXT($AE$5:$OE$5, "mmm")=LOWER(AA$3))*$AE113:$OE113))</f>
        <v/>
      </c>
      <c r="AC113" s="34"/>
      <c r="AD113" s="34" t="str" cm="1">
        <f t="array" ref="AD113">IF($C113="","",SUMPRODUCT((TEXT($AE$5:$OE$5, "mmm")=LOWER(AC$3))*$AE113:$OE113))</f>
        <v/>
      </c>
      <c r="OE113" s="49"/>
    </row>
    <row r="114" spans="1:395">
      <c r="A114" s="35"/>
      <c r="C114" s="2" t="str">
        <f>IF(ISBLANK($B114),"",_xlfn.XLOOKUP($B114,Task_No,Project!$C$3:$C$144,"INVALID TASK"))</f>
        <v/>
      </c>
      <c r="E114" s="7" t="str">
        <f t="shared" si="19"/>
        <v/>
      </c>
      <c r="F114" s="7" t="str">
        <f t="shared" si="20"/>
        <v/>
      </c>
      <c r="G114" s="34"/>
      <c r="H114" s="34" t="str" cm="1">
        <f t="array" ref="H114">IF($C114="","",SUMPRODUCT((TEXT($AE$5:$OE$5, "mmm")=LOWER(G$3))*$AE114:$OE114))</f>
        <v/>
      </c>
      <c r="I114" s="34"/>
      <c r="J114" s="34" t="str" cm="1">
        <f t="array" ref="J114">IF($C114="","",SUMPRODUCT((TEXT($AE$5:$OE$5, "mmm")=LOWER(I$3))*$AE114:$OE114))</f>
        <v/>
      </c>
      <c r="K114" s="34"/>
      <c r="L114" s="34" t="str" cm="1">
        <f t="array" ref="L114">IF($C114="","",SUMPRODUCT((TEXT($AE$5:$OE$5, "mmm")=LOWER(K$3))*$AE114:$OE114))</f>
        <v/>
      </c>
      <c r="M114" s="34"/>
      <c r="N114" s="34" t="str" cm="1">
        <f t="array" ref="N114">IF($C114="","",SUMPRODUCT((TEXT($AE$5:$OE$5, "mmm")=LOWER(M$3))*$AE114:$OE114))</f>
        <v/>
      </c>
      <c r="O114" s="34"/>
      <c r="P114" s="34" t="str" cm="1">
        <f t="array" ref="P114">IF($C114="","",SUMPRODUCT((TEXT($AE$5:$OE$5, "mmm")=LOWER(O$3))*$AE114:$OE114))</f>
        <v/>
      </c>
      <c r="Q114" s="34"/>
      <c r="R114" s="34" t="str" cm="1">
        <f t="array" ref="R114">IF($C114="","",SUMPRODUCT((TEXT($AE$5:$OE$5, "mmm")=LOWER(Q$3))*$AE114:$OE114))</f>
        <v/>
      </c>
      <c r="S114" s="34"/>
      <c r="T114" s="34" t="str" cm="1">
        <f t="array" ref="T114">IF($C114="","",SUMPRODUCT((TEXT($AE$5:$OE$5, "mmm")=LOWER(S$3))*$AE114:$OE114))</f>
        <v/>
      </c>
      <c r="U114" s="34"/>
      <c r="V114" s="34" t="str" cm="1">
        <f t="array" ref="V114">IF($C114="","",SUMPRODUCT((TEXT($AE$5:$OE$5, "mmm")=LOWER(U$3))*$AE114:$OE114))</f>
        <v/>
      </c>
      <c r="W114" s="34"/>
      <c r="X114" s="34" t="str" cm="1">
        <f t="array" ref="X114">IF($C114="","",SUMPRODUCT((TEXT($AE$5:$OE$5, "mmm")=LOWER(W$3))*$AE114:$OE114))</f>
        <v/>
      </c>
      <c r="Y114" s="34"/>
      <c r="Z114" s="34" t="str" cm="1">
        <f t="array" ref="Z114">IF($C114="","",SUMPRODUCT((TEXT($AE$5:$OE$5, "mmm")=LOWER(Y$3))*$AE114:$OE114))</f>
        <v/>
      </c>
      <c r="AA114" s="34"/>
      <c r="AB114" s="34" t="str" cm="1">
        <f t="array" ref="AB114">IF($C114="","",SUMPRODUCT((TEXT($AE$5:$OE$5, "mmm")=LOWER(AA$3))*$AE114:$OE114))</f>
        <v/>
      </c>
      <c r="AC114" s="34"/>
      <c r="AD114" s="34" t="str" cm="1">
        <f t="array" ref="AD114">IF($C114="","",SUMPRODUCT((TEXT($AE$5:$OE$5, "mmm")=LOWER(AC$3))*$AE114:$OE114))</f>
        <v/>
      </c>
      <c r="OE114" s="49"/>
    </row>
    <row r="115" spans="1:395">
      <c r="A115" s="35"/>
      <c r="C115" s="2" t="str">
        <f>IF(ISBLANK($B115),"",_xlfn.XLOOKUP($B115,Task_No,Project!$C$3:$C$144,"INVALID TASK"))</f>
        <v/>
      </c>
      <c r="E115" s="7" t="str">
        <f t="shared" si="19"/>
        <v/>
      </c>
      <c r="F115" s="7" t="str">
        <f t="shared" si="20"/>
        <v/>
      </c>
      <c r="G115" s="34"/>
      <c r="H115" s="34" t="str" cm="1">
        <f t="array" ref="H115">IF($C115="","",SUMPRODUCT((TEXT($AE$5:$OE$5, "mmm")=LOWER(G$3))*$AE115:$OE115))</f>
        <v/>
      </c>
      <c r="I115" s="34"/>
      <c r="J115" s="34" t="str" cm="1">
        <f t="array" ref="J115">IF($C115="","",SUMPRODUCT((TEXT($AE$5:$OE$5, "mmm")=LOWER(I$3))*$AE115:$OE115))</f>
        <v/>
      </c>
      <c r="K115" s="34"/>
      <c r="L115" s="34" t="str" cm="1">
        <f t="array" ref="L115">IF($C115="","",SUMPRODUCT((TEXT($AE$5:$OE$5, "mmm")=LOWER(K$3))*$AE115:$OE115))</f>
        <v/>
      </c>
      <c r="M115" s="34"/>
      <c r="N115" s="34" t="str" cm="1">
        <f t="array" ref="N115">IF($C115="","",SUMPRODUCT((TEXT($AE$5:$OE$5, "mmm")=LOWER(M$3))*$AE115:$OE115))</f>
        <v/>
      </c>
      <c r="O115" s="34"/>
      <c r="P115" s="34" t="str" cm="1">
        <f t="array" ref="P115">IF($C115="","",SUMPRODUCT((TEXT($AE$5:$OE$5, "mmm")=LOWER(O$3))*$AE115:$OE115))</f>
        <v/>
      </c>
      <c r="Q115" s="34"/>
      <c r="R115" s="34" t="str" cm="1">
        <f t="array" ref="R115">IF($C115="","",SUMPRODUCT((TEXT($AE$5:$OE$5, "mmm")=LOWER(Q$3))*$AE115:$OE115))</f>
        <v/>
      </c>
      <c r="S115" s="34"/>
      <c r="T115" s="34" t="str" cm="1">
        <f t="array" ref="T115">IF($C115="","",SUMPRODUCT((TEXT($AE$5:$OE$5, "mmm")=LOWER(S$3))*$AE115:$OE115))</f>
        <v/>
      </c>
      <c r="U115" s="34"/>
      <c r="V115" s="34" t="str" cm="1">
        <f t="array" ref="V115">IF($C115="","",SUMPRODUCT((TEXT($AE$5:$OE$5, "mmm")=LOWER(U$3))*$AE115:$OE115))</f>
        <v/>
      </c>
      <c r="W115" s="34"/>
      <c r="X115" s="34" t="str" cm="1">
        <f t="array" ref="X115">IF($C115="","",SUMPRODUCT((TEXT($AE$5:$OE$5, "mmm")=LOWER(W$3))*$AE115:$OE115))</f>
        <v/>
      </c>
      <c r="Y115" s="34"/>
      <c r="Z115" s="34" t="str" cm="1">
        <f t="array" ref="Z115">IF($C115="","",SUMPRODUCT((TEXT($AE$5:$OE$5, "mmm")=LOWER(Y$3))*$AE115:$OE115))</f>
        <v/>
      </c>
      <c r="AA115" s="34"/>
      <c r="AB115" s="34" t="str" cm="1">
        <f t="array" ref="AB115">IF($C115="","",SUMPRODUCT((TEXT($AE$5:$OE$5, "mmm")=LOWER(AA$3))*$AE115:$OE115))</f>
        <v/>
      </c>
      <c r="AC115" s="34"/>
      <c r="AD115" s="34" t="str" cm="1">
        <f t="array" ref="AD115">IF($C115="","",SUMPRODUCT((TEXT($AE$5:$OE$5, "mmm")=LOWER(AC$3))*$AE115:$OE115))</f>
        <v/>
      </c>
      <c r="OE115" s="49"/>
    </row>
    <row r="116" spans="1:395">
      <c r="A116" s="35"/>
      <c r="C116" s="2" t="str">
        <f>IF(ISBLANK($B116),"",_xlfn.XLOOKUP($B116,Task_No,Project!$C$3:$C$144,"INVALID TASK"))</f>
        <v/>
      </c>
      <c r="E116" s="7" t="str">
        <f t="shared" si="19"/>
        <v/>
      </c>
      <c r="F116" s="7" t="str">
        <f t="shared" si="20"/>
        <v/>
      </c>
      <c r="G116" s="34"/>
      <c r="H116" s="34" t="str" cm="1">
        <f t="array" ref="H116">IF($C116="","",SUMPRODUCT((TEXT($AE$5:$OE$5, "mmm")=LOWER(G$3))*$AE116:$OE116))</f>
        <v/>
      </c>
      <c r="I116" s="34"/>
      <c r="J116" s="34" t="str" cm="1">
        <f t="array" ref="J116">IF($C116="","",SUMPRODUCT((TEXT($AE$5:$OE$5, "mmm")=LOWER(I$3))*$AE116:$OE116))</f>
        <v/>
      </c>
      <c r="K116" s="34"/>
      <c r="L116" s="34" t="str" cm="1">
        <f t="array" ref="L116">IF($C116="","",SUMPRODUCT((TEXT($AE$5:$OE$5, "mmm")=LOWER(K$3))*$AE116:$OE116))</f>
        <v/>
      </c>
      <c r="M116" s="34"/>
      <c r="N116" s="34" t="str" cm="1">
        <f t="array" ref="N116">IF($C116="","",SUMPRODUCT((TEXT($AE$5:$OE$5, "mmm")=LOWER(M$3))*$AE116:$OE116))</f>
        <v/>
      </c>
      <c r="O116" s="34"/>
      <c r="P116" s="34" t="str" cm="1">
        <f t="array" ref="P116">IF($C116="","",SUMPRODUCT((TEXT($AE$5:$OE$5, "mmm")=LOWER(O$3))*$AE116:$OE116))</f>
        <v/>
      </c>
      <c r="Q116" s="34"/>
      <c r="R116" s="34" t="str" cm="1">
        <f t="array" ref="R116">IF($C116="","",SUMPRODUCT((TEXT($AE$5:$OE$5, "mmm")=LOWER(Q$3))*$AE116:$OE116))</f>
        <v/>
      </c>
      <c r="S116" s="34"/>
      <c r="T116" s="34" t="str" cm="1">
        <f t="array" ref="T116">IF($C116="","",SUMPRODUCT((TEXT($AE$5:$OE$5, "mmm")=LOWER(S$3))*$AE116:$OE116))</f>
        <v/>
      </c>
      <c r="U116" s="34"/>
      <c r="V116" s="34" t="str" cm="1">
        <f t="array" ref="V116">IF($C116="","",SUMPRODUCT((TEXT($AE$5:$OE$5, "mmm")=LOWER(U$3))*$AE116:$OE116))</f>
        <v/>
      </c>
      <c r="W116" s="34"/>
      <c r="X116" s="34" t="str" cm="1">
        <f t="array" ref="X116">IF($C116="","",SUMPRODUCT((TEXT($AE$5:$OE$5, "mmm")=LOWER(W$3))*$AE116:$OE116))</f>
        <v/>
      </c>
      <c r="Y116" s="34"/>
      <c r="Z116" s="34" t="str" cm="1">
        <f t="array" ref="Z116">IF($C116="","",SUMPRODUCT((TEXT($AE$5:$OE$5, "mmm")=LOWER(Y$3))*$AE116:$OE116))</f>
        <v/>
      </c>
      <c r="AA116" s="34"/>
      <c r="AB116" s="34" t="str" cm="1">
        <f t="array" ref="AB116">IF($C116="","",SUMPRODUCT((TEXT($AE$5:$OE$5, "mmm")=LOWER(AA$3))*$AE116:$OE116))</f>
        <v/>
      </c>
      <c r="AC116" s="34"/>
      <c r="AD116" s="34" t="str" cm="1">
        <f t="array" ref="AD116">IF($C116="","",SUMPRODUCT((TEXT($AE$5:$OE$5, "mmm")=LOWER(AC$3))*$AE116:$OE116))</f>
        <v/>
      </c>
      <c r="OE116" s="49"/>
    </row>
    <row r="117" spans="1:395">
      <c r="A117" s="35"/>
      <c r="C117" s="2" t="str">
        <f>IF(ISBLANK($B117),"",_xlfn.XLOOKUP($B117,Task_No,Project!$C$3:$C$144,"INVALID TASK"))</f>
        <v/>
      </c>
      <c r="E117" s="7" t="str">
        <f t="shared" si="19"/>
        <v/>
      </c>
      <c r="F117" s="7" t="str">
        <f t="shared" si="20"/>
        <v/>
      </c>
      <c r="G117" s="34"/>
      <c r="H117" s="34" t="str" cm="1">
        <f t="array" ref="H117">IF($C117="","",SUMPRODUCT((TEXT($AE$5:$OE$5, "mmm")=LOWER(G$3))*$AE117:$OE117))</f>
        <v/>
      </c>
      <c r="I117" s="34"/>
      <c r="J117" s="34" t="str" cm="1">
        <f t="array" ref="J117">IF($C117="","",SUMPRODUCT((TEXT($AE$5:$OE$5, "mmm")=LOWER(I$3))*$AE117:$OE117))</f>
        <v/>
      </c>
      <c r="K117" s="34"/>
      <c r="L117" s="34" t="str" cm="1">
        <f t="array" ref="L117">IF($C117="","",SUMPRODUCT((TEXT($AE$5:$OE$5, "mmm")=LOWER(K$3))*$AE117:$OE117))</f>
        <v/>
      </c>
      <c r="M117" s="34"/>
      <c r="N117" s="34" t="str" cm="1">
        <f t="array" ref="N117">IF($C117="","",SUMPRODUCT((TEXT($AE$5:$OE$5, "mmm")=LOWER(M$3))*$AE117:$OE117))</f>
        <v/>
      </c>
      <c r="O117" s="34"/>
      <c r="P117" s="34" t="str" cm="1">
        <f t="array" ref="P117">IF($C117="","",SUMPRODUCT((TEXT($AE$5:$OE$5, "mmm")=LOWER(O$3))*$AE117:$OE117))</f>
        <v/>
      </c>
      <c r="Q117" s="34"/>
      <c r="R117" s="34" t="str" cm="1">
        <f t="array" ref="R117">IF($C117="","",SUMPRODUCT((TEXT($AE$5:$OE$5, "mmm")=LOWER(Q$3))*$AE117:$OE117))</f>
        <v/>
      </c>
      <c r="S117" s="34"/>
      <c r="T117" s="34" t="str" cm="1">
        <f t="array" ref="T117">IF($C117="","",SUMPRODUCT((TEXT($AE$5:$OE$5, "mmm")=LOWER(S$3))*$AE117:$OE117))</f>
        <v/>
      </c>
      <c r="U117" s="34"/>
      <c r="V117" s="34" t="str" cm="1">
        <f t="array" ref="V117">IF($C117="","",SUMPRODUCT((TEXT($AE$5:$OE$5, "mmm")=LOWER(U$3))*$AE117:$OE117))</f>
        <v/>
      </c>
      <c r="W117" s="34"/>
      <c r="X117" s="34" t="str" cm="1">
        <f t="array" ref="X117">IF($C117="","",SUMPRODUCT((TEXT($AE$5:$OE$5, "mmm")=LOWER(W$3))*$AE117:$OE117))</f>
        <v/>
      </c>
      <c r="Y117" s="34"/>
      <c r="Z117" s="34" t="str" cm="1">
        <f t="array" ref="Z117">IF($C117="","",SUMPRODUCT((TEXT($AE$5:$OE$5, "mmm")=LOWER(Y$3))*$AE117:$OE117))</f>
        <v/>
      </c>
      <c r="AA117" s="34"/>
      <c r="AB117" s="34" t="str" cm="1">
        <f t="array" ref="AB117">IF($C117="","",SUMPRODUCT((TEXT($AE$5:$OE$5, "mmm")=LOWER(AA$3))*$AE117:$OE117))</f>
        <v/>
      </c>
      <c r="AC117" s="34"/>
      <c r="AD117" s="34" t="str" cm="1">
        <f t="array" ref="AD117">IF($C117="","",SUMPRODUCT((TEXT($AE$5:$OE$5, "mmm")=LOWER(AC$3))*$AE117:$OE117))</f>
        <v/>
      </c>
      <c r="OE117" s="49"/>
    </row>
    <row r="118" spans="1:395">
      <c r="A118" s="35"/>
      <c r="C118" s="2" t="str">
        <f>IF(ISBLANK($B118),"",_xlfn.XLOOKUP($B118,Task_No,Project!$C$3:$C$144,"INVALID TASK"))</f>
        <v/>
      </c>
      <c r="E118" s="7" t="str">
        <f t="shared" si="19"/>
        <v/>
      </c>
      <c r="F118" s="7" t="str">
        <f t="shared" si="20"/>
        <v/>
      </c>
      <c r="G118" s="34"/>
      <c r="H118" s="34" t="str" cm="1">
        <f t="array" ref="H118">IF($C118="","",SUMPRODUCT((TEXT($AE$5:$OE$5, "mmm")=LOWER(G$3))*$AE118:$OE118))</f>
        <v/>
      </c>
      <c r="I118" s="34"/>
      <c r="J118" s="34" t="str" cm="1">
        <f t="array" ref="J118">IF($C118="","",SUMPRODUCT((TEXT($AE$5:$OE$5, "mmm")=LOWER(I$3))*$AE118:$OE118))</f>
        <v/>
      </c>
      <c r="K118" s="34"/>
      <c r="L118" s="34" t="str" cm="1">
        <f t="array" ref="L118">IF($C118="","",SUMPRODUCT((TEXT($AE$5:$OE$5, "mmm")=LOWER(K$3))*$AE118:$OE118))</f>
        <v/>
      </c>
      <c r="M118" s="34"/>
      <c r="N118" s="34" t="str" cm="1">
        <f t="array" ref="N118">IF($C118="","",SUMPRODUCT((TEXT($AE$5:$OE$5, "mmm")=LOWER(M$3))*$AE118:$OE118))</f>
        <v/>
      </c>
      <c r="O118" s="34"/>
      <c r="P118" s="34" t="str" cm="1">
        <f t="array" ref="P118">IF($C118="","",SUMPRODUCT((TEXT($AE$5:$OE$5, "mmm")=LOWER(O$3))*$AE118:$OE118))</f>
        <v/>
      </c>
      <c r="Q118" s="34"/>
      <c r="R118" s="34" t="str" cm="1">
        <f t="array" ref="R118">IF($C118="","",SUMPRODUCT((TEXT($AE$5:$OE$5, "mmm")=LOWER(Q$3))*$AE118:$OE118))</f>
        <v/>
      </c>
      <c r="S118" s="34"/>
      <c r="T118" s="34" t="str" cm="1">
        <f t="array" ref="T118">IF($C118="","",SUMPRODUCT((TEXT($AE$5:$OE$5, "mmm")=LOWER(S$3))*$AE118:$OE118))</f>
        <v/>
      </c>
      <c r="U118" s="34"/>
      <c r="V118" s="34" t="str" cm="1">
        <f t="array" ref="V118">IF($C118="","",SUMPRODUCT((TEXT($AE$5:$OE$5, "mmm")=LOWER(U$3))*$AE118:$OE118))</f>
        <v/>
      </c>
      <c r="W118" s="34"/>
      <c r="X118" s="34" t="str" cm="1">
        <f t="array" ref="X118">IF($C118="","",SUMPRODUCT((TEXT($AE$5:$OE$5, "mmm")=LOWER(W$3))*$AE118:$OE118))</f>
        <v/>
      </c>
      <c r="Y118" s="34"/>
      <c r="Z118" s="34" t="str" cm="1">
        <f t="array" ref="Z118">IF($C118="","",SUMPRODUCT((TEXT($AE$5:$OE$5, "mmm")=LOWER(Y$3))*$AE118:$OE118))</f>
        <v/>
      </c>
      <c r="AA118" s="34"/>
      <c r="AB118" s="34" t="str" cm="1">
        <f t="array" ref="AB118">IF($C118="","",SUMPRODUCT((TEXT($AE$5:$OE$5, "mmm")=LOWER(AA$3))*$AE118:$OE118))</f>
        <v/>
      </c>
      <c r="AC118" s="34"/>
      <c r="AD118" s="34" t="str" cm="1">
        <f t="array" ref="AD118">IF($C118="","",SUMPRODUCT((TEXT($AE$5:$OE$5, "mmm")=LOWER(AC$3))*$AE118:$OE118))</f>
        <v/>
      </c>
      <c r="OE118" s="49"/>
    </row>
    <row r="119" spans="1:395">
      <c r="A119" s="35"/>
      <c r="C119" s="2" t="str">
        <f>IF(ISBLANK($B119),"",_xlfn.XLOOKUP($B119,Task_No,Project!$C$3:$C$144,"INVALID TASK"))</f>
        <v/>
      </c>
      <c r="E119" s="7" t="str">
        <f t="shared" si="19"/>
        <v/>
      </c>
      <c r="F119" s="7" t="str">
        <f t="shared" si="20"/>
        <v/>
      </c>
      <c r="G119" s="34"/>
      <c r="H119" s="34" t="str" cm="1">
        <f t="array" ref="H119">IF($C119="","",SUMPRODUCT((TEXT($AE$5:$OE$5, "mmm")=LOWER(G$3))*$AE119:$OE119))</f>
        <v/>
      </c>
      <c r="I119" s="34"/>
      <c r="J119" s="34" t="str" cm="1">
        <f t="array" ref="J119">IF($C119="","",SUMPRODUCT((TEXT($AE$5:$OE$5, "mmm")=LOWER(I$3))*$AE119:$OE119))</f>
        <v/>
      </c>
      <c r="K119" s="34"/>
      <c r="L119" s="34" t="str" cm="1">
        <f t="array" ref="L119">IF($C119="","",SUMPRODUCT((TEXT($AE$5:$OE$5, "mmm")=LOWER(K$3))*$AE119:$OE119))</f>
        <v/>
      </c>
      <c r="M119" s="34"/>
      <c r="N119" s="34" t="str" cm="1">
        <f t="array" ref="N119">IF($C119="","",SUMPRODUCT((TEXT($AE$5:$OE$5, "mmm")=LOWER(M$3))*$AE119:$OE119))</f>
        <v/>
      </c>
      <c r="O119" s="34"/>
      <c r="P119" s="34" t="str" cm="1">
        <f t="array" ref="P119">IF($C119="","",SUMPRODUCT((TEXT($AE$5:$OE$5, "mmm")=LOWER(O$3))*$AE119:$OE119))</f>
        <v/>
      </c>
      <c r="Q119" s="34"/>
      <c r="R119" s="34" t="str" cm="1">
        <f t="array" ref="R119">IF($C119="","",SUMPRODUCT((TEXT($AE$5:$OE$5, "mmm")=LOWER(Q$3))*$AE119:$OE119))</f>
        <v/>
      </c>
      <c r="S119" s="34"/>
      <c r="T119" s="34" t="str" cm="1">
        <f t="array" ref="T119">IF($C119="","",SUMPRODUCT((TEXT($AE$5:$OE$5, "mmm")=LOWER(S$3))*$AE119:$OE119))</f>
        <v/>
      </c>
      <c r="U119" s="34"/>
      <c r="V119" s="34" t="str" cm="1">
        <f t="array" ref="V119">IF($C119="","",SUMPRODUCT((TEXT($AE$5:$OE$5, "mmm")=LOWER(U$3))*$AE119:$OE119))</f>
        <v/>
      </c>
      <c r="W119" s="34"/>
      <c r="X119" s="34" t="str" cm="1">
        <f t="array" ref="X119">IF($C119="","",SUMPRODUCT((TEXT($AE$5:$OE$5, "mmm")=LOWER(W$3))*$AE119:$OE119))</f>
        <v/>
      </c>
      <c r="Y119" s="34"/>
      <c r="Z119" s="34" t="str" cm="1">
        <f t="array" ref="Z119">IF($C119="","",SUMPRODUCT((TEXT($AE$5:$OE$5, "mmm")=LOWER(Y$3))*$AE119:$OE119))</f>
        <v/>
      </c>
      <c r="AA119" s="34"/>
      <c r="AB119" s="34" t="str" cm="1">
        <f t="array" ref="AB119">IF($C119="","",SUMPRODUCT((TEXT($AE$5:$OE$5, "mmm")=LOWER(AA$3))*$AE119:$OE119))</f>
        <v/>
      </c>
      <c r="AC119" s="34"/>
      <c r="AD119" s="34" t="str" cm="1">
        <f t="array" ref="AD119">IF($C119="","",SUMPRODUCT((TEXT($AE$5:$OE$5, "mmm")=LOWER(AC$3))*$AE119:$OE119))</f>
        <v/>
      </c>
      <c r="OE119" s="49"/>
    </row>
    <row r="120" spans="1:395">
      <c r="A120" s="35"/>
      <c r="C120" s="2" t="str">
        <f>IF(ISBLANK($B120),"",_xlfn.XLOOKUP($B120,Task_No,Project!$C$3:$C$144,"INVALID TASK"))</f>
        <v/>
      </c>
      <c r="E120" s="7" t="str">
        <f t="shared" si="19"/>
        <v/>
      </c>
      <c r="F120" s="7" t="str">
        <f t="shared" si="20"/>
        <v/>
      </c>
      <c r="G120" s="34"/>
      <c r="H120" s="34" t="str" cm="1">
        <f t="array" ref="H120">IF($C120="","",SUMPRODUCT((TEXT($AE$5:$OE$5, "mmm")=LOWER(G$3))*$AE120:$OE120))</f>
        <v/>
      </c>
      <c r="I120" s="34"/>
      <c r="J120" s="34" t="str" cm="1">
        <f t="array" ref="J120">IF($C120="","",SUMPRODUCT((TEXT($AE$5:$OE$5, "mmm")=LOWER(I$3))*$AE120:$OE120))</f>
        <v/>
      </c>
      <c r="K120" s="34"/>
      <c r="L120" s="34" t="str" cm="1">
        <f t="array" ref="L120">IF($C120="","",SUMPRODUCT((TEXT($AE$5:$OE$5, "mmm")=LOWER(K$3))*$AE120:$OE120))</f>
        <v/>
      </c>
      <c r="M120" s="34"/>
      <c r="N120" s="34" t="str" cm="1">
        <f t="array" ref="N120">IF($C120="","",SUMPRODUCT((TEXT($AE$5:$OE$5, "mmm")=LOWER(M$3))*$AE120:$OE120))</f>
        <v/>
      </c>
      <c r="O120" s="34"/>
      <c r="P120" s="34" t="str" cm="1">
        <f t="array" ref="P120">IF($C120="","",SUMPRODUCT((TEXT($AE$5:$OE$5, "mmm")=LOWER(O$3))*$AE120:$OE120))</f>
        <v/>
      </c>
      <c r="Q120" s="34"/>
      <c r="R120" s="34" t="str" cm="1">
        <f t="array" ref="R120">IF($C120="","",SUMPRODUCT((TEXT($AE$5:$OE$5, "mmm")=LOWER(Q$3))*$AE120:$OE120))</f>
        <v/>
      </c>
      <c r="S120" s="34"/>
      <c r="T120" s="34" t="str" cm="1">
        <f t="array" ref="T120">IF($C120="","",SUMPRODUCT((TEXT($AE$5:$OE$5, "mmm")=LOWER(S$3))*$AE120:$OE120))</f>
        <v/>
      </c>
      <c r="U120" s="34"/>
      <c r="V120" s="34" t="str" cm="1">
        <f t="array" ref="V120">IF($C120="","",SUMPRODUCT((TEXT($AE$5:$OE$5, "mmm")=LOWER(U$3))*$AE120:$OE120))</f>
        <v/>
      </c>
      <c r="W120" s="34"/>
      <c r="X120" s="34" t="str" cm="1">
        <f t="array" ref="X120">IF($C120="","",SUMPRODUCT((TEXT($AE$5:$OE$5, "mmm")=LOWER(W$3))*$AE120:$OE120))</f>
        <v/>
      </c>
      <c r="Y120" s="34"/>
      <c r="Z120" s="34" t="str" cm="1">
        <f t="array" ref="Z120">IF($C120="","",SUMPRODUCT((TEXT($AE$5:$OE$5, "mmm")=LOWER(Y$3))*$AE120:$OE120))</f>
        <v/>
      </c>
      <c r="AA120" s="34"/>
      <c r="AB120" s="34" t="str" cm="1">
        <f t="array" ref="AB120">IF($C120="","",SUMPRODUCT((TEXT($AE$5:$OE$5, "mmm")=LOWER(AA$3))*$AE120:$OE120))</f>
        <v/>
      </c>
      <c r="AC120" s="34"/>
      <c r="AD120" s="34" t="str" cm="1">
        <f t="array" ref="AD120">IF($C120="","",SUMPRODUCT((TEXT($AE$5:$OE$5, "mmm")=LOWER(AC$3))*$AE120:$OE120))</f>
        <v/>
      </c>
      <c r="OE120" s="49"/>
    </row>
    <row r="121" spans="1:395">
      <c r="A121" s="35"/>
      <c r="C121" s="2" t="str">
        <f>IF(ISBLANK($B121),"",_xlfn.XLOOKUP($B121,Task_No,Project!$C$3:$C$144,"INVALID TASK"))</f>
        <v/>
      </c>
      <c r="E121" s="7" t="str">
        <f t="shared" si="19"/>
        <v/>
      </c>
      <c r="F121" s="7" t="str">
        <f t="shared" si="20"/>
        <v/>
      </c>
      <c r="G121" s="34"/>
      <c r="H121" s="34" t="str" cm="1">
        <f t="array" ref="H121">IF($C121="","",SUMPRODUCT((TEXT($AE$5:$OE$5, "mmm")=LOWER(G$3))*$AE121:$OE121))</f>
        <v/>
      </c>
      <c r="I121" s="34"/>
      <c r="J121" s="34" t="str" cm="1">
        <f t="array" ref="J121">IF($C121="","",SUMPRODUCT((TEXT($AE$5:$OE$5, "mmm")=LOWER(I$3))*$AE121:$OE121))</f>
        <v/>
      </c>
      <c r="K121" s="34"/>
      <c r="L121" s="34" t="str" cm="1">
        <f t="array" ref="L121">IF($C121="","",SUMPRODUCT((TEXT($AE$5:$OE$5, "mmm")=LOWER(K$3))*$AE121:$OE121))</f>
        <v/>
      </c>
      <c r="M121" s="34"/>
      <c r="N121" s="34" t="str" cm="1">
        <f t="array" ref="N121">IF($C121="","",SUMPRODUCT((TEXT($AE$5:$OE$5, "mmm")=LOWER(M$3))*$AE121:$OE121))</f>
        <v/>
      </c>
      <c r="O121" s="34"/>
      <c r="P121" s="34" t="str" cm="1">
        <f t="array" ref="P121">IF($C121="","",SUMPRODUCT((TEXT($AE$5:$OE$5, "mmm")=LOWER(O$3))*$AE121:$OE121))</f>
        <v/>
      </c>
      <c r="Q121" s="34"/>
      <c r="R121" s="34" t="str" cm="1">
        <f t="array" ref="R121">IF($C121="","",SUMPRODUCT((TEXT($AE$5:$OE$5, "mmm")=LOWER(Q$3))*$AE121:$OE121))</f>
        <v/>
      </c>
      <c r="S121" s="34"/>
      <c r="T121" s="34" t="str" cm="1">
        <f t="array" ref="T121">IF($C121="","",SUMPRODUCT((TEXT($AE$5:$OE$5, "mmm")=LOWER(S$3))*$AE121:$OE121))</f>
        <v/>
      </c>
      <c r="U121" s="34"/>
      <c r="V121" s="34" t="str" cm="1">
        <f t="array" ref="V121">IF($C121="","",SUMPRODUCT((TEXT($AE$5:$OE$5, "mmm")=LOWER(U$3))*$AE121:$OE121))</f>
        <v/>
      </c>
      <c r="W121" s="34"/>
      <c r="X121" s="34" t="str" cm="1">
        <f t="array" ref="X121">IF($C121="","",SUMPRODUCT((TEXT($AE$5:$OE$5, "mmm")=LOWER(W$3))*$AE121:$OE121))</f>
        <v/>
      </c>
      <c r="Y121" s="34"/>
      <c r="Z121" s="34" t="str" cm="1">
        <f t="array" ref="Z121">IF($C121="","",SUMPRODUCT((TEXT($AE$5:$OE$5, "mmm")=LOWER(Y$3))*$AE121:$OE121))</f>
        <v/>
      </c>
      <c r="AA121" s="34"/>
      <c r="AB121" s="34" t="str" cm="1">
        <f t="array" ref="AB121">IF($C121="","",SUMPRODUCT((TEXT($AE$5:$OE$5, "mmm")=LOWER(AA$3))*$AE121:$OE121))</f>
        <v/>
      </c>
      <c r="AC121" s="34"/>
      <c r="AD121" s="34" t="str" cm="1">
        <f t="array" ref="AD121">IF($C121="","",SUMPRODUCT((TEXT($AE$5:$OE$5, "mmm")=LOWER(AC$3))*$AE121:$OE121))</f>
        <v/>
      </c>
      <c r="OE121" s="49"/>
    </row>
    <row r="122" spans="1:395">
      <c r="A122" s="35"/>
      <c r="C122" s="2" t="str">
        <f>IF(ISBLANK($B122),"",_xlfn.XLOOKUP($B122,Task_No,Project!$C$3:$C$144,"INVALID TASK"))</f>
        <v/>
      </c>
      <c r="E122" s="7" t="str">
        <f t="shared" si="19"/>
        <v/>
      </c>
      <c r="F122" s="7" t="str">
        <f t="shared" si="20"/>
        <v/>
      </c>
      <c r="G122" s="34"/>
      <c r="H122" s="34" t="str" cm="1">
        <f t="array" ref="H122">IF($C122="","",SUMPRODUCT((TEXT($AE$5:$OE$5, "mmm")=LOWER(G$3))*$AE122:$OE122))</f>
        <v/>
      </c>
      <c r="I122" s="34"/>
      <c r="J122" s="34" t="str" cm="1">
        <f t="array" ref="J122">IF($C122="","",SUMPRODUCT((TEXT($AE$5:$OE$5, "mmm")=LOWER(I$3))*$AE122:$OE122))</f>
        <v/>
      </c>
      <c r="K122" s="34"/>
      <c r="L122" s="34" t="str" cm="1">
        <f t="array" ref="L122">IF($C122="","",SUMPRODUCT((TEXT($AE$5:$OE$5, "mmm")=LOWER(K$3))*$AE122:$OE122))</f>
        <v/>
      </c>
      <c r="M122" s="34"/>
      <c r="N122" s="34" t="str" cm="1">
        <f t="array" ref="N122">IF($C122="","",SUMPRODUCT((TEXT($AE$5:$OE$5, "mmm")=LOWER(M$3))*$AE122:$OE122))</f>
        <v/>
      </c>
      <c r="O122" s="34"/>
      <c r="P122" s="34" t="str" cm="1">
        <f t="array" ref="P122">IF($C122="","",SUMPRODUCT((TEXT($AE$5:$OE$5, "mmm")=LOWER(O$3))*$AE122:$OE122))</f>
        <v/>
      </c>
      <c r="Q122" s="34"/>
      <c r="R122" s="34" t="str" cm="1">
        <f t="array" ref="R122">IF($C122="","",SUMPRODUCT((TEXT($AE$5:$OE$5, "mmm")=LOWER(Q$3))*$AE122:$OE122))</f>
        <v/>
      </c>
      <c r="S122" s="34"/>
      <c r="T122" s="34" t="str" cm="1">
        <f t="array" ref="T122">IF($C122="","",SUMPRODUCT((TEXT($AE$5:$OE$5, "mmm")=LOWER(S$3))*$AE122:$OE122))</f>
        <v/>
      </c>
      <c r="U122" s="34"/>
      <c r="V122" s="34" t="str" cm="1">
        <f t="array" ref="V122">IF($C122="","",SUMPRODUCT((TEXT($AE$5:$OE$5, "mmm")=LOWER(U$3))*$AE122:$OE122))</f>
        <v/>
      </c>
      <c r="W122" s="34"/>
      <c r="X122" s="34" t="str" cm="1">
        <f t="array" ref="X122">IF($C122="","",SUMPRODUCT((TEXT($AE$5:$OE$5, "mmm")=LOWER(W$3))*$AE122:$OE122))</f>
        <v/>
      </c>
      <c r="Y122" s="34"/>
      <c r="Z122" s="34" t="str" cm="1">
        <f t="array" ref="Z122">IF($C122="","",SUMPRODUCT((TEXT($AE$5:$OE$5, "mmm")=LOWER(Y$3))*$AE122:$OE122))</f>
        <v/>
      </c>
      <c r="AA122" s="34"/>
      <c r="AB122" s="34" t="str" cm="1">
        <f t="array" ref="AB122">IF($C122="","",SUMPRODUCT((TEXT($AE$5:$OE$5, "mmm")=LOWER(AA$3))*$AE122:$OE122))</f>
        <v/>
      </c>
      <c r="AC122" s="34"/>
      <c r="AD122" s="34" t="str" cm="1">
        <f t="array" ref="AD122">IF($C122="","",SUMPRODUCT((TEXT($AE$5:$OE$5, "mmm")=LOWER(AC$3))*$AE122:$OE122))</f>
        <v/>
      </c>
      <c r="OE122" s="49"/>
    </row>
    <row r="123" spans="1:395">
      <c r="A123" s="35"/>
      <c r="C123" s="2" t="str">
        <f>IF(ISBLANK($B123),"",_xlfn.XLOOKUP($B123,Task_No,Project!$C$3:$C$144,"INVALID TASK"))</f>
        <v/>
      </c>
      <c r="E123" s="7" t="str">
        <f t="shared" si="19"/>
        <v/>
      </c>
      <c r="F123" s="7" t="str">
        <f t="shared" si="20"/>
        <v/>
      </c>
      <c r="G123" s="34"/>
      <c r="H123" s="34" t="str" cm="1">
        <f t="array" ref="H123">IF($C123="","",SUMPRODUCT((TEXT($AE$5:$OE$5, "mmm")=LOWER(G$3))*$AE123:$OE123))</f>
        <v/>
      </c>
      <c r="I123" s="34"/>
      <c r="J123" s="34" t="str" cm="1">
        <f t="array" ref="J123">IF($C123="","",SUMPRODUCT((TEXT($AE$5:$OE$5, "mmm")=LOWER(I$3))*$AE123:$OE123))</f>
        <v/>
      </c>
      <c r="K123" s="34"/>
      <c r="L123" s="34" t="str" cm="1">
        <f t="array" ref="L123">IF($C123="","",SUMPRODUCT((TEXT($AE$5:$OE$5, "mmm")=LOWER(K$3))*$AE123:$OE123))</f>
        <v/>
      </c>
      <c r="M123" s="34"/>
      <c r="N123" s="34" t="str" cm="1">
        <f t="array" ref="N123">IF($C123="","",SUMPRODUCT((TEXT($AE$5:$OE$5, "mmm")=LOWER(M$3))*$AE123:$OE123))</f>
        <v/>
      </c>
      <c r="O123" s="34"/>
      <c r="P123" s="34" t="str" cm="1">
        <f t="array" ref="P123">IF($C123="","",SUMPRODUCT((TEXT($AE$5:$OE$5, "mmm")=LOWER(O$3))*$AE123:$OE123))</f>
        <v/>
      </c>
      <c r="Q123" s="34"/>
      <c r="R123" s="34" t="str" cm="1">
        <f t="array" ref="R123">IF($C123="","",SUMPRODUCT((TEXT($AE$5:$OE$5, "mmm")=LOWER(Q$3))*$AE123:$OE123))</f>
        <v/>
      </c>
      <c r="S123" s="34"/>
      <c r="T123" s="34" t="str" cm="1">
        <f t="array" ref="T123">IF($C123="","",SUMPRODUCT((TEXT($AE$5:$OE$5, "mmm")=LOWER(S$3))*$AE123:$OE123))</f>
        <v/>
      </c>
      <c r="U123" s="34"/>
      <c r="V123" s="34" t="str" cm="1">
        <f t="array" ref="V123">IF($C123="","",SUMPRODUCT((TEXT($AE$5:$OE$5, "mmm")=LOWER(U$3))*$AE123:$OE123))</f>
        <v/>
      </c>
      <c r="W123" s="34"/>
      <c r="X123" s="34" t="str" cm="1">
        <f t="array" ref="X123">IF($C123="","",SUMPRODUCT((TEXT($AE$5:$OE$5, "mmm")=LOWER(W$3))*$AE123:$OE123))</f>
        <v/>
      </c>
      <c r="Y123" s="34"/>
      <c r="Z123" s="34" t="str" cm="1">
        <f t="array" ref="Z123">IF($C123="","",SUMPRODUCT((TEXT($AE$5:$OE$5, "mmm")=LOWER(Y$3))*$AE123:$OE123))</f>
        <v/>
      </c>
      <c r="AA123" s="34"/>
      <c r="AB123" s="34" t="str" cm="1">
        <f t="array" ref="AB123">IF($C123="","",SUMPRODUCT((TEXT($AE$5:$OE$5, "mmm")=LOWER(AA$3))*$AE123:$OE123))</f>
        <v/>
      </c>
      <c r="AC123" s="34"/>
      <c r="AD123" s="34" t="str" cm="1">
        <f t="array" ref="AD123">IF($C123="","",SUMPRODUCT((TEXT($AE$5:$OE$5, "mmm")=LOWER(AC$3))*$AE123:$OE123))</f>
        <v/>
      </c>
      <c r="OE123" s="49"/>
    </row>
    <row r="124" spans="1:395">
      <c r="A124" s="35"/>
      <c r="C124" s="2" t="str">
        <f>IF(ISBLANK($B124),"",_xlfn.XLOOKUP($B124,Task_No,Project!$C$3:$C$144,"INVALID TASK"))</f>
        <v/>
      </c>
      <c r="E124" s="7" t="str">
        <f t="shared" si="19"/>
        <v/>
      </c>
      <c r="F124" s="7" t="str">
        <f t="shared" si="20"/>
        <v/>
      </c>
      <c r="G124" s="34"/>
      <c r="H124" s="34" t="str" cm="1">
        <f t="array" ref="H124">IF($C124="","",SUMPRODUCT((TEXT($AE$5:$OE$5, "mmm")=LOWER(G$3))*$AE124:$OE124))</f>
        <v/>
      </c>
      <c r="I124" s="34"/>
      <c r="J124" s="34" t="str" cm="1">
        <f t="array" ref="J124">IF($C124="","",SUMPRODUCT((TEXT($AE$5:$OE$5, "mmm")=LOWER(I$3))*$AE124:$OE124))</f>
        <v/>
      </c>
      <c r="K124" s="34"/>
      <c r="L124" s="34" t="str" cm="1">
        <f t="array" ref="L124">IF($C124="","",SUMPRODUCT((TEXT($AE$5:$OE$5, "mmm")=LOWER(K$3))*$AE124:$OE124))</f>
        <v/>
      </c>
      <c r="M124" s="34"/>
      <c r="N124" s="34" t="str" cm="1">
        <f t="array" ref="N124">IF($C124="","",SUMPRODUCT((TEXT($AE$5:$OE$5, "mmm")=LOWER(M$3))*$AE124:$OE124))</f>
        <v/>
      </c>
      <c r="O124" s="34"/>
      <c r="P124" s="34" t="str" cm="1">
        <f t="array" ref="P124">IF($C124="","",SUMPRODUCT((TEXT($AE$5:$OE$5, "mmm")=LOWER(O$3))*$AE124:$OE124))</f>
        <v/>
      </c>
      <c r="Q124" s="34"/>
      <c r="R124" s="34" t="str" cm="1">
        <f t="array" ref="R124">IF($C124="","",SUMPRODUCT((TEXT($AE$5:$OE$5, "mmm")=LOWER(Q$3))*$AE124:$OE124))</f>
        <v/>
      </c>
      <c r="S124" s="34"/>
      <c r="T124" s="34" t="str" cm="1">
        <f t="array" ref="T124">IF($C124="","",SUMPRODUCT((TEXT($AE$5:$OE$5, "mmm")=LOWER(S$3))*$AE124:$OE124))</f>
        <v/>
      </c>
      <c r="U124" s="34"/>
      <c r="V124" s="34" t="str" cm="1">
        <f t="array" ref="V124">IF($C124="","",SUMPRODUCT((TEXT($AE$5:$OE$5, "mmm")=LOWER(U$3))*$AE124:$OE124))</f>
        <v/>
      </c>
      <c r="W124" s="34"/>
      <c r="X124" s="34" t="str" cm="1">
        <f t="array" ref="X124">IF($C124="","",SUMPRODUCT((TEXT($AE$5:$OE$5, "mmm")=LOWER(W$3))*$AE124:$OE124))</f>
        <v/>
      </c>
      <c r="Y124" s="34"/>
      <c r="Z124" s="34" t="str" cm="1">
        <f t="array" ref="Z124">IF($C124="","",SUMPRODUCT((TEXT($AE$5:$OE$5, "mmm")=LOWER(Y$3))*$AE124:$OE124))</f>
        <v/>
      </c>
      <c r="AA124" s="34"/>
      <c r="AB124" s="34" t="str" cm="1">
        <f t="array" ref="AB124">IF($C124="","",SUMPRODUCT((TEXT($AE$5:$OE$5, "mmm")=LOWER(AA$3))*$AE124:$OE124))</f>
        <v/>
      </c>
      <c r="AC124" s="34"/>
      <c r="AD124" s="34" t="str" cm="1">
        <f t="array" ref="AD124">IF($C124="","",SUMPRODUCT((TEXT($AE$5:$OE$5, "mmm")=LOWER(AC$3))*$AE124:$OE124))</f>
        <v/>
      </c>
      <c r="OE124" s="49"/>
    </row>
    <row r="125" spans="1:395">
      <c r="A125" s="35"/>
      <c r="C125" s="2" t="str">
        <f>IF(ISBLANK($B125),"",_xlfn.XLOOKUP($B125,Task_No,Project!$C$3:$C$144,"INVALID TASK"))</f>
        <v/>
      </c>
      <c r="E125" s="7" t="str">
        <f t="shared" si="19"/>
        <v/>
      </c>
      <c r="F125" s="7" t="str">
        <f t="shared" si="20"/>
        <v/>
      </c>
      <c r="G125" s="34"/>
      <c r="H125" s="34" t="str" cm="1">
        <f t="array" ref="H125">IF($C125="","",SUMPRODUCT((TEXT($AE$5:$OE$5, "mmm")=LOWER(G$3))*$AE125:$OE125))</f>
        <v/>
      </c>
      <c r="I125" s="34"/>
      <c r="J125" s="34" t="str" cm="1">
        <f t="array" ref="J125">IF($C125="","",SUMPRODUCT((TEXT($AE$5:$OE$5, "mmm")=LOWER(I$3))*$AE125:$OE125))</f>
        <v/>
      </c>
      <c r="K125" s="34"/>
      <c r="L125" s="34" t="str" cm="1">
        <f t="array" ref="L125">IF($C125="","",SUMPRODUCT((TEXT($AE$5:$OE$5, "mmm")=LOWER(K$3))*$AE125:$OE125))</f>
        <v/>
      </c>
      <c r="M125" s="34"/>
      <c r="N125" s="34" t="str" cm="1">
        <f t="array" ref="N125">IF($C125="","",SUMPRODUCT((TEXT($AE$5:$OE$5, "mmm")=LOWER(M$3))*$AE125:$OE125))</f>
        <v/>
      </c>
      <c r="O125" s="34"/>
      <c r="P125" s="34" t="str" cm="1">
        <f t="array" ref="P125">IF($C125="","",SUMPRODUCT((TEXT($AE$5:$OE$5, "mmm")=LOWER(O$3))*$AE125:$OE125))</f>
        <v/>
      </c>
      <c r="Q125" s="34"/>
      <c r="R125" s="34" t="str" cm="1">
        <f t="array" ref="R125">IF($C125="","",SUMPRODUCT((TEXT($AE$5:$OE$5, "mmm")=LOWER(Q$3))*$AE125:$OE125))</f>
        <v/>
      </c>
      <c r="S125" s="34"/>
      <c r="T125" s="34" t="str" cm="1">
        <f t="array" ref="T125">IF($C125="","",SUMPRODUCT((TEXT($AE$5:$OE$5, "mmm")=LOWER(S$3))*$AE125:$OE125))</f>
        <v/>
      </c>
      <c r="U125" s="34"/>
      <c r="V125" s="34" t="str" cm="1">
        <f t="array" ref="V125">IF($C125="","",SUMPRODUCT((TEXT($AE$5:$OE$5, "mmm")=LOWER(U$3))*$AE125:$OE125))</f>
        <v/>
      </c>
      <c r="W125" s="34"/>
      <c r="X125" s="34" t="str" cm="1">
        <f t="array" ref="X125">IF($C125="","",SUMPRODUCT((TEXT($AE$5:$OE$5, "mmm")=LOWER(W$3))*$AE125:$OE125))</f>
        <v/>
      </c>
      <c r="Y125" s="34"/>
      <c r="Z125" s="34" t="str" cm="1">
        <f t="array" ref="Z125">IF($C125="","",SUMPRODUCT((TEXT($AE$5:$OE$5, "mmm")=LOWER(Y$3))*$AE125:$OE125))</f>
        <v/>
      </c>
      <c r="AA125" s="34"/>
      <c r="AB125" s="34" t="str" cm="1">
        <f t="array" ref="AB125">IF($C125="","",SUMPRODUCT((TEXT($AE$5:$OE$5, "mmm")=LOWER(AA$3))*$AE125:$OE125))</f>
        <v/>
      </c>
      <c r="AC125" s="34"/>
      <c r="AD125" s="34" t="str" cm="1">
        <f t="array" ref="AD125">IF($C125="","",SUMPRODUCT((TEXT($AE$5:$OE$5, "mmm")=LOWER(AC$3))*$AE125:$OE125))</f>
        <v/>
      </c>
      <c r="OE125" s="49"/>
    </row>
    <row r="126" spans="1:395">
      <c r="A126" s="35"/>
      <c r="C126" s="2" t="str">
        <f>IF(ISBLANK($B126),"",_xlfn.XLOOKUP($B126,Task_No,Project!$C$3:$C$144,"INVALID TASK"))</f>
        <v/>
      </c>
      <c r="E126" s="7" t="str">
        <f t="shared" si="19"/>
        <v/>
      </c>
      <c r="F126" s="7" t="str">
        <f t="shared" si="20"/>
        <v/>
      </c>
      <c r="G126" s="34"/>
      <c r="H126" s="34" t="str" cm="1">
        <f t="array" ref="H126">IF($C126="","",SUMPRODUCT((TEXT($AE$5:$OE$5, "mmm")=LOWER(G$3))*$AE126:$OE126))</f>
        <v/>
      </c>
      <c r="I126" s="34"/>
      <c r="J126" s="34" t="str" cm="1">
        <f t="array" ref="J126">IF($C126="","",SUMPRODUCT((TEXT($AE$5:$OE$5, "mmm")=LOWER(I$3))*$AE126:$OE126))</f>
        <v/>
      </c>
      <c r="K126" s="34"/>
      <c r="L126" s="34" t="str" cm="1">
        <f t="array" ref="L126">IF($C126="","",SUMPRODUCT((TEXT($AE$5:$OE$5, "mmm")=LOWER(K$3))*$AE126:$OE126))</f>
        <v/>
      </c>
      <c r="M126" s="34"/>
      <c r="N126" s="34" t="str" cm="1">
        <f t="array" ref="N126">IF($C126="","",SUMPRODUCT((TEXT($AE$5:$OE$5, "mmm")=LOWER(M$3))*$AE126:$OE126))</f>
        <v/>
      </c>
      <c r="O126" s="34"/>
      <c r="P126" s="34" t="str" cm="1">
        <f t="array" ref="P126">IF($C126="","",SUMPRODUCT((TEXT($AE$5:$OE$5, "mmm")=LOWER(O$3))*$AE126:$OE126))</f>
        <v/>
      </c>
      <c r="Q126" s="34"/>
      <c r="R126" s="34" t="str" cm="1">
        <f t="array" ref="R126">IF($C126="","",SUMPRODUCT((TEXT($AE$5:$OE$5, "mmm")=LOWER(Q$3))*$AE126:$OE126))</f>
        <v/>
      </c>
      <c r="S126" s="34"/>
      <c r="T126" s="34" t="str" cm="1">
        <f t="array" ref="T126">IF($C126="","",SUMPRODUCT((TEXT($AE$5:$OE$5, "mmm")=LOWER(S$3))*$AE126:$OE126))</f>
        <v/>
      </c>
      <c r="U126" s="34"/>
      <c r="V126" s="34" t="str" cm="1">
        <f t="array" ref="V126">IF($C126="","",SUMPRODUCT((TEXT($AE$5:$OE$5, "mmm")=LOWER(U$3))*$AE126:$OE126))</f>
        <v/>
      </c>
      <c r="W126" s="34"/>
      <c r="X126" s="34" t="str" cm="1">
        <f t="array" ref="X126">IF($C126="","",SUMPRODUCT((TEXT($AE$5:$OE$5, "mmm")=LOWER(W$3))*$AE126:$OE126))</f>
        <v/>
      </c>
      <c r="Y126" s="34"/>
      <c r="Z126" s="34" t="str" cm="1">
        <f t="array" ref="Z126">IF($C126="","",SUMPRODUCT((TEXT($AE$5:$OE$5, "mmm")=LOWER(Y$3))*$AE126:$OE126))</f>
        <v/>
      </c>
      <c r="AA126" s="34"/>
      <c r="AB126" s="34" t="str" cm="1">
        <f t="array" ref="AB126">IF($C126="","",SUMPRODUCT((TEXT($AE$5:$OE$5, "mmm")=LOWER(AA$3))*$AE126:$OE126))</f>
        <v/>
      </c>
      <c r="AC126" s="34"/>
      <c r="AD126" s="34" t="str" cm="1">
        <f t="array" ref="AD126">IF($C126="","",SUMPRODUCT((TEXT($AE$5:$OE$5, "mmm")=LOWER(AC$3))*$AE126:$OE126))</f>
        <v/>
      </c>
      <c r="OE126" s="49"/>
    </row>
    <row r="127" spans="1:395">
      <c r="A127" s="35"/>
      <c r="C127" s="2" t="str">
        <f>IF(ISBLANK($B127),"",_xlfn.XLOOKUP($B127,Task_No,Project!$C$3:$C$144,"INVALID TASK"))</f>
        <v/>
      </c>
      <c r="E127" s="7" t="str">
        <f t="shared" si="19"/>
        <v/>
      </c>
      <c r="F127" s="7" t="str">
        <f t="shared" si="20"/>
        <v/>
      </c>
      <c r="G127" s="34"/>
      <c r="H127" s="34" t="str" cm="1">
        <f t="array" ref="H127">IF($C127="","",SUMPRODUCT((TEXT($AE$5:$OE$5, "mmm")=LOWER(G$3))*$AE127:$OE127))</f>
        <v/>
      </c>
      <c r="I127" s="34"/>
      <c r="J127" s="34" t="str" cm="1">
        <f t="array" ref="J127">IF($C127="","",SUMPRODUCT((TEXT($AE$5:$OE$5, "mmm")=LOWER(I$3))*$AE127:$OE127))</f>
        <v/>
      </c>
      <c r="K127" s="34"/>
      <c r="L127" s="34" t="str" cm="1">
        <f t="array" ref="L127">IF($C127="","",SUMPRODUCT((TEXT($AE$5:$OE$5, "mmm")=LOWER(K$3))*$AE127:$OE127))</f>
        <v/>
      </c>
      <c r="M127" s="34"/>
      <c r="N127" s="34" t="str" cm="1">
        <f t="array" ref="N127">IF($C127="","",SUMPRODUCT((TEXT($AE$5:$OE$5, "mmm")=LOWER(M$3))*$AE127:$OE127))</f>
        <v/>
      </c>
      <c r="O127" s="34"/>
      <c r="P127" s="34" t="str" cm="1">
        <f t="array" ref="P127">IF($C127="","",SUMPRODUCT((TEXT($AE$5:$OE$5, "mmm")=LOWER(O$3))*$AE127:$OE127))</f>
        <v/>
      </c>
      <c r="Q127" s="34"/>
      <c r="R127" s="34" t="str" cm="1">
        <f t="array" ref="R127">IF($C127="","",SUMPRODUCT((TEXT($AE$5:$OE$5, "mmm")=LOWER(Q$3))*$AE127:$OE127))</f>
        <v/>
      </c>
      <c r="S127" s="34"/>
      <c r="T127" s="34" t="str" cm="1">
        <f t="array" ref="T127">IF($C127="","",SUMPRODUCT((TEXT($AE$5:$OE$5, "mmm")=LOWER(S$3))*$AE127:$OE127))</f>
        <v/>
      </c>
      <c r="U127" s="34"/>
      <c r="V127" s="34" t="str" cm="1">
        <f t="array" ref="V127">IF($C127="","",SUMPRODUCT((TEXT($AE$5:$OE$5, "mmm")=LOWER(U$3))*$AE127:$OE127))</f>
        <v/>
      </c>
      <c r="W127" s="34"/>
      <c r="X127" s="34" t="str" cm="1">
        <f t="array" ref="X127">IF($C127="","",SUMPRODUCT((TEXT($AE$5:$OE$5, "mmm")=LOWER(W$3))*$AE127:$OE127))</f>
        <v/>
      </c>
      <c r="Y127" s="34"/>
      <c r="Z127" s="34" t="str" cm="1">
        <f t="array" ref="Z127">IF($C127="","",SUMPRODUCT((TEXT($AE$5:$OE$5, "mmm")=LOWER(Y$3))*$AE127:$OE127))</f>
        <v/>
      </c>
      <c r="AA127" s="34"/>
      <c r="AB127" s="34" t="str" cm="1">
        <f t="array" ref="AB127">IF($C127="","",SUMPRODUCT((TEXT($AE$5:$OE$5, "mmm")=LOWER(AA$3))*$AE127:$OE127))</f>
        <v/>
      </c>
      <c r="AC127" s="34"/>
      <c r="AD127" s="34" t="str" cm="1">
        <f t="array" ref="AD127">IF($C127="","",SUMPRODUCT((TEXT($AE$5:$OE$5, "mmm")=LOWER(AC$3))*$AE127:$OE127))</f>
        <v/>
      </c>
      <c r="OE127" s="49"/>
    </row>
    <row r="128" spans="1:395">
      <c r="A128" s="35"/>
      <c r="C128" s="2" t="str">
        <f>IF(ISBLANK($B128),"",_xlfn.XLOOKUP($B128,Task_No,Project!$C$3:$C$144,"INVALID TASK"))</f>
        <v/>
      </c>
      <c r="E128" s="7" t="str">
        <f t="shared" si="19"/>
        <v/>
      </c>
      <c r="F128" s="7" t="str">
        <f t="shared" si="20"/>
        <v/>
      </c>
      <c r="G128" s="34"/>
      <c r="H128" s="34" t="str" cm="1">
        <f t="array" ref="H128">IF($C128="","",SUMPRODUCT((TEXT($AE$5:$OE$5, "mmm")=LOWER(G$3))*$AE128:$OE128))</f>
        <v/>
      </c>
      <c r="I128" s="34"/>
      <c r="J128" s="34" t="str" cm="1">
        <f t="array" ref="J128">IF($C128="","",SUMPRODUCT((TEXT($AE$5:$OE$5, "mmm")=LOWER(I$3))*$AE128:$OE128))</f>
        <v/>
      </c>
      <c r="K128" s="34"/>
      <c r="L128" s="34" t="str" cm="1">
        <f t="array" ref="L128">IF($C128="","",SUMPRODUCT((TEXT($AE$5:$OE$5, "mmm")=LOWER(K$3))*$AE128:$OE128))</f>
        <v/>
      </c>
      <c r="M128" s="34"/>
      <c r="N128" s="34" t="str" cm="1">
        <f t="array" ref="N128">IF($C128="","",SUMPRODUCT((TEXT($AE$5:$OE$5, "mmm")=LOWER(M$3))*$AE128:$OE128))</f>
        <v/>
      </c>
      <c r="O128" s="34"/>
      <c r="P128" s="34" t="str" cm="1">
        <f t="array" ref="P128">IF($C128="","",SUMPRODUCT((TEXT($AE$5:$OE$5, "mmm")=LOWER(O$3))*$AE128:$OE128))</f>
        <v/>
      </c>
      <c r="Q128" s="34"/>
      <c r="R128" s="34" t="str" cm="1">
        <f t="array" ref="R128">IF($C128="","",SUMPRODUCT((TEXT($AE$5:$OE$5, "mmm")=LOWER(Q$3))*$AE128:$OE128))</f>
        <v/>
      </c>
      <c r="S128" s="34"/>
      <c r="T128" s="34" t="str" cm="1">
        <f t="array" ref="T128">IF($C128="","",SUMPRODUCT((TEXT($AE$5:$OE$5, "mmm")=LOWER(S$3))*$AE128:$OE128))</f>
        <v/>
      </c>
      <c r="U128" s="34"/>
      <c r="V128" s="34" t="str" cm="1">
        <f t="array" ref="V128">IF($C128="","",SUMPRODUCT((TEXT($AE$5:$OE$5, "mmm")=LOWER(U$3))*$AE128:$OE128))</f>
        <v/>
      </c>
      <c r="W128" s="34"/>
      <c r="X128" s="34" t="str" cm="1">
        <f t="array" ref="X128">IF($C128="","",SUMPRODUCT((TEXT($AE$5:$OE$5, "mmm")=LOWER(W$3))*$AE128:$OE128))</f>
        <v/>
      </c>
      <c r="Y128" s="34"/>
      <c r="Z128" s="34" t="str" cm="1">
        <f t="array" ref="Z128">IF($C128="","",SUMPRODUCT((TEXT($AE$5:$OE$5, "mmm")=LOWER(Y$3))*$AE128:$OE128))</f>
        <v/>
      </c>
      <c r="AA128" s="34"/>
      <c r="AB128" s="34" t="str" cm="1">
        <f t="array" ref="AB128">IF($C128="","",SUMPRODUCT((TEXT($AE$5:$OE$5, "mmm")=LOWER(AA$3))*$AE128:$OE128))</f>
        <v/>
      </c>
      <c r="AC128" s="34"/>
      <c r="AD128" s="34" t="str" cm="1">
        <f t="array" ref="AD128">IF($C128="","",SUMPRODUCT((TEXT($AE$5:$OE$5, "mmm")=LOWER(AC$3))*$AE128:$OE128))</f>
        <v/>
      </c>
      <c r="OE128" s="49"/>
    </row>
    <row r="129" spans="1:395">
      <c r="A129" s="35"/>
      <c r="C129" s="2" t="str">
        <f>IF(ISBLANK($B129),"",_xlfn.XLOOKUP($B129,Task_No,Project!$C$3:$C$144,"INVALID TASK"))</f>
        <v/>
      </c>
      <c r="E129" s="7" t="str">
        <f t="shared" si="19"/>
        <v/>
      </c>
      <c r="F129" s="7" t="str">
        <f t="shared" si="20"/>
        <v/>
      </c>
      <c r="G129" s="34"/>
      <c r="H129" s="34" t="str" cm="1">
        <f t="array" ref="H129">IF($C129="","",SUMPRODUCT((TEXT($AE$5:$OE$5, "mmm")=LOWER(G$3))*$AE129:$OE129))</f>
        <v/>
      </c>
      <c r="I129" s="34"/>
      <c r="J129" s="34" t="str" cm="1">
        <f t="array" ref="J129">IF($C129="","",SUMPRODUCT((TEXT($AE$5:$OE$5, "mmm")=LOWER(I$3))*$AE129:$OE129))</f>
        <v/>
      </c>
      <c r="K129" s="34"/>
      <c r="L129" s="34" t="str" cm="1">
        <f t="array" ref="L129">IF($C129="","",SUMPRODUCT((TEXT($AE$5:$OE$5, "mmm")=LOWER(K$3))*$AE129:$OE129))</f>
        <v/>
      </c>
      <c r="M129" s="34"/>
      <c r="N129" s="34" t="str" cm="1">
        <f t="array" ref="N129">IF($C129="","",SUMPRODUCT((TEXT($AE$5:$OE$5, "mmm")=LOWER(M$3))*$AE129:$OE129))</f>
        <v/>
      </c>
      <c r="O129" s="34"/>
      <c r="P129" s="34" t="str" cm="1">
        <f t="array" ref="P129">IF($C129="","",SUMPRODUCT((TEXT($AE$5:$OE$5, "mmm")=LOWER(O$3))*$AE129:$OE129))</f>
        <v/>
      </c>
      <c r="Q129" s="34"/>
      <c r="R129" s="34" t="str" cm="1">
        <f t="array" ref="R129">IF($C129="","",SUMPRODUCT((TEXT($AE$5:$OE$5, "mmm")=LOWER(Q$3))*$AE129:$OE129))</f>
        <v/>
      </c>
      <c r="S129" s="34"/>
      <c r="T129" s="34" t="str" cm="1">
        <f t="array" ref="T129">IF($C129="","",SUMPRODUCT((TEXT($AE$5:$OE$5, "mmm")=LOWER(S$3))*$AE129:$OE129))</f>
        <v/>
      </c>
      <c r="U129" s="34"/>
      <c r="V129" s="34" t="str" cm="1">
        <f t="array" ref="V129">IF($C129="","",SUMPRODUCT((TEXT($AE$5:$OE$5, "mmm")=LOWER(U$3))*$AE129:$OE129))</f>
        <v/>
      </c>
      <c r="W129" s="34"/>
      <c r="X129" s="34" t="str" cm="1">
        <f t="array" ref="X129">IF($C129="","",SUMPRODUCT((TEXT($AE$5:$OE$5, "mmm")=LOWER(W$3))*$AE129:$OE129))</f>
        <v/>
      </c>
      <c r="Y129" s="34"/>
      <c r="Z129" s="34" t="str" cm="1">
        <f t="array" ref="Z129">IF($C129="","",SUMPRODUCT((TEXT($AE$5:$OE$5, "mmm")=LOWER(Y$3))*$AE129:$OE129))</f>
        <v/>
      </c>
      <c r="AA129" s="34"/>
      <c r="AB129" s="34" t="str" cm="1">
        <f t="array" ref="AB129">IF($C129="","",SUMPRODUCT((TEXT($AE$5:$OE$5, "mmm")=LOWER(AA$3))*$AE129:$OE129))</f>
        <v/>
      </c>
      <c r="AC129" s="34"/>
      <c r="AD129" s="34" t="str" cm="1">
        <f t="array" ref="AD129">IF($C129="","",SUMPRODUCT((TEXT($AE$5:$OE$5, "mmm")=LOWER(AC$3))*$AE129:$OE129))</f>
        <v/>
      </c>
      <c r="OE129" s="49"/>
    </row>
    <row r="130" spans="1:395">
      <c r="A130" s="35"/>
      <c r="C130" s="2" t="str">
        <f>IF(ISBLANK($B130),"",_xlfn.XLOOKUP($B130,Task_No,Project!$C$3:$C$144,"INVALID TASK"))</f>
        <v/>
      </c>
      <c r="E130" s="7" t="str">
        <f t="shared" si="19"/>
        <v/>
      </c>
      <c r="F130" s="7" t="str">
        <f t="shared" si="20"/>
        <v/>
      </c>
      <c r="G130" s="34"/>
      <c r="H130" s="34" t="str" cm="1">
        <f t="array" ref="H130">IF($C130="","",SUMPRODUCT((TEXT($AE$5:$OE$5, "mmm")=LOWER(G$3))*$AE130:$OE130))</f>
        <v/>
      </c>
      <c r="I130" s="34"/>
      <c r="J130" s="34" t="str" cm="1">
        <f t="array" ref="J130">IF($C130="","",SUMPRODUCT((TEXT($AE$5:$OE$5, "mmm")=LOWER(I$3))*$AE130:$OE130))</f>
        <v/>
      </c>
      <c r="K130" s="34"/>
      <c r="L130" s="34" t="str" cm="1">
        <f t="array" ref="L130">IF($C130="","",SUMPRODUCT((TEXT($AE$5:$OE$5, "mmm")=LOWER(K$3))*$AE130:$OE130))</f>
        <v/>
      </c>
      <c r="M130" s="34"/>
      <c r="N130" s="34" t="str" cm="1">
        <f t="array" ref="N130">IF($C130="","",SUMPRODUCT((TEXT($AE$5:$OE$5, "mmm")=LOWER(M$3))*$AE130:$OE130))</f>
        <v/>
      </c>
      <c r="O130" s="34"/>
      <c r="P130" s="34" t="str" cm="1">
        <f t="array" ref="P130">IF($C130="","",SUMPRODUCT((TEXT($AE$5:$OE$5, "mmm")=LOWER(O$3))*$AE130:$OE130))</f>
        <v/>
      </c>
      <c r="Q130" s="34"/>
      <c r="R130" s="34" t="str" cm="1">
        <f t="array" ref="R130">IF($C130="","",SUMPRODUCT((TEXT($AE$5:$OE$5, "mmm")=LOWER(Q$3))*$AE130:$OE130))</f>
        <v/>
      </c>
      <c r="S130" s="34"/>
      <c r="T130" s="34" t="str" cm="1">
        <f t="array" ref="T130">IF($C130="","",SUMPRODUCT((TEXT($AE$5:$OE$5, "mmm")=LOWER(S$3))*$AE130:$OE130))</f>
        <v/>
      </c>
      <c r="U130" s="34"/>
      <c r="V130" s="34" t="str" cm="1">
        <f t="array" ref="V130">IF($C130="","",SUMPRODUCT((TEXT($AE$5:$OE$5, "mmm")=LOWER(U$3))*$AE130:$OE130))</f>
        <v/>
      </c>
      <c r="W130" s="34"/>
      <c r="X130" s="34" t="str" cm="1">
        <f t="array" ref="X130">IF($C130="","",SUMPRODUCT((TEXT($AE$5:$OE$5, "mmm")=LOWER(W$3))*$AE130:$OE130))</f>
        <v/>
      </c>
      <c r="Y130" s="34"/>
      <c r="Z130" s="34" t="str" cm="1">
        <f t="array" ref="Z130">IF($C130="","",SUMPRODUCT((TEXT($AE$5:$OE$5, "mmm")=LOWER(Y$3))*$AE130:$OE130))</f>
        <v/>
      </c>
      <c r="AA130" s="34"/>
      <c r="AB130" s="34" t="str" cm="1">
        <f t="array" ref="AB130">IF($C130="","",SUMPRODUCT((TEXT($AE$5:$OE$5, "mmm")=LOWER(AA$3))*$AE130:$OE130))</f>
        <v/>
      </c>
      <c r="AC130" s="34"/>
      <c r="AD130" s="34" t="str" cm="1">
        <f t="array" ref="AD130">IF($C130="","",SUMPRODUCT((TEXT($AE$5:$OE$5, "mmm")=LOWER(AC$3))*$AE130:$OE130))</f>
        <v/>
      </c>
      <c r="OE130" s="49"/>
    </row>
    <row r="131" spans="1:395">
      <c r="A131" s="35"/>
      <c r="C131" s="2" t="str">
        <f>IF(ISBLANK($B131),"",_xlfn.XLOOKUP($B131,Task_No,Project!$C$3:$C$144,"INVALID TASK"))</f>
        <v/>
      </c>
      <c r="E131" s="7" t="str">
        <f t="shared" si="19"/>
        <v/>
      </c>
      <c r="F131" s="7" t="str">
        <f t="shared" si="20"/>
        <v/>
      </c>
      <c r="G131" s="34"/>
      <c r="H131" s="34" t="str" cm="1">
        <f t="array" ref="H131">IF($C131="","",SUMPRODUCT((TEXT($AE$5:$OE$5, "mmm")=LOWER(G$3))*$AE131:$OE131))</f>
        <v/>
      </c>
      <c r="I131" s="34"/>
      <c r="J131" s="34" t="str" cm="1">
        <f t="array" ref="J131">IF($C131="","",SUMPRODUCT((TEXT($AE$5:$OE$5, "mmm")=LOWER(I$3))*$AE131:$OE131))</f>
        <v/>
      </c>
      <c r="K131" s="34"/>
      <c r="L131" s="34" t="str" cm="1">
        <f t="array" ref="L131">IF($C131="","",SUMPRODUCT((TEXT($AE$5:$OE$5, "mmm")=LOWER(K$3))*$AE131:$OE131))</f>
        <v/>
      </c>
      <c r="M131" s="34"/>
      <c r="N131" s="34" t="str" cm="1">
        <f t="array" ref="N131">IF($C131="","",SUMPRODUCT((TEXT($AE$5:$OE$5, "mmm")=LOWER(M$3))*$AE131:$OE131))</f>
        <v/>
      </c>
      <c r="O131" s="34"/>
      <c r="P131" s="34" t="str" cm="1">
        <f t="array" ref="P131">IF($C131="","",SUMPRODUCT((TEXT($AE$5:$OE$5, "mmm")=LOWER(O$3))*$AE131:$OE131))</f>
        <v/>
      </c>
      <c r="Q131" s="34"/>
      <c r="R131" s="34" t="str" cm="1">
        <f t="array" ref="R131">IF($C131="","",SUMPRODUCT((TEXT($AE$5:$OE$5, "mmm")=LOWER(Q$3))*$AE131:$OE131))</f>
        <v/>
      </c>
      <c r="S131" s="34"/>
      <c r="T131" s="34" t="str" cm="1">
        <f t="array" ref="T131">IF($C131="","",SUMPRODUCT((TEXT($AE$5:$OE$5, "mmm")=LOWER(S$3))*$AE131:$OE131))</f>
        <v/>
      </c>
      <c r="U131" s="34"/>
      <c r="V131" s="34" t="str" cm="1">
        <f t="array" ref="V131">IF($C131="","",SUMPRODUCT((TEXT($AE$5:$OE$5, "mmm")=LOWER(U$3))*$AE131:$OE131))</f>
        <v/>
      </c>
      <c r="W131" s="34"/>
      <c r="X131" s="34" t="str" cm="1">
        <f t="array" ref="X131">IF($C131="","",SUMPRODUCT((TEXT($AE$5:$OE$5, "mmm")=LOWER(W$3))*$AE131:$OE131))</f>
        <v/>
      </c>
      <c r="Y131" s="34"/>
      <c r="Z131" s="34" t="str" cm="1">
        <f t="array" ref="Z131">IF($C131="","",SUMPRODUCT((TEXT($AE$5:$OE$5, "mmm")=LOWER(Y$3))*$AE131:$OE131))</f>
        <v/>
      </c>
      <c r="AA131" s="34"/>
      <c r="AB131" s="34" t="str" cm="1">
        <f t="array" ref="AB131">IF($C131="","",SUMPRODUCT((TEXT($AE$5:$OE$5, "mmm")=LOWER(AA$3))*$AE131:$OE131))</f>
        <v/>
      </c>
      <c r="AC131" s="34"/>
      <c r="AD131" s="34" t="str" cm="1">
        <f t="array" ref="AD131">IF($C131="","",SUMPRODUCT((TEXT($AE$5:$OE$5, "mmm")=LOWER(AC$3))*$AE131:$OE131))</f>
        <v/>
      </c>
      <c r="OE131" s="49"/>
    </row>
    <row r="132" spans="1:395">
      <c r="A132" s="35"/>
      <c r="C132" s="2" t="str">
        <f>IF(ISBLANK($B132),"",_xlfn.XLOOKUP($B132,Task_No,Project!$C$3:$C$144,"INVALID TASK"))</f>
        <v/>
      </c>
      <c r="E132" s="7" t="str">
        <f t="shared" si="19"/>
        <v/>
      </c>
      <c r="F132" s="7" t="str">
        <f t="shared" si="20"/>
        <v/>
      </c>
      <c r="G132" s="34"/>
      <c r="H132" s="34" t="str" cm="1">
        <f t="array" ref="H132">IF($C132="","",SUMPRODUCT((TEXT($AE$5:$OE$5, "mmm")=LOWER(G$3))*$AE132:$OE132))</f>
        <v/>
      </c>
      <c r="I132" s="34"/>
      <c r="J132" s="34" t="str" cm="1">
        <f t="array" ref="J132">IF($C132="","",SUMPRODUCT((TEXT($AE$5:$OE$5, "mmm")=LOWER(I$3))*$AE132:$OE132))</f>
        <v/>
      </c>
      <c r="K132" s="34"/>
      <c r="L132" s="34" t="str" cm="1">
        <f t="array" ref="L132">IF($C132="","",SUMPRODUCT((TEXT($AE$5:$OE$5, "mmm")=LOWER(K$3))*$AE132:$OE132))</f>
        <v/>
      </c>
      <c r="M132" s="34"/>
      <c r="N132" s="34" t="str" cm="1">
        <f t="array" ref="N132">IF($C132="","",SUMPRODUCT((TEXT($AE$5:$OE$5, "mmm")=LOWER(M$3))*$AE132:$OE132))</f>
        <v/>
      </c>
      <c r="O132" s="34"/>
      <c r="P132" s="34" t="str" cm="1">
        <f t="array" ref="P132">IF($C132="","",SUMPRODUCT((TEXT($AE$5:$OE$5, "mmm")=LOWER(O$3))*$AE132:$OE132))</f>
        <v/>
      </c>
      <c r="Q132" s="34"/>
      <c r="R132" s="34" t="str" cm="1">
        <f t="array" ref="R132">IF($C132="","",SUMPRODUCT((TEXT($AE$5:$OE$5, "mmm")=LOWER(Q$3))*$AE132:$OE132))</f>
        <v/>
      </c>
      <c r="S132" s="34"/>
      <c r="T132" s="34" t="str" cm="1">
        <f t="array" ref="T132">IF($C132="","",SUMPRODUCT((TEXT($AE$5:$OE$5, "mmm")=LOWER(S$3))*$AE132:$OE132))</f>
        <v/>
      </c>
      <c r="U132" s="34"/>
      <c r="V132" s="34" t="str" cm="1">
        <f t="array" ref="V132">IF($C132="","",SUMPRODUCT((TEXT($AE$5:$OE$5, "mmm")=LOWER(U$3))*$AE132:$OE132))</f>
        <v/>
      </c>
      <c r="W132" s="34"/>
      <c r="X132" s="34" t="str" cm="1">
        <f t="array" ref="X132">IF($C132="","",SUMPRODUCT((TEXT($AE$5:$OE$5, "mmm")=LOWER(W$3))*$AE132:$OE132))</f>
        <v/>
      </c>
      <c r="Y132" s="34"/>
      <c r="Z132" s="34" t="str" cm="1">
        <f t="array" ref="Z132">IF($C132="","",SUMPRODUCT((TEXT($AE$5:$OE$5, "mmm")=LOWER(Y$3))*$AE132:$OE132))</f>
        <v/>
      </c>
      <c r="AA132" s="34"/>
      <c r="AB132" s="34" t="str" cm="1">
        <f t="array" ref="AB132">IF($C132="","",SUMPRODUCT((TEXT($AE$5:$OE$5, "mmm")=LOWER(AA$3))*$AE132:$OE132))</f>
        <v/>
      </c>
      <c r="AC132" s="34"/>
      <c r="AD132" s="34" t="str" cm="1">
        <f t="array" ref="AD132">IF($C132="","",SUMPRODUCT((TEXT($AE$5:$OE$5, "mmm")=LOWER(AC$3))*$AE132:$OE132))</f>
        <v/>
      </c>
      <c r="OE132" s="49"/>
    </row>
    <row r="133" spans="1:395">
      <c r="A133" s="35"/>
      <c r="C133" s="2" t="str">
        <f>IF(ISBLANK($B133),"",_xlfn.XLOOKUP($B133,Task_No,Project!$C$3:$C$144,"INVALID TASK"))</f>
        <v/>
      </c>
      <c r="E133" s="7" t="str">
        <f t="shared" si="19"/>
        <v/>
      </c>
      <c r="F133" s="7" t="str">
        <f t="shared" si="20"/>
        <v/>
      </c>
      <c r="G133" s="34"/>
      <c r="H133" s="34" t="str" cm="1">
        <f t="array" ref="H133">IF($C133="","",SUMPRODUCT((TEXT($AE$5:$OE$5, "mmm")=LOWER(G$3))*$AE133:$OE133))</f>
        <v/>
      </c>
      <c r="I133" s="34"/>
      <c r="J133" s="34" t="str" cm="1">
        <f t="array" ref="J133">IF($C133="","",SUMPRODUCT((TEXT($AE$5:$OE$5, "mmm")=LOWER(I$3))*$AE133:$OE133))</f>
        <v/>
      </c>
      <c r="K133" s="34"/>
      <c r="L133" s="34" t="str" cm="1">
        <f t="array" ref="L133">IF($C133="","",SUMPRODUCT((TEXT($AE$5:$OE$5, "mmm")=LOWER(K$3))*$AE133:$OE133))</f>
        <v/>
      </c>
      <c r="M133" s="34"/>
      <c r="N133" s="34" t="str" cm="1">
        <f t="array" ref="N133">IF($C133="","",SUMPRODUCT((TEXT($AE$5:$OE$5, "mmm")=LOWER(M$3))*$AE133:$OE133))</f>
        <v/>
      </c>
      <c r="O133" s="34"/>
      <c r="P133" s="34" t="str" cm="1">
        <f t="array" ref="P133">IF($C133="","",SUMPRODUCT((TEXT($AE$5:$OE$5, "mmm")=LOWER(O$3))*$AE133:$OE133))</f>
        <v/>
      </c>
      <c r="Q133" s="34"/>
      <c r="R133" s="34" t="str" cm="1">
        <f t="array" ref="R133">IF($C133="","",SUMPRODUCT((TEXT($AE$5:$OE$5, "mmm")=LOWER(Q$3))*$AE133:$OE133))</f>
        <v/>
      </c>
      <c r="S133" s="34"/>
      <c r="T133" s="34" t="str" cm="1">
        <f t="array" ref="T133">IF($C133="","",SUMPRODUCT((TEXT($AE$5:$OE$5, "mmm")=LOWER(S$3))*$AE133:$OE133))</f>
        <v/>
      </c>
      <c r="U133" s="34"/>
      <c r="V133" s="34" t="str" cm="1">
        <f t="array" ref="V133">IF($C133="","",SUMPRODUCT((TEXT($AE$5:$OE$5, "mmm")=LOWER(U$3))*$AE133:$OE133))</f>
        <v/>
      </c>
      <c r="W133" s="34"/>
      <c r="X133" s="34" t="str" cm="1">
        <f t="array" ref="X133">IF($C133="","",SUMPRODUCT((TEXT($AE$5:$OE$5, "mmm")=LOWER(W$3))*$AE133:$OE133))</f>
        <v/>
      </c>
      <c r="Y133" s="34"/>
      <c r="Z133" s="34" t="str" cm="1">
        <f t="array" ref="Z133">IF($C133="","",SUMPRODUCT((TEXT($AE$5:$OE$5, "mmm")=LOWER(Y$3))*$AE133:$OE133))</f>
        <v/>
      </c>
      <c r="AA133" s="34"/>
      <c r="AB133" s="34" t="str" cm="1">
        <f t="array" ref="AB133">IF($C133="","",SUMPRODUCT((TEXT($AE$5:$OE$5, "mmm")=LOWER(AA$3))*$AE133:$OE133))</f>
        <v/>
      </c>
      <c r="AC133" s="34"/>
      <c r="AD133" s="34" t="str" cm="1">
        <f t="array" ref="AD133">IF($C133="","",SUMPRODUCT((TEXT($AE$5:$OE$5, "mmm")=LOWER(AC$3))*$AE133:$OE133))</f>
        <v/>
      </c>
      <c r="OE133" s="49"/>
    </row>
    <row r="134" spans="1:395">
      <c r="A134" s="35"/>
      <c r="C134" s="2" t="str">
        <f>IF(ISBLANK($B134),"",_xlfn.XLOOKUP($B134,Task_No,Project!$C$3:$C$144,"INVALID TASK"))</f>
        <v/>
      </c>
      <c r="E134" s="7" t="str">
        <f t="shared" si="19"/>
        <v/>
      </c>
      <c r="F134" s="7" t="str">
        <f t="shared" si="20"/>
        <v/>
      </c>
      <c r="G134" s="34"/>
      <c r="H134" s="34" t="str" cm="1">
        <f t="array" ref="H134">IF($C134="","",SUMPRODUCT((TEXT($AE$5:$OE$5, "mmm")=LOWER(G$3))*$AE134:$OE134))</f>
        <v/>
      </c>
      <c r="I134" s="34"/>
      <c r="J134" s="34" t="str" cm="1">
        <f t="array" ref="J134">IF($C134="","",SUMPRODUCT((TEXT($AE$5:$OE$5, "mmm")=LOWER(I$3))*$AE134:$OE134))</f>
        <v/>
      </c>
      <c r="K134" s="34"/>
      <c r="L134" s="34" t="str" cm="1">
        <f t="array" ref="L134">IF($C134="","",SUMPRODUCT((TEXT($AE$5:$OE$5, "mmm")=LOWER(K$3))*$AE134:$OE134))</f>
        <v/>
      </c>
      <c r="M134" s="34"/>
      <c r="N134" s="34" t="str" cm="1">
        <f t="array" ref="N134">IF($C134="","",SUMPRODUCT((TEXT($AE$5:$OE$5, "mmm")=LOWER(M$3))*$AE134:$OE134))</f>
        <v/>
      </c>
      <c r="O134" s="34"/>
      <c r="P134" s="34" t="str" cm="1">
        <f t="array" ref="P134">IF($C134="","",SUMPRODUCT((TEXT($AE$5:$OE$5, "mmm")=LOWER(O$3))*$AE134:$OE134))</f>
        <v/>
      </c>
      <c r="Q134" s="34"/>
      <c r="R134" s="34" t="str" cm="1">
        <f t="array" ref="R134">IF($C134="","",SUMPRODUCT((TEXT($AE$5:$OE$5, "mmm")=LOWER(Q$3))*$AE134:$OE134))</f>
        <v/>
      </c>
      <c r="S134" s="34"/>
      <c r="T134" s="34" t="str" cm="1">
        <f t="array" ref="T134">IF($C134="","",SUMPRODUCT((TEXT($AE$5:$OE$5, "mmm")=LOWER(S$3))*$AE134:$OE134))</f>
        <v/>
      </c>
      <c r="U134" s="34"/>
      <c r="V134" s="34" t="str" cm="1">
        <f t="array" ref="V134">IF($C134="","",SUMPRODUCT((TEXT($AE$5:$OE$5, "mmm")=LOWER(U$3))*$AE134:$OE134))</f>
        <v/>
      </c>
      <c r="W134" s="34"/>
      <c r="X134" s="34" t="str" cm="1">
        <f t="array" ref="X134">IF($C134="","",SUMPRODUCT((TEXT($AE$5:$OE$5, "mmm")=LOWER(W$3))*$AE134:$OE134))</f>
        <v/>
      </c>
      <c r="Y134" s="34"/>
      <c r="Z134" s="34" t="str" cm="1">
        <f t="array" ref="Z134">IF($C134="","",SUMPRODUCT((TEXT($AE$5:$OE$5, "mmm")=LOWER(Y$3))*$AE134:$OE134))</f>
        <v/>
      </c>
      <c r="AA134" s="34"/>
      <c r="AB134" s="34" t="str" cm="1">
        <f t="array" ref="AB134">IF($C134="","",SUMPRODUCT((TEXT($AE$5:$OE$5, "mmm")=LOWER(AA$3))*$AE134:$OE134))</f>
        <v/>
      </c>
      <c r="AC134" s="34"/>
      <c r="AD134" s="34" t="str" cm="1">
        <f t="array" ref="AD134">IF($C134="","",SUMPRODUCT((TEXT($AE$5:$OE$5, "mmm")=LOWER(AC$3))*$AE134:$OE134))</f>
        <v/>
      </c>
      <c r="OE134" s="49"/>
    </row>
    <row r="135" spans="1:395">
      <c r="A135" s="35"/>
      <c r="C135" s="2" t="str">
        <f>IF(ISBLANK($B135),"",_xlfn.XLOOKUP($B135,Task_No,Project!$C$3:$C$144,"INVALID TASK"))</f>
        <v/>
      </c>
      <c r="E135" s="7" t="str">
        <f t="shared" si="19"/>
        <v/>
      </c>
      <c r="F135" s="7" t="str">
        <f t="shared" si="20"/>
        <v/>
      </c>
      <c r="G135" s="34"/>
      <c r="H135" s="34" t="str" cm="1">
        <f t="array" ref="H135">IF($C135="","",SUMPRODUCT((TEXT($AE$5:$OE$5, "mmm")=LOWER(G$3))*$AE135:$OE135))</f>
        <v/>
      </c>
      <c r="I135" s="34"/>
      <c r="J135" s="34" t="str" cm="1">
        <f t="array" ref="J135">IF($C135="","",SUMPRODUCT((TEXT($AE$5:$OE$5, "mmm")=LOWER(I$3))*$AE135:$OE135))</f>
        <v/>
      </c>
      <c r="K135" s="34"/>
      <c r="L135" s="34" t="str" cm="1">
        <f t="array" ref="L135">IF($C135="","",SUMPRODUCT((TEXT($AE$5:$OE$5, "mmm")=LOWER(K$3))*$AE135:$OE135))</f>
        <v/>
      </c>
      <c r="M135" s="34"/>
      <c r="N135" s="34" t="str" cm="1">
        <f t="array" ref="N135">IF($C135="","",SUMPRODUCT((TEXT($AE$5:$OE$5, "mmm")=LOWER(M$3))*$AE135:$OE135))</f>
        <v/>
      </c>
      <c r="O135" s="34"/>
      <c r="P135" s="34" t="str" cm="1">
        <f t="array" ref="P135">IF($C135="","",SUMPRODUCT((TEXT($AE$5:$OE$5, "mmm")=LOWER(O$3))*$AE135:$OE135))</f>
        <v/>
      </c>
      <c r="Q135" s="34"/>
      <c r="R135" s="34" t="str" cm="1">
        <f t="array" ref="R135">IF($C135="","",SUMPRODUCT((TEXT($AE$5:$OE$5, "mmm")=LOWER(Q$3))*$AE135:$OE135))</f>
        <v/>
      </c>
      <c r="S135" s="34"/>
      <c r="T135" s="34" t="str" cm="1">
        <f t="array" ref="T135">IF($C135="","",SUMPRODUCT((TEXT($AE$5:$OE$5, "mmm")=LOWER(S$3))*$AE135:$OE135))</f>
        <v/>
      </c>
      <c r="U135" s="34"/>
      <c r="V135" s="34" t="str" cm="1">
        <f t="array" ref="V135">IF($C135="","",SUMPRODUCT((TEXT($AE$5:$OE$5, "mmm")=LOWER(U$3))*$AE135:$OE135))</f>
        <v/>
      </c>
      <c r="W135" s="34"/>
      <c r="X135" s="34" t="str" cm="1">
        <f t="array" ref="X135">IF($C135="","",SUMPRODUCT((TEXT($AE$5:$OE$5, "mmm")=LOWER(W$3))*$AE135:$OE135))</f>
        <v/>
      </c>
      <c r="Y135" s="34"/>
      <c r="Z135" s="34" t="str" cm="1">
        <f t="array" ref="Z135">IF($C135="","",SUMPRODUCT((TEXT($AE$5:$OE$5, "mmm")=LOWER(Y$3))*$AE135:$OE135))</f>
        <v/>
      </c>
      <c r="AA135" s="34"/>
      <c r="AB135" s="34" t="str" cm="1">
        <f t="array" ref="AB135">IF($C135="","",SUMPRODUCT((TEXT($AE$5:$OE$5, "mmm")=LOWER(AA$3))*$AE135:$OE135))</f>
        <v/>
      </c>
      <c r="AC135" s="34"/>
      <c r="AD135" s="34" t="str" cm="1">
        <f t="array" ref="AD135">IF($C135="","",SUMPRODUCT((TEXT($AE$5:$OE$5, "mmm")=LOWER(AC$3))*$AE135:$OE135))</f>
        <v/>
      </c>
      <c r="OE135" s="49"/>
    </row>
    <row r="136" spans="1:395">
      <c r="A136" s="35"/>
      <c r="C136" s="2" t="str">
        <f>IF(ISBLANK($B136),"",_xlfn.XLOOKUP($B136,Task_No,Project!$C$3:$C$144,"INVALID TASK"))</f>
        <v/>
      </c>
      <c r="E136" s="7" t="str">
        <f t="shared" si="19"/>
        <v/>
      </c>
      <c r="F136" s="7" t="str">
        <f t="shared" si="20"/>
        <v/>
      </c>
      <c r="G136" s="34"/>
      <c r="H136" s="34" t="str" cm="1">
        <f t="array" ref="H136">IF($C136="","",SUMPRODUCT((TEXT($AE$5:$OE$5, "mmm")=LOWER(G$3))*$AE136:$OE136))</f>
        <v/>
      </c>
      <c r="I136" s="34"/>
      <c r="J136" s="34" t="str" cm="1">
        <f t="array" ref="J136">IF($C136="","",SUMPRODUCT((TEXT($AE$5:$OE$5, "mmm")=LOWER(I$3))*$AE136:$OE136))</f>
        <v/>
      </c>
      <c r="K136" s="34"/>
      <c r="L136" s="34" t="str" cm="1">
        <f t="array" ref="L136">IF($C136="","",SUMPRODUCT((TEXT($AE$5:$OE$5, "mmm")=LOWER(K$3))*$AE136:$OE136))</f>
        <v/>
      </c>
      <c r="M136" s="34"/>
      <c r="N136" s="34" t="str" cm="1">
        <f t="array" ref="N136">IF($C136="","",SUMPRODUCT((TEXT($AE$5:$OE$5, "mmm")=LOWER(M$3))*$AE136:$OE136))</f>
        <v/>
      </c>
      <c r="O136" s="34"/>
      <c r="P136" s="34" t="str" cm="1">
        <f t="array" ref="P136">IF($C136="","",SUMPRODUCT((TEXT($AE$5:$OE$5, "mmm")=LOWER(O$3))*$AE136:$OE136))</f>
        <v/>
      </c>
      <c r="Q136" s="34"/>
      <c r="R136" s="34" t="str" cm="1">
        <f t="array" ref="R136">IF($C136="","",SUMPRODUCT((TEXT($AE$5:$OE$5, "mmm")=LOWER(Q$3))*$AE136:$OE136))</f>
        <v/>
      </c>
      <c r="S136" s="34"/>
      <c r="T136" s="34" t="str" cm="1">
        <f t="array" ref="T136">IF($C136="","",SUMPRODUCT((TEXT($AE$5:$OE$5, "mmm")=LOWER(S$3))*$AE136:$OE136))</f>
        <v/>
      </c>
      <c r="U136" s="34"/>
      <c r="V136" s="34" t="str" cm="1">
        <f t="array" ref="V136">IF($C136="","",SUMPRODUCT((TEXT($AE$5:$OE$5, "mmm")=LOWER(U$3))*$AE136:$OE136))</f>
        <v/>
      </c>
      <c r="W136" s="34"/>
      <c r="X136" s="34" t="str" cm="1">
        <f t="array" ref="X136">IF($C136="","",SUMPRODUCT((TEXT($AE$5:$OE$5, "mmm")=LOWER(W$3))*$AE136:$OE136))</f>
        <v/>
      </c>
      <c r="Y136" s="34"/>
      <c r="Z136" s="34" t="str" cm="1">
        <f t="array" ref="Z136">IF($C136="","",SUMPRODUCT((TEXT($AE$5:$OE$5, "mmm")=LOWER(Y$3))*$AE136:$OE136))</f>
        <v/>
      </c>
      <c r="AA136" s="34"/>
      <c r="AB136" s="34" t="str" cm="1">
        <f t="array" ref="AB136">IF($C136="","",SUMPRODUCT((TEXT($AE$5:$OE$5, "mmm")=LOWER(AA$3))*$AE136:$OE136))</f>
        <v/>
      </c>
      <c r="AC136" s="34"/>
      <c r="AD136" s="34" t="str" cm="1">
        <f t="array" ref="AD136">IF($C136="","",SUMPRODUCT((TEXT($AE$5:$OE$5, "mmm")=LOWER(AC$3))*$AE136:$OE136))</f>
        <v/>
      </c>
      <c r="OE136" s="49"/>
    </row>
    <row r="137" spans="1:395">
      <c r="A137" s="35"/>
      <c r="C137" s="2" t="str">
        <f>IF(ISBLANK($B137),"",_xlfn.XLOOKUP($B137,Task_No,Project!$C$3:$C$144,"INVALID TASK"))</f>
        <v/>
      </c>
      <c r="E137" s="7" t="str">
        <f t="shared" si="19"/>
        <v/>
      </c>
      <c r="F137" s="7" t="str">
        <f t="shared" si="20"/>
        <v/>
      </c>
      <c r="G137" s="34"/>
      <c r="H137" s="34" t="str" cm="1">
        <f t="array" ref="H137">IF($C137="","",SUMPRODUCT((TEXT($AE$5:$OE$5, "mmm")=LOWER(G$3))*$AE137:$OE137))</f>
        <v/>
      </c>
      <c r="I137" s="34"/>
      <c r="J137" s="34" t="str" cm="1">
        <f t="array" ref="J137">IF($C137="","",SUMPRODUCT((TEXT($AE$5:$OE$5, "mmm")=LOWER(I$3))*$AE137:$OE137))</f>
        <v/>
      </c>
      <c r="K137" s="34"/>
      <c r="L137" s="34" t="str" cm="1">
        <f t="array" ref="L137">IF($C137="","",SUMPRODUCT((TEXT($AE$5:$OE$5, "mmm")=LOWER(K$3))*$AE137:$OE137))</f>
        <v/>
      </c>
      <c r="M137" s="34"/>
      <c r="N137" s="34" t="str" cm="1">
        <f t="array" ref="N137">IF($C137="","",SUMPRODUCT((TEXT($AE$5:$OE$5, "mmm")=LOWER(M$3))*$AE137:$OE137))</f>
        <v/>
      </c>
      <c r="O137" s="34"/>
      <c r="P137" s="34" t="str" cm="1">
        <f t="array" ref="P137">IF($C137="","",SUMPRODUCT((TEXT($AE$5:$OE$5, "mmm")=LOWER(O$3))*$AE137:$OE137))</f>
        <v/>
      </c>
      <c r="Q137" s="34"/>
      <c r="R137" s="34" t="str" cm="1">
        <f t="array" ref="R137">IF($C137="","",SUMPRODUCT((TEXT($AE$5:$OE$5, "mmm")=LOWER(Q$3))*$AE137:$OE137))</f>
        <v/>
      </c>
      <c r="S137" s="34"/>
      <c r="T137" s="34" t="str" cm="1">
        <f t="array" ref="T137">IF($C137="","",SUMPRODUCT((TEXT($AE$5:$OE$5, "mmm")=LOWER(S$3))*$AE137:$OE137))</f>
        <v/>
      </c>
      <c r="U137" s="34"/>
      <c r="V137" s="34" t="str" cm="1">
        <f t="array" ref="V137">IF($C137="","",SUMPRODUCT((TEXT($AE$5:$OE$5, "mmm")=LOWER(U$3))*$AE137:$OE137))</f>
        <v/>
      </c>
      <c r="W137" s="34"/>
      <c r="X137" s="34" t="str" cm="1">
        <f t="array" ref="X137">IF($C137="","",SUMPRODUCT((TEXT($AE$5:$OE$5, "mmm")=LOWER(W$3))*$AE137:$OE137))</f>
        <v/>
      </c>
      <c r="Y137" s="34"/>
      <c r="Z137" s="34" t="str" cm="1">
        <f t="array" ref="Z137">IF($C137="","",SUMPRODUCT((TEXT($AE$5:$OE$5, "mmm")=LOWER(Y$3))*$AE137:$OE137))</f>
        <v/>
      </c>
      <c r="AA137" s="34"/>
      <c r="AB137" s="34" t="str" cm="1">
        <f t="array" ref="AB137">IF($C137="","",SUMPRODUCT((TEXT($AE$5:$OE$5, "mmm")=LOWER(AA$3))*$AE137:$OE137))</f>
        <v/>
      </c>
      <c r="AC137" s="34"/>
      <c r="AD137" s="34" t="str" cm="1">
        <f t="array" ref="AD137">IF($C137="","",SUMPRODUCT((TEXT($AE$5:$OE$5, "mmm")=LOWER(AC$3))*$AE137:$OE137))</f>
        <v/>
      </c>
      <c r="OE137" s="49"/>
    </row>
    <row r="138" spans="1:395">
      <c r="A138" s="35"/>
      <c r="C138" s="2" t="str">
        <f>IF(ISBLANK($B138),"",_xlfn.XLOOKUP($B138,Task_No,Project!$C$3:$C$144,"INVALID TASK"))</f>
        <v/>
      </c>
      <c r="E138" s="7" t="str">
        <f t="shared" si="19"/>
        <v/>
      </c>
      <c r="F138" s="7" t="str">
        <f t="shared" si="20"/>
        <v/>
      </c>
      <c r="G138" s="34"/>
      <c r="H138" s="34" t="str" cm="1">
        <f t="array" ref="H138">IF($C138="","",SUMPRODUCT((TEXT($AE$5:$OE$5, "mmm")=LOWER(G$3))*$AE138:$OE138))</f>
        <v/>
      </c>
      <c r="I138" s="34"/>
      <c r="J138" s="34" t="str" cm="1">
        <f t="array" ref="J138">IF($C138="","",SUMPRODUCT((TEXT($AE$5:$OE$5, "mmm")=LOWER(I$3))*$AE138:$OE138))</f>
        <v/>
      </c>
      <c r="K138" s="34"/>
      <c r="L138" s="34" t="str" cm="1">
        <f t="array" ref="L138">IF($C138="","",SUMPRODUCT((TEXT($AE$5:$OE$5, "mmm")=LOWER(K$3))*$AE138:$OE138))</f>
        <v/>
      </c>
      <c r="M138" s="34"/>
      <c r="N138" s="34" t="str" cm="1">
        <f t="array" ref="N138">IF($C138="","",SUMPRODUCT((TEXT($AE$5:$OE$5, "mmm")=LOWER(M$3))*$AE138:$OE138))</f>
        <v/>
      </c>
      <c r="O138" s="34"/>
      <c r="P138" s="34" t="str" cm="1">
        <f t="array" ref="P138">IF($C138="","",SUMPRODUCT((TEXT($AE$5:$OE$5, "mmm")=LOWER(O$3))*$AE138:$OE138))</f>
        <v/>
      </c>
      <c r="Q138" s="34"/>
      <c r="R138" s="34" t="str" cm="1">
        <f t="array" ref="R138">IF($C138="","",SUMPRODUCT((TEXT($AE$5:$OE$5, "mmm")=LOWER(Q$3))*$AE138:$OE138))</f>
        <v/>
      </c>
      <c r="S138" s="34"/>
      <c r="T138" s="34" t="str" cm="1">
        <f t="array" ref="T138">IF($C138="","",SUMPRODUCT((TEXT($AE$5:$OE$5, "mmm")=LOWER(S$3))*$AE138:$OE138))</f>
        <v/>
      </c>
      <c r="U138" s="34"/>
      <c r="V138" s="34" t="str" cm="1">
        <f t="array" ref="V138">IF($C138="","",SUMPRODUCT((TEXT($AE$5:$OE$5, "mmm")=LOWER(U$3))*$AE138:$OE138))</f>
        <v/>
      </c>
      <c r="W138" s="34"/>
      <c r="X138" s="34" t="str" cm="1">
        <f t="array" ref="X138">IF($C138="","",SUMPRODUCT((TEXT($AE$5:$OE$5, "mmm")=LOWER(W$3))*$AE138:$OE138))</f>
        <v/>
      </c>
      <c r="Y138" s="34"/>
      <c r="Z138" s="34" t="str" cm="1">
        <f t="array" ref="Z138">IF($C138="","",SUMPRODUCT((TEXT($AE$5:$OE$5, "mmm")=LOWER(Y$3))*$AE138:$OE138))</f>
        <v/>
      </c>
      <c r="AA138" s="34"/>
      <c r="AB138" s="34" t="str" cm="1">
        <f t="array" ref="AB138">IF($C138="","",SUMPRODUCT((TEXT($AE$5:$OE$5, "mmm")=LOWER(AA$3))*$AE138:$OE138))</f>
        <v/>
      </c>
      <c r="AC138" s="34"/>
      <c r="AD138" s="34" t="str" cm="1">
        <f t="array" ref="AD138">IF($C138="","",SUMPRODUCT((TEXT($AE$5:$OE$5, "mmm")=LOWER(AC$3))*$AE138:$OE138))</f>
        <v/>
      </c>
      <c r="OE138" s="49"/>
    </row>
    <row r="139" spans="1:395">
      <c r="A139" s="35"/>
      <c r="C139" s="2" t="str">
        <f>IF(ISBLANK($B139),"",_xlfn.XLOOKUP($B139,Task_No,Project!$C$3:$C$144,"INVALID TASK"))</f>
        <v/>
      </c>
      <c r="E139" s="7" t="str">
        <f t="shared" si="19"/>
        <v/>
      </c>
      <c r="F139" s="7" t="str">
        <f t="shared" si="20"/>
        <v/>
      </c>
      <c r="G139" s="34"/>
      <c r="H139" s="34" t="str" cm="1">
        <f t="array" ref="H139">IF($C139="","",SUMPRODUCT((TEXT($AE$5:$OE$5, "mmm")=LOWER(G$3))*$AE139:$OE139))</f>
        <v/>
      </c>
      <c r="I139" s="34"/>
      <c r="J139" s="34" t="str" cm="1">
        <f t="array" ref="J139">IF($C139="","",SUMPRODUCT((TEXT($AE$5:$OE$5, "mmm")=LOWER(I$3))*$AE139:$OE139))</f>
        <v/>
      </c>
      <c r="K139" s="34"/>
      <c r="L139" s="34" t="str" cm="1">
        <f t="array" ref="L139">IF($C139="","",SUMPRODUCT((TEXT($AE$5:$OE$5, "mmm")=LOWER(K$3))*$AE139:$OE139))</f>
        <v/>
      </c>
      <c r="M139" s="34"/>
      <c r="N139" s="34" t="str" cm="1">
        <f t="array" ref="N139">IF($C139="","",SUMPRODUCT((TEXT($AE$5:$OE$5, "mmm")=LOWER(M$3))*$AE139:$OE139))</f>
        <v/>
      </c>
      <c r="O139" s="34"/>
      <c r="P139" s="34" t="str" cm="1">
        <f t="array" ref="P139">IF($C139="","",SUMPRODUCT((TEXT($AE$5:$OE$5, "mmm")=LOWER(O$3))*$AE139:$OE139))</f>
        <v/>
      </c>
      <c r="Q139" s="34"/>
      <c r="R139" s="34" t="str" cm="1">
        <f t="array" ref="R139">IF($C139="","",SUMPRODUCT((TEXT($AE$5:$OE$5, "mmm")=LOWER(Q$3))*$AE139:$OE139))</f>
        <v/>
      </c>
      <c r="S139" s="34"/>
      <c r="T139" s="34" t="str" cm="1">
        <f t="array" ref="T139">IF($C139="","",SUMPRODUCT((TEXT($AE$5:$OE$5, "mmm")=LOWER(S$3))*$AE139:$OE139))</f>
        <v/>
      </c>
      <c r="U139" s="34"/>
      <c r="V139" s="34" t="str" cm="1">
        <f t="array" ref="V139">IF($C139="","",SUMPRODUCT((TEXT($AE$5:$OE$5, "mmm")=LOWER(U$3))*$AE139:$OE139))</f>
        <v/>
      </c>
      <c r="W139" s="34"/>
      <c r="X139" s="34" t="str" cm="1">
        <f t="array" ref="X139">IF($C139="","",SUMPRODUCT((TEXT($AE$5:$OE$5, "mmm")=LOWER(W$3))*$AE139:$OE139))</f>
        <v/>
      </c>
      <c r="Y139" s="34"/>
      <c r="Z139" s="34" t="str" cm="1">
        <f t="array" ref="Z139">IF($C139="","",SUMPRODUCT((TEXT($AE$5:$OE$5, "mmm")=LOWER(Y$3))*$AE139:$OE139))</f>
        <v/>
      </c>
      <c r="AA139" s="34"/>
      <c r="AB139" s="34" t="str" cm="1">
        <f t="array" ref="AB139">IF($C139="","",SUMPRODUCT((TEXT($AE$5:$OE$5, "mmm")=LOWER(AA$3))*$AE139:$OE139))</f>
        <v/>
      </c>
      <c r="AC139" s="34"/>
      <c r="AD139" s="34" t="str" cm="1">
        <f t="array" ref="AD139">IF($C139="","",SUMPRODUCT((TEXT($AE$5:$OE$5, "mmm")=LOWER(AC$3))*$AE139:$OE139))</f>
        <v/>
      </c>
      <c r="OE139" s="49"/>
    </row>
    <row r="140" spans="1:395">
      <c r="A140" s="35"/>
      <c r="C140" s="2" t="str">
        <f>IF(ISBLANK($B140),"",_xlfn.XLOOKUP($B140,Task_No,Project!$C$3:$C$144,"INVALID TASK"))</f>
        <v/>
      </c>
      <c r="E140" s="7" t="str">
        <f t="shared" si="19"/>
        <v/>
      </c>
      <c r="F140" s="7" t="str">
        <f t="shared" si="20"/>
        <v/>
      </c>
      <c r="G140" s="34"/>
      <c r="H140" s="34" t="str" cm="1">
        <f t="array" ref="H140">IF($C140="","",SUMPRODUCT((TEXT($AE$5:$OE$5, "mmm")=LOWER(G$3))*$AE140:$OE140))</f>
        <v/>
      </c>
      <c r="I140" s="34"/>
      <c r="J140" s="34" t="str" cm="1">
        <f t="array" ref="J140">IF($C140="","",SUMPRODUCT((TEXT($AE$5:$OE$5, "mmm")=LOWER(I$3))*$AE140:$OE140))</f>
        <v/>
      </c>
      <c r="K140" s="34"/>
      <c r="L140" s="34" t="str" cm="1">
        <f t="array" ref="L140">IF($C140="","",SUMPRODUCT((TEXT($AE$5:$OE$5, "mmm")=LOWER(K$3))*$AE140:$OE140))</f>
        <v/>
      </c>
      <c r="M140" s="34"/>
      <c r="N140" s="34" t="str" cm="1">
        <f t="array" ref="N140">IF($C140="","",SUMPRODUCT((TEXT($AE$5:$OE$5, "mmm")=LOWER(M$3))*$AE140:$OE140))</f>
        <v/>
      </c>
      <c r="O140" s="34"/>
      <c r="P140" s="34" t="str" cm="1">
        <f t="array" ref="P140">IF($C140="","",SUMPRODUCT((TEXT($AE$5:$OE$5, "mmm")=LOWER(O$3))*$AE140:$OE140))</f>
        <v/>
      </c>
      <c r="Q140" s="34"/>
      <c r="R140" s="34" t="str" cm="1">
        <f t="array" ref="R140">IF($C140="","",SUMPRODUCT((TEXT($AE$5:$OE$5, "mmm")=LOWER(Q$3))*$AE140:$OE140))</f>
        <v/>
      </c>
      <c r="S140" s="34"/>
      <c r="T140" s="34" t="str" cm="1">
        <f t="array" ref="T140">IF($C140="","",SUMPRODUCT((TEXT($AE$5:$OE$5, "mmm")=LOWER(S$3))*$AE140:$OE140))</f>
        <v/>
      </c>
      <c r="U140" s="34"/>
      <c r="V140" s="34" t="str" cm="1">
        <f t="array" ref="V140">IF($C140="","",SUMPRODUCT((TEXT($AE$5:$OE$5, "mmm")=LOWER(U$3))*$AE140:$OE140))</f>
        <v/>
      </c>
      <c r="W140" s="34"/>
      <c r="X140" s="34" t="str" cm="1">
        <f t="array" ref="X140">IF($C140="","",SUMPRODUCT((TEXT($AE$5:$OE$5, "mmm")=LOWER(W$3))*$AE140:$OE140))</f>
        <v/>
      </c>
      <c r="Y140" s="34"/>
      <c r="Z140" s="34" t="str" cm="1">
        <f t="array" ref="Z140">IF($C140="","",SUMPRODUCT((TEXT($AE$5:$OE$5, "mmm")=LOWER(Y$3))*$AE140:$OE140))</f>
        <v/>
      </c>
      <c r="AA140" s="34"/>
      <c r="AB140" s="34" t="str" cm="1">
        <f t="array" ref="AB140">IF($C140="","",SUMPRODUCT((TEXT($AE$5:$OE$5, "mmm")=LOWER(AA$3))*$AE140:$OE140))</f>
        <v/>
      </c>
      <c r="AC140" s="34"/>
      <c r="AD140" s="34" t="str" cm="1">
        <f t="array" ref="AD140">IF($C140="","",SUMPRODUCT((TEXT($AE$5:$OE$5, "mmm")=LOWER(AC$3))*$AE140:$OE140))</f>
        <v/>
      </c>
      <c r="OE140" s="49"/>
    </row>
    <row r="141" spans="1:395">
      <c r="A141" s="35"/>
      <c r="C141" s="2" t="str">
        <f>IF(ISBLANK($B141),"",_xlfn.XLOOKUP($B141,Task_No,Project!$C$3:$C$144,"INVALID TASK"))</f>
        <v/>
      </c>
      <c r="E141" s="7" t="str">
        <f t="shared" si="19"/>
        <v/>
      </c>
      <c r="F141" s="7" t="str">
        <f t="shared" si="20"/>
        <v/>
      </c>
      <c r="G141" s="34"/>
      <c r="H141" s="34" t="str" cm="1">
        <f t="array" ref="H141">IF($C141="","",SUMPRODUCT((TEXT($AE$5:$OE$5, "mmm")=LOWER(G$3))*$AE141:$OE141))</f>
        <v/>
      </c>
      <c r="I141" s="34"/>
      <c r="J141" s="34" t="str" cm="1">
        <f t="array" ref="J141">IF($C141="","",SUMPRODUCT((TEXT($AE$5:$OE$5, "mmm")=LOWER(I$3))*$AE141:$OE141))</f>
        <v/>
      </c>
      <c r="K141" s="34"/>
      <c r="L141" s="34" t="str" cm="1">
        <f t="array" ref="L141">IF($C141="","",SUMPRODUCT((TEXT($AE$5:$OE$5, "mmm")=LOWER(K$3))*$AE141:$OE141))</f>
        <v/>
      </c>
      <c r="M141" s="34"/>
      <c r="N141" s="34" t="str" cm="1">
        <f t="array" ref="N141">IF($C141="","",SUMPRODUCT((TEXT($AE$5:$OE$5, "mmm")=LOWER(M$3))*$AE141:$OE141))</f>
        <v/>
      </c>
      <c r="O141" s="34"/>
      <c r="P141" s="34" t="str" cm="1">
        <f t="array" ref="P141">IF($C141="","",SUMPRODUCT((TEXT($AE$5:$OE$5, "mmm")=LOWER(O$3))*$AE141:$OE141))</f>
        <v/>
      </c>
      <c r="Q141" s="34"/>
      <c r="R141" s="34" t="str" cm="1">
        <f t="array" ref="R141">IF($C141="","",SUMPRODUCT((TEXT($AE$5:$OE$5, "mmm")=LOWER(Q$3))*$AE141:$OE141))</f>
        <v/>
      </c>
      <c r="S141" s="34"/>
      <c r="T141" s="34" t="str" cm="1">
        <f t="array" ref="T141">IF($C141="","",SUMPRODUCT((TEXT($AE$5:$OE$5, "mmm")=LOWER(S$3))*$AE141:$OE141))</f>
        <v/>
      </c>
      <c r="U141" s="34"/>
      <c r="V141" s="34" t="str" cm="1">
        <f t="array" ref="V141">IF($C141="","",SUMPRODUCT((TEXT($AE$5:$OE$5, "mmm")=LOWER(U$3))*$AE141:$OE141))</f>
        <v/>
      </c>
      <c r="W141" s="34"/>
      <c r="X141" s="34" t="str" cm="1">
        <f t="array" ref="X141">IF($C141="","",SUMPRODUCT((TEXT($AE$5:$OE$5, "mmm")=LOWER(W$3))*$AE141:$OE141))</f>
        <v/>
      </c>
      <c r="Y141" s="34"/>
      <c r="Z141" s="34" t="str" cm="1">
        <f t="array" ref="Z141">IF($C141="","",SUMPRODUCT((TEXT($AE$5:$OE$5, "mmm")=LOWER(Y$3))*$AE141:$OE141))</f>
        <v/>
      </c>
      <c r="AA141" s="34"/>
      <c r="AB141" s="34" t="str" cm="1">
        <f t="array" ref="AB141">IF($C141="","",SUMPRODUCT((TEXT($AE$5:$OE$5, "mmm")=LOWER(AA$3))*$AE141:$OE141))</f>
        <v/>
      </c>
      <c r="AC141" s="34"/>
      <c r="AD141" s="34" t="str" cm="1">
        <f t="array" ref="AD141">IF($C141="","",SUMPRODUCT((TEXT($AE$5:$OE$5, "mmm")=LOWER(AC$3))*$AE141:$OE141))</f>
        <v/>
      </c>
      <c r="OE141" s="49"/>
    </row>
    <row r="142" spans="1:395">
      <c r="A142" s="35"/>
      <c r="C142" s="2" t="str">
        <f>IF(ISBLANK($B142),"",_xlfn.XLOOKUP($B142,Task_No,Project!$C$3:$C$144,"INVALID TASK"))</f>
        <v/>
      </c>
      <c r="E142" s="7" t="str">
        <f t="shared" si="19"/>
        <v/>
      </c>
      <c r="F142" s="7" t="str">
        <f t="shared" si="20"/>
        <v/>
      </c>
      <c r="G142" s="34"/>
      <c r="H142" s="34" t="str" cm="1">
        <f t="array" ref="H142">IF($C142="","",SUMPRODUCT((TEXT($AE$5:$OE$5, "mmm")=LOWER(G$3))*$AE142:$OE142))</f>
        <v/>
      </c>
      <c r="I142" s="34"/>
      <c r="J142" s="34" t="str" cm="1">
        <f t="array" ref="J142">IF($C142="","",SUMPRODUCT((TEXT($AE$5:$OE$5, "mmm")=LOWER(I$3))*$AE142:$OE142))</f>
        <v/>
      </c>
      <c r="K142" s="34"/>
      <c r="L142" s="34" t="str" cm="1">
        <f t="array" ref="L142">IF($C142="","",SUMPRODUCT((TEXT($AE$5:$OE$5, "mmm")=LOWER(K$3))*$AE142:$OE142))</f>
        <v/>
      </c>
      <c r="M142" s="34"/>
      <c r="N142" s="34" t="str" cm="1">
        <f t="array" ref="N142">IF($C142="","",SUMPRODUCT((TEXT($AE$5:$OE$5, "mmm")=LOWER(M$3))*$AE142:$OE142))</f>
        <v/>
      </c>
      <c r="O142" s="34"/>
      <c r="P142" s="34" t="str" cm="1">
        <f t="array" ref="P142">IF($C142="","",SUMPRODUCT((TEXT($AE$5:$OE$5, "mmm")=LOWER(O$3))*$AE142:$OE142))</f>
        <v/>
      </c>
      <c r="Q142" s="34"/>
      <c r="R142" s="34" t="str" cm="1">
        <f t="array" ref="R142">IF($C142="","",SUMPRODUCT((TEXT($AE$5:$OE$5, "mmm")=LOWER(Q$3))*$AE142:$OE142))</f>
        <v/>
      </c>
      <c r="S142" s="34"/>
      <c r="T142" s="34" t="str" cm="1">
        <f t="array" ref="T142">IF($C142="","",SUMPRODUCT((TEXT($AE$5:$OE$5, "mmm")=LOWER(S$3))*$AE142:$OE142))</f>
        <v/>
      </c>
      <c r="U142" s="34"/>
      <c r="V142" s="34" t="str" cm="1">
        <f t="array" ref="V142">IF($C142="","",SUMPRODUCT((TEXT($AE$5:$OE$5, "mmm")=LOWER(U$3))*$AE142:$OE142))</f>
        <v/>
      </c>
      <c r="W142" s="34"/>
      <c r="X142" s="34" t="str" cm="1">
        <f t="array" ref="X142">IF($C142="","",SUMPRODUCT((TEXT($AE$5:$OE$5, "mmm")=LOWER(W$3))*$AE142:$OE142))</f>
        <v/>
      </c>
      <c r="Y142" s="34"/>
      <c r="Z142" s="34" t="str" cm="1">
        <f t="array" ref="Z142">IF($C142="","",SUMPRODUCT((TEXT($AE$5:$OE$5, "mmm")=LOWER(Y$3))*$AE142:$OE142))</f>
        <v/>
      </c>
      <c r="AA142" s="34"/>
      <c r="AB142" s="34" t="str" cm="1">
        <f t="array" ref="AB142">IF($C142="","",SUMPRODUCT((TEXT($AE$5:$OE$5, "mmm")=LOWER(AA$3))*$AE142:$OE142))</f>
        <v/>
      </c>
      <c r="AC142" s="34"/>
      <c r="AD142" s="34" t="str" cm="1">
        <f t="array" ref="AD142">IF($C142="","",SUMPRODUCT((TEXT($AE$5:$OE$5, "mmm")=LOWER(AC$3))*$AE142:$OE142))</f>
        <v/>
      </c>
      <c r="OE142" s="49"/>
    </row>
    <row r="143" spans="1:395">
      <c r="A143" s="35"/>
      <c r="C143" s="2" t="str">
        <f>IF(ISBLANK($B143),"",_xlfn.XLOOKUP($B143,Task_No,Project!$C$3:$C$144,"INVALID TASK"))</f>
        <v/>
      </c>
      <c r="E143" s="7" t="str">
        <f t="shared" si="19"/>
        <v/>
      </c>
      <c r="F143" s="7" t="str">
        <f t="shared" si="20"/>
        <v/>
      </c>
      <c r="G143" s="34"/>
      <c r="H143" s="34" t="str" cm="1">
        <f t="array" ref="H143">IF($C143="","",SUMPRODUCT((TEXT($AE$5:$OE$5, "mmm")=LOWER(G$3))*$AE143:$OE143))</f>
        <v/>
      </c>
      <c r="I143" s="34"/>
      <c r="J143" s="34" t="str" cm="1">
        <f t="array" ref="J143">IF($C143="","",SUMPRODUCT((TEXT($AE$5:$OE$5, "mmm")=LOWER(I$3))*$AE143:$OE143))</f>
        <v/>
      </c>
      <c r="K143" s="34"/>
      <c r="L143" s="34" t="str" cm="1">
        <f t="array" ref="L143">IF($C143="","",SUMPRODUCT((TEXT($AE$5:$OE$5, "mmm")=LOWER(K$3))*$AE143:$OE143))</f>
        <v/>
      </c>
      <c r="M143" s="34"/>
      <c r="N143" s="34" t="str" cm="1">
        <f t="array" ref="N143">IF($C143="","",SUMPRODUCT((TEXT($AE$5:$OE$5, "mmm")=LOWER(M$3))*$AE143:$OE143))</f>
        <v/>
      </c>
      <c r="O143" s="34"/>
      <c r="P143" s="34" t="str" cm="1">
        <f t="array" ref="P143">IF($C143="","",SUMPRODUCT((TEXT($AE$5:$OE$5, "mmm")=LOWER(O$3))*$AE143:$OE143))</f>
        <v/>
      </c>
      <c r="Q143" s="34"/>
      <c r="R143" s="34" t="str" cm="1">
        <f t="array" ref="R143">IF($C143="","",SUMPRODUCT((TEXT($AE$5:$OE$5, "mmm")=LOWER(Q$3))*$AE143:$OE143))</f>
        <v/>
      </c>
      <c r="S143" s="34"/>
      <c r="T143" s="34" t="str" cm="1">
        <f t="array" ref="T143">IF($C143="","",SUMPRODUCT((TEXT($AE$5:$OE$5, "mmm")=LOWER(S$3))*$AE143:$OE143))</f>
        <v/>
      </c>
      <c r="U143" s="34"/>
      <c r="V143" s="34" t="str" cm="1">
        <f t="array" ref="V143">IF($C143="","",SUMPRODUCT((TEXT($AE$5:$OE$5, "mmm")=LOWER(U$3))*$AE143:$OE143))</f>
        <v/>
      </c>
      <c r="W143" s="34"/>
      <c r="X143" s="34" t="str" cm="1">
        <f t="array" ref="X143">IF($C143="","",SUMPRODUCT((TEXT($AE$5:$OE$5, "mmm")=LOWER(W$3))*$AE143:$OE143))</f>
        <v/>
      </c>
      <c r="Y143" s="34"/>
      <c r="Z143" s="34" t="str" cm="1">
        <f t="array" ref="Z143">IF($C143="","",SUMPRODUCT((TEXT($AE$5:$OE$5, "mmm")=LOWER(Y$3))*$AE143:$OE143))</f>
        <v/>
      </c>
      <c r="AA143" s="34"/>
      <c r="AB143" s="34" t="str" cm="1">
        <f t="array" ref="AB143">IF($C143="","",SUMPRODUCT((TEXT($AE$5:$OE$5, "mmm")=LOWER(AA$3))*$AE143:$OE143))</f>
        <v/>
      </c>
      <c r="AC143" s="34"/>
      <c r="AD143" s="34" t="str" cm="1">
        <f t="array" ref="AD143">IF($C143="","",SUMPRODUCT((TEXT($AE$5:$OE$5, "mmm")=LOWER(AC$3))*$AE143:$OE143))</f>
        <v/>
      </c>
      <c r="OE143" s="49"/>
    </row>
    <row r="144" spans="1:395">
      <c r="A144" s="35"/>
      <c r="C144" s="2" t="str">
        <f>IF(ISBLANK($B144),"",_xlfn.XLOOKUP($B144,Task_No,Project!$C$3:$C$144,"INVALID TASK"))</f>
        <v/>
      </c>
      <c r="E144" s="7" t="str">
        <f t="shared" si="19"/>
        <v/>
      </c>
      <c r="F144" s="7" t="str">
        <f t="shared" si="20"/>
        <v/>
      </c>
      <c r="G144" s="34"/>
      <c r="H144" s="34" t="str" cm="1">
        <f t="array" ref="H144">IF($C144="","",SUMPRODUCT((TEXT($AE$5:$OE$5, "mmm")=LOWER(G$3))*$AE144:$OE144))</f>
        <v/>
      </c>
      <c r="I144" s="34"/>
      <c r="J144" s="34" t="str" cm="1">
        <f t="array" ref="J144">IF($C144="","",SUMPRODUCT((TEXT($AE$5:$OE$5, "mmm")=LOWER(I$3))*$AE144:$OE144))</f>
        <v/>
      </c>
      <c r="K144" s="34"/>
      <c r="L144" s="34" t="str" cm="1">
        <f t="array" ref="L144">IF($C144="","",SUMPRODUCT((TEXT($AE$5:$OE$5, "mmm")=LOWER(K$3))*$AE144:$OE144))</f>
        <v/>
      </c>
      <c r="M144" s="34"/>
      <c r="N144" s="34" t="str" cm="1">
        <f t="array" ref="N144">IF($C144="","",SUMPRODUCT((TEXT($AE$5:$OE$5, "mmm")=LOWER(M$3))*$AE144:$OE144))</f>
        <v/>
      </c>
      <c r="O144" s="34"/>
      <c r="P144" s="34" t="str" cm="1">
        <f t="array" ref="P144">IF($C144="","",SUMPRODUCT((TEXT($AE$5:$OE$5, "mmm")=LOWER(O$3))*$AE144:$OE144))</f>
        <v/>
      </c>
      <c r="Q144" s="34"/>
      <c r="R144" s="34" t="str" cm="1">
        <f t="array" ref="R144">IF($C144="","",SUMPRODUCT((TEXT($AE$5:$OE$5, "mmm")=LOWER(Q$3))*$AE144:$OE144))</f>
        <v/>
      </c>
      <c r="S144" s="34"/>
      <c r="T144" s="34" t="str" cm="1">
        <f t="array" ref="T144">IF($C144="","",SUMPRODUCT((TEXT($AE$5:$OE$5, "mmm")=LOWER(S$3))*$AE144:$OE144))</f>
        <v/>
      </c>
      <c r="U144" s="34"/>
      <c r="V144" s="34" t="str" cm="1">
        <f t="array" ref="V144">IF($C144="","",SUMPRODUCT((TEXT($AE$5:$OE$5, "mmm")=LOWER(U$3))*$AE144:$OE144))</f>
        <v/>
      </c>
      <c r="W144" s="34"/>
      <c r="X144" s="34" t="str" cm="1">
        <f t="array" ref="X144">IF($C144="","",SUMPRODUCT((TEXT($AE$5:$OE$5, "mmm")=LOWER(W$3))*$AE144:$OE144))</f>
        <v/>
      </c>
      <c r="Y144" s="34"/>
      <c r="Z144" s="34" t="str" cm="1">
        <f t="array" ref="Z144">IF($C144="","",SUMPRODUCT((TEXT($AE$5:$OE$5, "mmm")=LOWER(Y$3))*$AE144:$OE144))</f>
        <v/>
      </c>
      <c r="AA144" s="34"/>
      <c r="AB144" s="34" t="str" cm="1">
        <f t="array" ref="AB144">IF($C144="","",SUMPRODUCT((TEXT($AE$5:$OE$5, "mmm")=LOWER(AA$3))*$AE144:$OE144))</f>
        <v/>
      </c>
      <c r="AC144" s="34"/>
      <c r="AD144" s="34" t="str" cm="1">
        <f t="array" ref="AD144">IF($C144="","",SUMPRODUCT((TEXT($AE$5:$OE$5, "mmm")=LOWER(AC$3))*$AE144:$OE144))</f>
        <v/>
      </c>
      <c r="OE144" s="49"/>
    </row>
    <row r="145" spans="1:395">
      <c r="A145" s="35"/>
      <c r="C145" s="2" t="str">
        <f>IF(ISBLANK($B145),"",_xlfn.XLOOKUP($B145,Task_No,Project!$C$3:$C$144,"INVALID TASK"))</f>
        <v/>
      </c>
      <c r="E145" s="7" t="str">
        <f t="shared" si="19"/>
        <v/>
      </c>
      <c r="F145" s="7" t="str">
        <f t="shared" si="20"/>
        <v/>
      </c>
      <c r="G145" s="34"/>
      <c r="H145" s="34" t="str" cm="1">
        <f t="array" ref="H145">IF($C145="","",SUMPRODUCT((TEXT($AE$5:$OE$5, "mmm")=LOWER(G$3))*$AE145:$OE145))</f>
        <v/>
      </c>
      <c r="I145" s="34"/>
      <c r="J145" s="34" t="str" cm="1">
        <f t="array" ref="J145">IF($C145="","",SUMPRODUCT((TEXT($AE$5:$OE$5, "mmm")=LOWER(I$3))*$AE145:$OE145))</f>
        <v/>
      </c>
      <c r="K145" s="34"/>
      <c r="L145" s="34" t="str" cm="1">
        <f t="array" ref="L145">IF($C145="","",SUMPRODUCT((TEXT($AE$5:$OE$5, "mmm")=LOWER(K$3))*$AE145:$OE145))</f>
        <v/>
      </c>
      <c r="M145" s="34"/>
      <c r="N145" s="34" t="str" cm="1">
        <f t="array" ref="N145">IF($C145="","",SUMPRODUCT((TEXT($AE$5:$OE$5, "mmm")=LOWER(M$3))*$AE145:$OE145))</f>
        <v/>
      </c>
      <c r="O145" s="34"/>
      <c r="P145" s="34" t="str" cm="1">
        <f t="array" ref="P145">IF($C145="","",SUMPRODUCT((TEXT($AE$5:$OE$5, "mmm")=LOWER(O$3))*$AE145:$OE145))</f>
        <v/>
      </c>
      <c r="Q145" s="34"/>
      <c r="R145" s="34" t="str" cm="1">
        <f t="array" ref="R145">IF($C145="","",SUMPRODUCT((TEXT($AE$5:$OE$5, "mmm")=LOWER(Q$3))*$AE145:$OE145))</f>
        <v/>
      </c>
      <c r="S145" s="34"/>
      <c r="T145" s="34" t="str" cm="1">
        <f t="array" ref="T145">IF($C145="","",SUMPRODUCT((TEXT($AE$5:$OE$5, "mmm")=LOWER(S$3))*$AE145:$OE145))</f>
        <v/>
      </c>
      <c r="U145" s="34"/>
      <c r="V145" s="34" t="str" cm="1">
        <f t="array" ref="V145">IF($C145="","",SUMPRODUCT((TEXT($AE$5:$OE$5, "mmm")=LOWER(U$3))*$AE145:$OE145))</f>
        <v/>
      </c>
      <c r="W145" s="34"/>
      <c r="X145" s="34" t="str" cm="1">
        <f t="array" ref="X145">IF($C145="","",SUMPRODUCT((TEXT($AE$5:$OE$5, "mmm")=LOWER(W$3))*$AE145:$OE145))</f>
        <v/>
      </c>
      <c r="Y145" s="34"/>
      <c r="Z145" s="34" t="str" cm="1">
        <f t="array" ref="Z145">IF($C145="","",SUMPRODUCT((TEXT($AE$5:$OE$5, "mmm")=LOWER(Y$3))*$AE145:$OE145))</f>
        <v/>
      </c>
      <c r="AA145" s="34"/>
      <c r="AB145" s="34" t="str" cm="1">
        <f t="array" ref="AB145">IF($C145="","",SUMPRODUCT((TEXT($AE$5:$OE$5, "mmm")=LOWER(AA$3))*$AE145:$OE145))</f>
        <v/>
      </c>
      <c r="AC145" s="34"/>
      <c r="AD145" s="34" t="str" cm="1">
        <f t="array" ref="AD145">IF($C145="","",SUMPRODUCT((TEXT($AE$5:$OE$5, "mmm")=LOWER(AC$3))*$AE145:$OE145))</f>
        <v/>
      </c>
      <c r="OE145" s="49"/>
    </row>
    <row r="146" spans="1:395">
      <c r="A146" s="35"/>
      <c r="C146" s="2" t="str">
        <f>IF(ISBLANK($B146),"",_xlfn.XLOOKUP($B146,Task_No,Project!$C$3:$C$144,"INVALID TASK"))</f>
        <v/>
      </c>
      <c r="E146" s="7" t="str">
        <f t="shared" ref="E146:E150" si="21">IF(C146="","",SUM($G146,$I146,$K146,$M146,$O146,$Q146,$S146,$U146,$W146,$Y146,$AA146,$AC146))</f>
        <v/>
      </c>
      <c r="F146" s="7" t="str">
        <f t="shared" ref="F146:F150" si="22">IF(C146 = "", "", SUM($H146,$J146,$L146,$N146,$P146,$R146,$T146,$V146,$X146,$Z146,$AB146,$AD146))</f>
        <v/>
      </c>
      <c r="G146" s="34"/>
      <c r="H146" s="34" t="str" cm="1">
        <f t="array" ref="H146">IF($C146="","",SUMPRODUCT((TEXT($AE$5:$OE$5, "mmm")=LOWER(G$3))*$AE146:$OE146))</f>
        <v/>
      </c>
      <c r="I146" s="34"/>
      <c r="J146" s="34" t="str" cm="1">
        <f t="array" ref="J146">IF($C146="","",SUMPRODUCT((TEXT($AE$5:$OE$5, "mmm")=LOWER(I$3))*$AE146:$OE146))</f>
        <v/>
      </c>
      <c r="K146" s="34"/>
      <c r="L146" s="34" t="str" cm="1">
        <f t="array" ref="L146">IF($C146="","",SUMPRODUCT((TEXT($AE$5:$OE$5, "mmm")=LOWER(K$3))*$AE146:$OE146))</f>
        <v/>
      </c>
      <c r="M146" s="34"/>
      <c r="N146" s="34" t="str" cm="1">
        <f t="array" ref="N146">IF($C146="","",SUMPRODUCT((TEXT($AE$5:$OE$5, "mmm")=LOWER(M$3))*$AE146:$OE146))</f>
        <v/>
      </c>
      <c r="O146" s="34"/>
      <c r="P146" s="34" t="str" cm="1">
        <f t="array" ref="P146">IF($C146="","",SUMPRODUCT((TEXT($AE$5:$OE$5, "mmm")=LOWER(O$3))*$AE146:$OE146))</f>
        <v/>
      </c>
      <c r="Q146" s="34"/>
      <c r="R146" s="34" t="str" cm="1">
        <f t="array" ref="R146">IF($C146="","",SUMPRODUCT((TEXT($AE$5:$OE$5, "mmm")=LOWER(Q$3))*$AE146:$OE146))</f>
        <v/>
      </c>
      <c r="S146" s="34"/>
      <c r="T146" s="34" t="str" cm="1">
        <f t="array" ref="T146">IF($C146="","",SUMPRODUCT((TEXT($AE$5:$OE$5, "mmm")=LOWER(S$3))*$AE146:$OE146))</f>
        <v/>
      </c>
      <c r="U146" s="34"/>
      <c r="V146" s="34" t="str" cm="1">
        <f t="array" ref="V146">IF($C146="","",SUMPRODUCT((TEXT($AE$5:$OE$5, "mmm")=LOWER(U$3))*$AE146:$OE146))</f>
        <v/>
      </c>
      <c r="W146" s="34"/>
      <c r="X146" s="34" t="str" cm="1">
        <f t="array" ref="X146">IF($C146="","",SUMPRODUCT((TEXT($AE$5:$OE$5, "mmm")=LOWER(W$3))*$AE146:$OE146))</f>
        <v/>
      </c>
      <c r="Y146" s="34"/>
      <c r="Z146" s="34" t="str" cm="1">
        <f t="array" ref="Z146">IF($C146="","",SUMPRODUCT((TEXT($AE$5:$OE$5, "mmm")=LOWER(Y$3))*$AE146:$OE146))</f>
        <v/>
      </c>
      <c r="AA146" s="34"/>
      <c r="AB146" s="34" t="str" cm="1">
        <f t="array" ref="AB146">IF($C146="","",SUMPRODUCT((TEXT($AE$5:$OE$5, "mmm")=LOWER(AA$3))*$AE146:$OE146))</f>
        <v/>
      </c>
      <c r="AC146" s="34"/>
      <c r="AD146" s="34" t="str" cm="1">
        <f t="array" ref="AD146">IF($C146="","",SUMPRODUCT((TEXT($AE$5:$OE$5, "mmm")=LOWER(AC$3))*$AE146:$OE146))</f>
        <v/>
      </c>
      <c r="OE146" s="49"/>
    </row>
    <row r="147" spans="1:395">
      <c r="A147" s="35"/>
      <c r="C147" s="2" t="str">
        <f>IF(ISBLANK($B147),"",_xlfn.XLOOKUP($B147,Task_No,Project!$C$3:$C$144,"INVALID TASK"))</f>
        <v/>
      </c>
      <c r="E147" s="7" t="str">
        <f t="shared" si="21"/>
        <v/>
      </c>
      <c r="F147" s="7" t="str">
        <f t="shared" si="22"/>
        <v/>
      </c>
      <c r="G147" s="34"/>
      <c r="H147" s="34" t="str" cm="1">
        <f t="array" ref="H147">IF($C147="","",SUMPRODUCT((TEXT($AE$5:$OE$5, "mmm")=LOWER(G$3))*$AE147:$OE147))</f>
        <v/>
      </c>
      <c r="I147" s="34"/>
      <c r="J147" s="34" t="str" cm="1">
        <f t="array" ref="J147">IF($C147="","",SUMPRODUCT((TEXT($AE$5:$OE$5, "mmm")=LOWER(I$3))*$AE147:$OE147))</f>
        <v/>
      </c>
      <c r="K147" s="34"/>
      <c r="L147" s="34" t="str" cm="1">
        <f t="array" ref="L147">IF($C147="","",SUMPRODUCT((TEXT($AE$5:$OE$5, "mmm")=LOWER(K$3))*$AE147:$OE147))</f>
        <v/>
      </c>
      <c r="M147" s="34"/>
      <c r="N147" s="34" t="str" cm="1">
        <f t="array" ref="N147">IF($C147="","",SUMPRODUCT((TEXT($AE$5:$OE$5, "mmm")=LOWER(M$3))*$AE147:$OE147))</f>
        <v/>
      </c>
      <c r="O147" s="34"/>
      <c r="P147" s="34" t="str" cm="1">
        <f t="array" ref="P147">IF($C147="","",SUMPRODUCT((TEXT($AE$5:$OE$5, "mmm")=LOWER(O$3))*$AE147:$OE147))</f>
        <v/>
      </c>
      <c r="Q147" s="34"/>
      <c r="R147" s="34" t="str" cm="1">
        <f t="array" ref="R147">IF($C147="","",SUMPRODUCT((TEXT($AE$5:$OE$5, "mmm")=LOWER(Q$3))*$AE147:$OE147))</f>
        <v/>
      </c>
      <c r="S147" s="34"/>
      <c r="T147" s="34" t="str" cm="1">
        <f t="array" ref="T147">IF($C147="","",SUMPRODUCT((TEXT($AE$5:$OE$5, "mmm")=LOWER(S$3))*$AE147:$OE147))</f>
        <v/>
      </c>
      <c r="U147" s="34"/>
      <c r="V147" s="34" t="str" cm="1">
        <f t="array" ref="V147">IF($C147="","",SUMPRODUCT((TEXT($AE$5:$OE$5, "mmm")=LOWER(U$3))*$AE147:$OE147))</f>
        <v/>
      </c>
      <c r="W147" s="34"/>
      <c r="X147" s="34" t="str" cm="1">
        <f t="array" ref="X147">IF($C147="","",SUMPRODUCT((TEXT($AE$5:$OE$5, "mmm")=LOWER(W$3))*$AE147:$OE147))</f>
        <v/>
      </c>
      <c r="Y147" s="34"/>
      <c r="Z147" s="34" t="str" cm="1">
        <f t="array" ref="Z147">IF($C147="","",SUMPRODUCT((TEXT($AE$5:$OE$5, "mmm")=LOWER(Y$3))*$AE147:$OE147))</f>
        <v/>
      </c>
      <c r="AA147" s="34"/>
      <c r="AB147" s="34" t="str" cm="1">
        <f t="array" ref="AB147">IF($C147="","",SUMPRODUCT((TEXT($AE$5:$OE$5, "mmm")=LOWER(AA$3))*$AE147:$OE147))</f>
        <v/>
      </c>
      <c r="AC147" s="34"/>
      <c r="AD147" s="34" t="str" cm="1">
        <f t="array" ref="AD147">IF($C147="","",SUMPRODUCT((TEXT($AE$5:$OE$5, "mmm")=LOWER(AC$3))*$AE147:$OE147))</f>
        <v/>
      </c>
      <c r="OE147" s="49"/>
    </row>
    <row r="148" spans="1:395">
      <c r="A148" s="35"/>
      <c r="C148" s="2" t="str">
        <f>IF(ISBLANK($B148),"",_xlfn.XLOOKUP($B148,Task_No,Project!$C$3:$C$144,"INVALID TASK"))</f>
        <v/>
      </c>
      <c r="E148" s="7" t="str">
        <f t="shared" si="21"/>
        <v/>
      </c>
      <c r="F148" s="7" t="str">
        <f t="shared" si="22"/>
        <v/>
      </c>
      <c r="G148" s="34"/>
      <c r="H148" s="34" t="str" cm="1">
        <f t="array" ref="H148">IF($C148="","",SUMPRODUCT((TEXT($AE$5:$OE$5, "mmm")=LOWER(G$3))*$AE148:$OE148))</f>
        <v/>
      </c>
      <c r="I148" s="34"/>
      <c r="J148" s="34" t="str" cm="1">
        <f t="array" ref="J148">IF($C148="","",SUMPRODUCT((TEXT($AE$5:$OE$5, "mmm")=LOWER(I$3))*$AE148:$OE148))</f>
        <v/>
      </c>
      <c r="K148" s="34"/>
      <c r="L148" s="34" t="str" cm="1">
        <f t="array" ref="L148">IF($C148="","",SUMPRODUCT((TEXT($AE$5:$OE$5, "mmm")=LOWER(K$3))*$AE148:$OE148))</f>
        <v/>
      </c>
      <c r="M148" s="34"/>
      <c r="N148" s="34" t="str" cm="1">
        <f t="array" ref="N148">IF($C148="","",SUMPRODUCT((TEXT($AE$5:$OE$5, "mmm")=LOWER(M$3))*$AE148:$OE148))</f>
        <v/>
      </c>
      <c r="O148" s="34"/>
      <c r="P148" s="34" t="str" cm="1">
        <f t="array" ref="P148">IF($C148="","",SUMPRODUCT((TEXT($AE$5:$OE$5, "mmm")=LOWER(O$3))*$AE148:$OE148))</f>
        <v/>
      </c>
      <c r="Q148" s="34"/>
      <c r="R148" s="34" t="str" cm="1">
        <f t="array" ref="R148">IF($C148="","",SUMPRODUCT((TEXT($AE$5:$OE$5, "mmm")=LOWER(Q$3))*$AE148:$OE148))</f>
        <v/>
      </c>
      <c r="S148" s="34"/>
      <c r="T148" s="34" t="str" cm="1">
        <f t="array" ref="T148">IF($C148="","",SUMPRODUCT((TEXT($AE$5:$OE$5, "mmm")=LOWER(S$3))*$AE148:$OE148))</f>
        <v/>
      </c>
      <c r="U148" s="34"/>
      <c r="V148" s="34" t="str" cm="1">
        <f t="array" ref="V148">IF($C148="","",SUMPRODUCT((TEXT($AE$5:$OE$5, "mmm")=LOWER(U$3))*$AE148:$OE148))</f>
        <v/>
      </c>
      <c r="W148" s="34"/>
      <c r="X148" s="34" t="str" cm="1">
        <f t="array" ref="X148">IF($C148="","",SUMPRODUCT((TEXT($AE$5:$OE$5, "mmm")=LOWER(W$3))*$AE148:$OE148))</f>
        <v/>
      </c>
      <c r="Y148" s="34"/>
      <c r="Z148" s="34" t="str" cm="1">
        <f t="array" ref="Z148">IF($C148="","",SUMPRODUCT((TEXT($AE$5:$OE$5, "mmm")=LOWER(Y$3))*$AE148:$OE148))</f>
        <v/>
      </c>
      <c r="AA148" s="34"/>
      <c r="AB148" s="34" t="str" cm="1">
        <f t="array" ref="AB148">IF($C148="","",SUMPRODUCT((TEXT($AE$5:$OE$5, "mmm")=LOWER(AA$3))*$AE148:$OE148))</f>
        <v/>
      </c>
      <c r="AC148" s="34"/>
      <c r="AD148" s="34" t="str" cm="1">
        <f t="array" ref="AD148">IF($C148="","",SUMPRODUCT((TEXT($AE$5:$OE$5, "mmm")=LOWER(AC$3))*$AE148:$OE148))</f>
        <v/>
      </c>
      <c r="OE148" s="49"/>
    </row>
    <row r="149" spans="1:395">
      <c r="A149" s="35"/>
      <c r="C149" s="2" t="str">
        <f>IF(ISBLANK($B149),"",_xlfn.XLOOKUP($B149,Task_No,Project!$C$3:$C$144,"INVALID TASK"))</f>
        <v/>
      </c>
      <c r="E149" s="7" t="str">
        <f t="shared" si="21"/>
        <v/>
      </c>
      <c r="F149" s="7" t="str">
        <f t="shared" si="22"/>
        <v/>
      </c>
      <c r="G149" s="34"/>
      <c r="H149" s="34" t="str" cm="1">
        <f t="array" ref="H149">IF($C149="","",SUMPRODUCT((TEXT($AE$5:$OE$5, "mmm")=LOWER(G$3))*$AE149:$OE149))</f>
        <v/>
      </c>
      <c r="I149" s="34"/>
      <c r="J149" s="34" t="str" cm="1">
        <f t="array" ref="J149">IF($C149="","",SUMPRODUCT((TEXT($AE$5:$OE$5, "mmm")=LOWER(I$3))*$AE149:$OE149))</f>
        <v/>
      </c>
      <c r="K149" s="34"/>
      <c r="L149" s="34" t="str" cm="1">
        <f t="array" ref="L149">IF($C149="","",SUMPRODUCT((TEXT($AE$5:$OE$5, "mmm")=LOWER(K$3))*$AE149:$OE149))</f>
        <v/>
      </c>
      <c r="M149" s="34"/>
      <c r="N149" s="34" t="str" cm="1">
        <f t="array" ref="N149">IF($C149="","",SUMPRODUCT((TEXT($AE$5:$OE$5, "mmm")=LOWER(M$3))*$AE149:$OE149))</f>
        <v/>
      </c>
      <c r="O149" s="34"/>
      <c r="P149" s="34" t="str" cm="1">
        <f t="array" ref="P149">IF($C149="","",SUMPRODUCT((TEXT($AE$5:$OE$5, "mmm")=LOWER(O$3))*$AE149:$OE149))</f>
        <v/>
      </c>
      <c r="Q149" s="34"/>
      <c r="R149" s="34" t="str" cm="1">
        <f t="array" ref="R149">IF($C149="","",SUMPRODUCT((TEXT($AE$5:$OE$5, "mmm")=LOWER(Q$3))*$AE149:$OE149))</f>
        <v/>
      </c>
      <c r="S149" s="34"/>
      <c r="T149" s="34" t="str" cm="1">
        <f t="array" ref="T149">IF($C149="","",SUMPRODUCT((TEXT($AE$5:$OE$5, "mmm")=LOWER(S$3))*$AE149:$OE149))</f>
        <v/>
      </c>
      <c r="U149" s="34"/>
      <c r="V149" s="34" t="str" cm="1">
        <f t="array" ref="V149">IF($C149="","",SUMPRODUCT((TEXT($AE$5:$OE$5, "mmm")=LOWER(U$3))*$AE149:$OE149))</f>
        <v/>
      </c>
      <c r="W149" s="34"/>
      <c r="X149" s="34" t="str" cm="1">
        <f t="array" ref="X149">IF($C149="","",SUMPRODUCT((TEXT($AE$5:$OE$5, "mmm")=LOWER(W$3))*$AE149:$OE149))</f>
        <v/>
      </c>
      <c r="Y149" s="34"/>
      <c r="Z149" s="34" t="str" cm="1">
        <f t="array" ref="Z149">IF($C149="","",SUMPRODUCT((TEXT($AE$5:$OE$5, "mmm")=LOWER(Y$3))*$AE149:$OE149))</f>
        <v/>
      </c>
      <c r="AA149" s="34"/>
      <c r="AB149" s="34" t="str" cm="1">
        <f t="array" ref="AB149">IF($C149="","",SUMPRODUCT((TEXT($AE$5:$OE$5, "mmm")=LOWER(AA$3))*$AE149:$OE149))</f>
        <v/>
      </c>
      <c r="AC149" s="34"/>
      <c r="AD149" s="34" t="str" cm="1">
        <f t="array" ref="AD149">IF($C149="","",SUMPRODUCT((TEXT($AE$5:$OE$5, "mmm")=LOWER(AC$3))*$AE149:$OE149))</f>
        <v/>
      </c>
      <c r="OE149" s="49"/>
    </row>
    <row r="150" spans="1:395" ht="15" thickBot="1">
      <c r="A150" s="36"/>
      <c r="B150" s="50"/>
      <c r="C150" s="44" t="str">
        <f>IF(ISBLANK($B150),"",_xlfn.XLOOKUP($B150,Task_No,Project!$C$3:$C$144,"INVALID TASK"))</f>
        <v/>
      </c>
      <c r="D150" s="37"/>
      <c r="E150" s="38" t="str">
        <f t="shared" si="21"/>
        <v/>
      </c>
      <c r="F150" s="38" t="str">
        <f t="shared" si="22"/>
        <v/>
      </c>
      <c r="G150" s="45"/>
      <c r="H150" s="45" t="str" cm="1">
        <f t="array" ref="H150">IF($C150="","",SUMPRODUCT((TEXT($AE$5:$OE$5, "mmm")=LOWER(G$3))*$AE150:$OE150))</f>
        <v/>
      </c>
      <c r="I150" s="45"/>
      <c r="J150" s="45" t="str" cm="1">
        <f t="array" ref="J150">IF($C150="","",SUMPRODUCT((TEXT($AE$5:$OE$5, "mmm")=LOWER(I$3))*$AE150:$OE150))</f>
        <v/>
      </c>
      <c r="K150" s="45"/>
      <c r="L150" s="45" t="str" cm="1">
        <f t="array" ref="L150">IF($C150="","",SUMPRODUCT((TEXT($AE$5:$OE$5, "mmm")=LOWER(K$3))*$AE150:$OE150))</f>
        <v/>
      </c>
      <c r="M150" s="45"/>
      <c r="N150" s="45" t="str" cm="1">
        <f t="array" ref="N150">IF($C150="","",SUMPRODUCT((TEXT($AE$5:$OE$5, "mmm")=LOWER(M$3))*$AE150:$OE150))</f>
        <v/>
      </c>
      <c r="O150" s="45"/>
      <c r="P150" s="45" t="str" cm="1">
        <f t="array" ref="P150">IF($C150="","",SUMPRODUCT((TEXT($AE$5:$OE$5, "mmm")=LOWER(O$3))*$AE150:$OE150))</f>
        <v/>
      </c>
      <c r="Q150" s="45"/>
      <c r="R150" s="45" t="str" cm="1">
        <f t="array" ref="R150">IF($C150="","",SUMPRODUCT((TEXT($AE$5:$OE$5, "mmm")=LOWER(Q$3))*$AE150:$OE150))</f>
        <v/>
      </c>
      <c r="S150" s="45"/>
      <c r="T150" s="45" t="str" cm="1">
        <f t="array" ref="T150">IF($C150="","",SUMPRODUCT((TEXT($AE$5:$OE$5, "mmm")=LOWER(S$3))*$AE150:$OE150))</f>
        <v/>
      </c>
      <c r="U150" s="45"/>
      <c r="V150" s="45" t="str" cm="1">
        <f t="array" ref="V150">IF($C150="","",SUMPRODUCT((TEXT($AE$5:$OE$5, "mmm")=LOWER(U$3))*$AE150:$OE150))</f>
        <v/>
      </c>
      <c r="W150" s="45"/>
      <c r="X150" s="45" t="str" cm="1">
        <f t="array" ref="X150">IF($C150="","",SUMPRODUCT((TEXT($AE$5:$OE$5, "mmm")=LOWER(W$3))*$AE150:$OE150))</f>
        <v/>
      </c>
      <c r="Y150" s="45"/>
      <c r="Z150" s="45" t="str" cm="1">
        <f t="array" ref="Z150">IF($C150="","",SUMPRODUCT((TEXT($AE$5:$OE$5, "mmm")=LOWER(Y$3))*$AE150:$OE150))</f>
        <v/>
      </c>
      <c r="AA150" s="45"/>
      <c r="AB150" s="45" t="str" cm="1">
        <f t="array" ref="AB150">IF($C150="","",SUMPRODUCT((TEXT($AE$5:$OE$5, "mmm")=LOWER(AA$3))*$AE150:$OE150))</f>
        <v/>
      </c>
      <c r="AC150" s="45"/>
      <c r="AD150" s="45" t="str" cm="1">
        <f t="array" ref="AD150">IF($C150="","",SUMPRODUCT((TEXT($AE$5:$OE$5, "mmm")=LOWER(AC$3))*$AE150:$OE150))</f>
        <v/>
      </c>
      <c r="AE150" s="51"/>
      <c r="AF150" s="51"/>
      <c r="AG150" s="51"/>
      <c r="AH150" s="51"/>
      <c r="AI150" s="51"/>
      <c r="AJ150" s="51"/>
      <c r="AK150" s="51"/>
      <c r="AL150" s="51"/>
      <c r="AM150" s="51"/>
      <c r="AN150" s="51"/>
      <c r="AO150" s="51"/>
      <c r="AP150" s="51"/>
      <c r="AQ150" s="51"/>
      <c r="AR150" s="51"/>
      <c r="AS150" s="51"/>
      <c r="AT150" s="51"/>
      <c r="AU150" s="51"/>
      <c r="AV150" s="51"/>
      <c r="AW150" s="51"/>
      <c r="AX150" s="51"/>
      <c r="AY150" s="51"/>
      <c r="AZ150" s="51"/>
      <c r="BA150" s="5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s="51"/>
      <c r="CE150" s="51"/>
      <c r="CF150" s="51"/>
      <c r="CG150" s="51"/>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51"/>
      <c r="DE150" s="51"/>
      <c r="DF150" s="51"/>
      <c r="DG150" s="51"/>
      <c r="DH150" s="51"/>
      <c r="DI150" s="51"/>
      <c r="DJ150" s="51"/>
      <c r="DK150" s="51"/>
      <c r="DL150" s="51"/>
      <c r="DM150" s="51"/>
      <c r="DN150" s="51"/>
      <c r="DO150" s="51"/>
      <c r="DP150" s="51"/>
      <c r="DQ150" s="51"/>
      <c r="DR150" s="51"/>
      <c r="DS150" s="51"/>
      <c r="DT150" s="51"/>
      <c r="DU150" s="51"/>
      <c r="DV150" s="51"/>
      <c r="DW150" s="51"/>
      <c r="DX150" s="51"/>
      <c r="DY150" s="51"/>
      <c r="DZ150" s="51"/>
      <c r="EA150" s="51"/>
      <c r="EB150" s="51"/>
      <c r="EC150" s="51"/>
      <c r="ED150" s="51"/>
      <c r="EE150" s="51"/>
      <c r="EF150" s="51"/>
      <c r="EG150" s="51"/>
      <c r="EH150" s="51"/>
      <c r="EI150" s="51"/>
      <c r="EJ150" s="51"/>
      <c r="EK150" s="51"/>
      <c r="EL150" s="51"/>
      <c r="EM150" s="51"/>
      <c r="EN150" s="51"/>
      <c r="EO150" s="51"/>
      <c r="EP150" s="51"/>
      <c r="EQ150" s="51"/>
      <c r="ER150" s="51"/>
      <c r="ES150" s="51"/>
      <c r="ET150" s="51"/>
      <c r="EU150" s="51"/>
      <c r="EV150" s="51"/>
      <c r="EW150" s="51"/>
      <c r="EX150" s="51"/>
      <c r="EY150" s="51"/>
      <c r="EZ150" s="51"/>
      <c r="FA150" s="51"/>
      <c r="FB150" s="51"/>
      <c r="FC150" s="51"/>
      <c r="FD150" s="51"/>
      <c r="FE150" s="51"/>
      <c r="FF150" s="51"/>
      <c r="FG150" s="51"/>
      <c r="FH150" s="51"/>
      <c r="FI150" s="51"/>
      <c r="FJ150" s="51"/>
      <c r="FK150" s="51"/>
      <c r="FL150" s="51"/>
      <c r="FM150" s="51"/>
      <c r="FN150" s="51"/>
      <c r="FO150" s="51"/>
      <c r="FP150" s="51"/>
      <c r="FQ150" s="51"/>
      <c r="FR150" s="51"/>
      <c r="FS150" s="51"/>
      <c r="FT150" s="51"/>
      <c r="FU150" s="51"/>
      <c r="FV150" s="51"/>
      <c r="FW150" s="51"/>
      <c r="FX150" s="51"/>
      <c r="FY150" s="51"/>
      <c r="FZ150" s="51"/>
      <c r="GA150" s="51"/>
      <c r="GB150" s="51"/>
      <c r="GC150" s="51"/>
      <c r="GD150" s="51"/>
      <c r="GE150" s="51"/>
      <c r="GF150" s="51"/>
      <c r="GG150" s="51"/>
      <c r="GH150" s="51"/>
      <c r="GI150" s="51"/>
      <c r="GJ150" s="51"/>
      <c r="GK150" s="51"/>
      <c r="GL150" s="51"/>
      <c r="GM150" s="51"/>
      <c r="GN150" s="51"/>
      <c r="GO150" s="51"/>
      <c r="GP150" s="51"/>
      <c r="GQ150" s="51"/>
      <c r="GR150" s="51"/>
      <c r="GS150" s="51"/>
      <c r="GT150" s="51"/>
      <c r="GU150" s="51"/>
      <c r="GV150" s="51"/>
      <c r="GW150" s="51"/>
      <c r="GX150" s="51"/>
      <c r="GY150" s="51"/>
      <c r="GZ150" s="51"/>
      <c r="HA150" s="51"/>
      <c r="HB150" s="51"/>
      <c r="HC150" s="51"/>
      <c r="HD150" s="51"/>
      <c r="HE150" s="51"/>
      <c r="HF150" s="51"/>
      <c r="HG150" s="51"/>
      <c r="HH150" s="51"/>
      <c r="HI150" s="51"/>
      <c r="HJ150" s="51"/>
      <c r="HK150" s="51"/>
      <c r="HL150" s="51"/>
      <c r="HM150" s="51"/>
      <c r="HN150" s="51"/>
      <c r="HO150" s="51"/>
      <c r="HP150" s="51"/>
      <c r="HQ150" s="51"/>
      <c r="HR150" s="51"/>
      <c r="HS150" s="51"/>
      <c r="HT150" s="51"/>
      <c r="HU150" s="51"/>
      <c r="HV150" s="51"/>
      <c r="HW150" s="51"/>
      <c r="HX150" s="51"/>
      <c r="HY150" s="51"/>
      <c r="HZ150" s="51"/>
      <c r="IA150" s="51"/>
      <c r="IB150" s="51"/>
      <c r="IC150" s="51"/>
      <c r="ID150" s="51"/>
      <c r="IE150" s="51"/>
      <c r="IF150" s="51"/>
      <c r="IG150" s="51"/>
      <c r="IH150" s="51"/>
      <c r="II150" s="51"/>
      <c r="IJ150" s="51"/>
      <c r="IK150" s="51"/>
      <c r="IL150" s="51"/>
      <c r="IM150" s="51"/>
      <c r="IN150" s="51"/>
      <c r="IO150" s="51"/>
      <c r="IP150" s="51"/>
      <c r="IQ150" s="51"/>
      <c r="IR150" s="51"/>
      <c r="IS150" s="51"/>
      <c r="IT150" s="51"/>
      <c r="IU150" s="51"/>
      <c r="IV150" s="51"/>
      <c r="IW150" s="51"/>
      <c r="IX150" s="51"/>
      <c r="IY150" s="51"/>
      <c r="IZ150" s="51"/>
      <c r="JA150" s="51"/>
      <c r="JB150" s="51"/>
      <c r="JC150" s="51"/>
      <c r="JD150" s="51"/>
      <c r="JE150" s="51"/>
      <c r="JF150" s="51"/>
      <c r="JG150" s="51"/>
      <c r="JH150" s="51"/>
      <c r="JI150" s="51"/>
      <c r="JJ150" s="51"/>
      <c r="JK150" s="51"/>
      <c r="JL150" s="51"/>
      <c r="JM150" s="51"/>
      <c r="JN150" s="51"/>
      <c r="JO150" s="51"/>
      <c r="JP150" s="51"/>
      <c r="JQ150" s="51"/>
      <c r="JR150" s="51"/>
      <c r="JS150" s="51"/>
      <c r="JT150" s="51"/>
      <c r="JU150" s="51"/>
      <c r="JV150" s="51"/>
      <c r="JW150" s="51"/>
      <c r="JX150" s="51"/>
      <c r="JY150" s="51"/>
      <c r="JZ150" s="51"/>
      <c r="KA150" s="51"/>
      <c r="KB150" s="51"/>
      <c r="KC150" s="51"/>
      <c r="KD150" s="51"/>
      <c r="KE150" s="51"/>
      <c r="KF150" s="51"/>
      <c r="KG150" s="51"/>
      <c r="KH150" s="51"/>
      <c r="KI150" s="51"/>
      <c r="KJ150" s="51"/>
      <c r="KK150" s="51"/>
      <c r="KL150" s="51"/>
      <c r="KM150" s="51"/>
      <c r="KN150" s="51"/>
      <c r="KO150" s="51"/>
      <c r="KP150" s="51"/>
      <c r="KQ150" s="51"/>
      <c r="KR150" s="51"/>
      <c r="KS150" s="51"/>
      <c r="KT150" s="51"/>
      <c r="KU150" s="51"/>
      <c r="KV150" s="51"/>
      <c r="KW150" s="51"/>
      <c r="KX150" s="51"/>
      <c r="KY150" s="51"/>
      <c r="KZ150" s="51"/>
      <c r="LA150" s="51"/>
      <c r="LB150" s="51"/>
      <c r="LC150" s="51"/>
      <c r="LD150" s="51"/>
      <c r="LE150" s="51"/>
      <c r="LF150" s="51"/>
      <c r="LG150" s="51"/>
      <c r="LH150" s="51"/>
      <c r="LI150" s="51"/>
      <c r="LJ150" s="51"/>
      <c r="LK150" s="51"/>
      <c r="LL150" s="51"/>
      <c r="LM150" s="51"/>
      <c r="LN150" s="51"/>
      <c r="LO150" s="51"/>
      <c r="LP150" s="51"/>
      <c r="LQ150" s="51"/>
      <c r="LR150" s="51"/>
      <c r="LS150" s="51"/>
      <c r="LT150" s="51"/>
      <c r="LU150" s="51"/>
      <c r="LV150" s="51"/>
      <c r="LW150" s="51"/>
      <c r="LX150" s="51"/>
      <c r="LY150" s="51"/>
      <c r="LZ150" s="51"/>
      <c r="MA150" s="51"/>
      <c r="MB150" s="51"/>
      <c r="MC150" s="51"/>
      <c r="MD150" s="51"/>
      <c r="ME150" s="51"/>
      <c r="MF150" s="51"/>
      <c r="MG150" s="51"/>
      <c r="MH150" s="51"/>
      <c r="MI150" s="51"/>
      <c r="MJ150" s="51"/>
      <c r="MK150" s="51"/>
      <c r="ML150" s="51"/>
      <c r="MM150" s="51"/>
      <c r="MN150" s="51"/>
      <c r="MO150" s="51"/>
      <c r="MP150" s="51"/>
      <c r="MQ150" s="51"/>
      <c r="MR150" s="51"/>
      <c r="MS150" s="51"/>
      <c r="MT150" s="51"/>
      <c r="MU150" s="51"/>
      <c r="MV150" s="51"/>
      <c r="MW150" s="51"/>
      <c r="MX150" s="51"/>
      <c r="MY150" s="51"/>
      <c r="MZ150" s="51"/>
      <c r="NA150" s="51"/>
      <c r="NB150" s="51"/>
      <c r="NC150" s="51"/>
      <c r="ND150" s="51"/>
      <c r="NE150" s="51"/>
      <c r="NF150" s="51"/>
      <c r="NG150" s="51"/>
      <c r="NH150" s="51"/>
      <c r="NI150" s="51"/>
      <c r="NJ150" s="51"/>
      <c r="NK150" s="51"/>
      <c r="NL150" s="51"/>
      <c r="NM150" s="51"/>
      <c r="NN150" s="51"/>
      <c r="NO150" s="51"/>
      <c r="NP150" s="51"/>
      <c r="NQ150" s="51"/>
      <c r="NR150" s="51"/>
      <c r="NS150" s="51"/>
      <c r="NT150" s="51"/>
      <c r="NU150" s="51"/>
      <c r="NV150" s="51"/>
      <c r="NW150" s="51"/>
      <c r="NX150" s="51"/>
      <c r="NY150" s="51"/>
      <c r="NZ150" s="51"/>
      <c r="OA150" s="51"/>
      <c r="OB150" s="51"/>
      <c r="OC150" s="51"/>
      <c r="OD150" s="51"/>
      <c r="OE150" s="52"/>
    </row>
  </sheetData>
  <sheetProtection sheet="1" objects="1" scenarios="1" sort="0" autoFilter="0"/>
  <protectedRanges>
    <protectedRange algorithmName="SHA-512" hashValue="a2OaNRSxYedOykEHqPDhz/v8KGOa64u1X4hliwwkCXRNTNtDHvruZIB1n8A4Px6p+OpWPIJ4ILv+vvMUEBK/CA==" saltValue="f6At3o+ZRP2DVHb4xiE7cA==" spinCount="100000" sqref="G1:G1048576 I1:I1048576 K1:K1048576 M1:M1048576 O1:O1048576 Q1:Q1048576 S1:S1048576 U1:U1048576 W1:W1048576 Y1:Y1048576 AA1:AA1048576 AC1:AC1048576" name="AjithraEstimate" securityDescriptor="O:WDG:WDD:(A;;CC;;;S-1-5-21-607600752-1324559839-5522801-81001)"/>
  </protectedRanges>
  <mergeCells count="109">
    <mergeCell ref="E1:F1"/>
    <mergeCell ref="AA4:AA5"/>
    <mergeCell ref="AB4:AB5"/>
    <mergeCell ref="AC4:AC5"/>
    <mergeCell ref="AD4:AD5"/>
    <mergeCell ref="U4:U5"/>
    <mergeCell ref="V4:V5"/>
    <mergeCell ref="W4:W5"/>
    <mergeCell ref="X4:X5"/>
    <mergeCell ref="Y4:Y5"/>
    <mergeCell ref="Z4:Z5"/>
    <mergeCell ref="O4:O5"/>
    <mergeCell ref="P4:P5"/>
    <mergeCell ref="Q4:Q5"/>
    <mergeCell ref="R4:R5"/>
    <mergeCell ref="S4:S5"/>
    <mergeCell ref="T4:T5"/>
    <mergeCell ref="NV3:OB3"/>
    <mergeCell ref="OC3:OE3"/>
    <mergeCell ref="G4:G5"/>
    <mergeCell ref="H4:H5"/>
    <mergeCell ref="I4:I5"/>
    <mergeCell ref="J4:J5"/>
    <mergeCell ref="K4:K5"/>
    <mergeCell ref="L4:L5"/>
    <mergeCell ref="M4:M5"/>
    <mergeCell ref="N4:N5"/>
    <mergeCell ref="MF3:ML3"/>
    <mergeCell ref="MM3:MS3"/>
    <mergeCell ref="MT3:MZ3"/>
    <mergeCell ref="NA3:NG3"/>
    <mergeCell ref="NH3:NN3"/>
    <mergeCell ref="NO3:NU3"/>
    <mergeCell ref="KP3:KV3"/>
    <mergeCell ref="KW3:LC3"/>
    <mergeCell ref="LD3:LJ3"/>
    <mergeCell ref="LK3:LQ3"/>
    <mergeCell ref="LR3:LX3"/>
    <mergeCell ref="LY3:ME3"/>
    <mergeCell ref="IZ3:JF3"/>
    <mergeCell ref="JG3:JM3"/>
    <mergeCell ref="JN3:JT3"/>
    <mergeCell ref="JU3:KA3"/>
    <mergeCell ref="KB3:KH3"/>
    <mergeCell ref="KI3:KO3"/>
    <mergeCell ref="HJ3:HP3"/>
    <mergeCell ref="HQ3:HW3"/>
    <mergeCell ref="HX3:ID3"/>
    <mergeCell ref="IE3:IK3"/>
    <mergeCell ref="IL3:IR3"/>
    <mergeCell ref="IS3:IY3"/>
    <mergeCell ref="GA3:GG3"/>
    <mergeCell ref="GH3:GN3"/>
    <mergeCell ref="GO3:GU3"/>
    <mergeCell ref="GV3:HB3"/>
    <mergeCell ref="HC3:HI3"/>
    <mergeCell ref="Y3:Z3"/>
    <mergeCell ref="AA3:AB3"/>
    <mergeCell ref="AC3:AD3"/>
    <mergeCell ref="AE3:AI3"/>
    <mergeCell ref="AJ3:AP3"/>
    <mergeCell ref="AQ3:AW3"/>
    <mergeCell ref="ED3:EJ3"/>
    <mergeCell ref="EK3:EQ3"/>
    <mergeCell ref="ER3:EX3"/>
    <mergeCell ref="CN3:CT3"/>
    <mergeCell ref="CU3:DA3"/>
    <mergeCell ref="DB3:DH3"/>
    <mergeCell ref="DI3:DO3"/>
    <mergeCell ref="DP3:DV3"/>
    <mergeCell ref="DW3:EC3"/>
    <mergeCell ref="BJ2:CK2"/>
    <mergeCell ref="CL2:DP2"/>
    <mergeCell ref="DQ2:ET2"/>
    <mergeCell ref="EU2:FY2"/>
    <mergeCell ref="AX3:BD3"/>
    <mergeCell ref="BE3:BK3"/>
    <mergeCell ref="BL3:BR3"/>
    <mergeCell ref="BS3:BY3"/>
    <mergeCell ref="BZ3:CF3"/>
    <mergeCell ref="CG3:CM3"/>
    <mergeCell ref="EY3:FE3"/>
    <mergeCell ref="FF3:FL3"/>
    <mergeCell ref="FM3:FS3"/>
    <mergeCell ref="FT3:FZ3"/>
    <mergeCell ref="A2:A7"/>
    <mergeCell ref="B2:B7"/>
    <mergeCell ref="C2:C7"/>
    <mergeCell ref="D2:D7"/>
    <mergeCell ref="E2:E5"/>
    <mergeCell ref="F2:F5"/>
    <mergeCell ref="NA2:OE2"/>
    <mergeCell ref="G3:H3"/>
    <mergeCell ref="I3:J3"/>
    <mergeCell ref="K3:L3"/>
    <mergeCell ref="M3:N3"/>
    <mergeCell ref="O3:P3"/>
    <mergeCell ref="Q3:R3"/>
    <mergeCell ref="S3:T3"/>
    <mergeCell ref="U3:V3"/>
    <mergeCell ref="W3:X3"/>
    <mergeCell ref="FZ2:HC2"/>
    <mergeCell ref="HD2:IH2"/>
    <mergeCell ref="II2:JM2"/>
    <mergeCell ref="JN2:KQ2"/>
    <mergeCell ref="KR2:LV2"/>
    <mergeCell ref="LW2:MZ2"/>
    <mergeCell ref="G2:AD2"/>
    <mergeCell ref="AE2:BI2"/>
  </mergeCells>
  <conditionalFormatting sqref="A18:C150 A14:A17 C14:C17">
    <cfRule type="expression" dxfId="49" priority="57">
      <formula>$C14 = "INVALID TASK"</formula>
    </cfRule>
  </conditionalFormatting>
  <conditionalFormatting sqref="A18:F150 C14:E15 A14:A17 C16:F17">
    <cfRule type="expression" dxfId="48" priority="59">
      <formula>($C14&lt;&gt;"")</formula>
    </cfRule>
  </conditionalFormatting>
  <conditionalFormatting sqref="B18:C150 C14:C17">
    <cfRule type="duplicateValues" dxfId="47" priority="60"/>
  </conditionalFormatting>
  <conditionalFormatting sqref="G14:AD150">
    <cfRule type="expression" dxfId="46" priority="62">
      <formula>($C14&lt;&gt;"")</formula>
    </cfRule>
  </conditionalFormatting>
  <conditionalFormatting sqref="AE4:OE4 AE6:OE15 AE18:OE150 AE16:DQ17 DS16:OE17">
    <cfRule type="expression" dxfId="45" priority="52" stopIfTrue="1">
      <formula>AND(NOT($C4&lt;&gt;""), ROW(AE4) &gt; 13)</formula>
    </cfRule>
    <cfRule type="expression" dxfId="44" priority="53" stopIfTrue="1">
      <formula>IFERROR(SEARCH("L",AE$6),FALSE)</formula>
    </cfRule>
    <cfRule type="expression" dxfId="43" priority="54" stopIfTrue="1">
      <formula>IFERROR(SEARCH("OD",AE$6),FALSE)</formula>
    </cfRule>
    <cfRule type="expression" dxfId="42" priority="55" stopIfTrue="1">
      <formula>IFERROR(SEARCH("W",AE$6),FALSE)</formula>
    </cfRule>
    <cfRule type="expression" dxfId="41" priority="56" stopIfTrue="1">
      <formula>WEEKDAY(AE$5, 2) &gt; 5</formula>
    </cfRule>
    <cfRule type="expression" dxfId="40" priority="58" stopIfTrue="1">
      <formula>COUNTIF(PublicHolidays, AE$5)</formula>
    </cfRule>
    <cfRule type="expression" dxfId="39" priority="61">
      <formula>ROW(AE4)=5</formula>
    </cfRule>
    <cfRule type="expression" dxfId="38" priority="63">
      <formula>ROW(AE4)=6</formula>
    </cfRule>
    <cfRule type="expression" dxfId="37" priority="64" stopIfTrue="1">
      <formula>ROW(AE4) &lt; 4</formula>
    </cfRule>
    <cfRule type="expression" dxfId="36" priority="65">
      <formula>1</formula>
    </cfRule>
  </conditionalFormatting>
  <conditionalFormatting sqref="AE5:OE5">
    <cfRule type="expression" dxfId="35" priority="32" stopIfTrue="1">
      <formula>AND(NOT($C5&lt;&gt;""), ROW(AE5) &gt; 13)</formula>
    </cfRule>
    <cfRule type="expression" dxfId="34" priority="33" stopIfTrue="1">
      <formula>IFERROR(SEARCH("L",AE$6),FALSE)</formula>
    </cfRule>
    <cfRule type="expression" dxfId="33" priority="34" stopIfTrue="1">
      <formula>IFERROR(SEARCH("OD",AE$6),FALSE)</formula>
    </cfRule>
    <cfRule type="expression" dxfId="32" priority="35" stopIfTrue="1">
      <formula>IFERROR(SEARCH("W",AE$6),FALSE)</formula>
    </cfRule>
    <cfRule type="expression" dxfId="31" priority="36" stopIfTrue="1">
      <formula>WEEKDAY(AE$5, 2) &gt; 5</formula>
    </cfRule>
    <cfRule type="expression" dxfId="30" priority="37" stopIfTrue="1">
      <formula>COUNTIF(PublicHolidays, AE$5)</formula>
    </cfRule>
    <cfRule type="expression" dxfId="29" priority="38">
      <formula>ROW(AE5)=5</formula>
    </cfRule>
    <cfRule type="expression" dxfId="28" priority="39">
      <formula>ROW(AE5)=6</formula>
    </cfRule>
    <cfRule type="expression" dxfId="27" priority="40" stopIfTrue="1">
      <formula>ROW(AE5) &lt; 4</formula>
    </cfRule>
    <cfRule type="expression" dxfId="26" priority="41">
      <formula>1</formula>
    </cfRule>
  </conditionalFormatting>
  <conditionalFormatting sqref="B15">
    <cfRule type="expression" dxfId="25" priority="14">
      <formula>$C15 = "INVALID TASK"</formula>
    </cfRule>
  </conditionalFormatting>
  <conditionalFormatting sqref="B15">
    <cfRule type="expression" dxfId="24" priority="15">
      <formula>($C15&lt;&gt;"")</formula>
    </cfRule>
  </conditionalFormatting>
  <conditionalFormatting sqref="B15">
    <cfRule type="duplicateValues" dxfId="23" priority="16"/>
  </conditionalFormatting>
  <conditionalFormatting sqref="B14">
    <cfRule type="expression" dxfId="22" priority="11">
      <formula>$C14 = "INVALID TASK"</formula>
    </cfRule>
  </conditionalFormatting>
  <conditionalFormatting sqref="B14">
    <cfRule type="expression" dxfId="21" priority="12">
      <formula>($C14&lt;&gt;"")</formula>
    </cfRule>
  </conditionalFormatting>
  <conditionalFormatting sqref="B14">
    <cfRule type="duplicateValues" dxfId="20" priority="13"/>
  </conditionalFormatting>
  <conditionalFormatting sqref="DR17">
    <cfRule type="expression" dxfId="19" priority="76" stopIfTrue="1">
      <formula>AND(NOT($C16&lt;&gt;""), ROW(DR17) &gt; 13)</formula>
    </cfRule>
    <cfRule type="expression" dxfId="18" priority="77" stopIfTrue="1">
      <formula>IFERROR(SEARCH("L",DR$6),FALSE)</formula>
    </cfRule>
    <cfRule type="expression" dxfId="17" priority="78" stopIfTrue="1">
      <formula>IFERROR(SEARCH("OD",DR$6),FALSE)</formula>
    </cfRule>
    <cfRule type="expression" dxfId="16" priority="79" stopIfTrue="1">
      <formula>IFERROR(SEARCH("W",DR$6),FALSE)</formula>
    </cfRule>
    <cfRule type="expression" dxfId="15" priority="80" stopIfTrue="1">
      <formula>WEEKDAY(DR$5, 2) &gt; 5</formula>
    </cfRule>
    <cfRule type="expression" dxfId="14" priority="81" stopIfTrue="1">
      <formula>COUNTIF(PublicHolidays, DR$5)</formula>
    </cfRule>
    <cfRule type="expression" dxfId="13" priority="82">
      <formula>ROW(DR17)=5</formula>
    </cfRule>
    <cfRule type="expression" dxfId="12" priority="83">
      <formula>ROW(DR17)=6</formula>
    </cfRule>
    <cfRule type="expression" dxfId="11" priority="84" stopIfTrue="1">
      <formula>ROW(DR17) &lt; 4</formula>
    </cfRule>
    <cfRule type="expression" dxfId="10" priority="85">
      <formula>1</formula>
    </cfRule>
  </conditionalFormatting>
  <conditionalFormatting sqref="DR16">
    <cfRule type="expression" dxfId="9" priority="1" stopIfTrue="1">
      <formula>AND(NOT($C16&lt;&gt;""), ROW(DR16) &gt; 13)</formula>
    </cfRule>
    <cfRule type="expression" dxfId="8" priority="2" stopIfTrue="1">
      <formula>IFERROR(SEARCH("L",DR$6),FALSE)</formula>
    </cfRule>
    <cfRule type="expression" dxfId="7" priority="3" stopIfTrue="1">
      <formula>IFERROR(SEARCH("OD",DR$6),FALSE)</formula>
    </cfRule>
    <cfRule type="expression" dxfId="6" priority="4" stopIfTrue="1">
      <formula>IFERROR(SEARCH("W",DR$6),FALSE)</formula>
    </cfRule>
    <cfRule type="expression" dxfId="5" priority="5" stopIfTrue="1">
      <formula>WEEKDAY(DR$5, 2) &gt; 5</formula>
    </cfRule>
    <cfRule type="expression" dxfId="4" priority="6" stopIfTrue="1">
      <formula>COUNTIF(PublicHolidays, DR$5)</formula>
    </cfRule>
    <cfRule type="expression" dxfId="3" priority="7">
      <formula>ROW(DR16)=5</formula>
    </cfRule>
    <cfRule type="expression" dxfId="2" priority="8">
      <formula>ROW(DR16)=6</formula>
    </cfRule>
    <cfRule type="expression" dxfId="1" priority="9" stopIfTrue="1">
      <formula>ROW(DR16) &lt; 4</formula>
    </cfRule>
    <cfRule type="expression" dxfId="0" priority="10">
      <formula>1</formula>
    </cfRule>
  </conditionalFormatting>
  <dataValidations disablePrompts="1" count="1">
    <dataValidation type="list" showInputMessage="1" showErrorMessage="1" sqref="D14:D150" xr:uid="{0A853BB5-A6E2-442B-A838-384733AF42D8}">
      <formula1>Status</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0DCED-ACAA-4B1A-8D75-F4C55124C6AF}">
  <sheetPr codeName="Sheet8">
    <tabColor rgb="FFC00000"/>
  </sheetPr>
  <dimension ref="A1:W31"/>
  <sheetViews>
    <sheetView showGridLines="0" topLeftCell="A19" zoomScaleNormal="100" workbookViewId="0">
      <selection activeCell="T26" sqref="T26"/>
    </sheetView>
  </sheetViews>
  <sheetFormatPr defaultColWidth="8.5703125" defaultRowHeight="14.45"/>
  <cols>
    <col min="2" max="2" width="20.5703125" customWidth="1"/>
  </cols>
  <sheetData>
    <row r="1" spans="1:23" ht="36">
      <c r="A1" s="90" t="s">
        <v>90</v>
      </c>
      <c r="B1" s="90" t="s">
        <v>91</v>
      </c>
      <c r="C1" s="91" t="s">
        <v>92</v>
      </c>
      <c r="D1" s="91" t="s">
        <v>93</v>
      </c>
      <c r="E1" s="92" cm="1">
        <f t="array" ref="E1">SUMPRODUCT(--(ISNUMBER($C$2:$C$15)), --(MONTH($C$2:$C$15) &lt;= MONTH(DATEVALUE("1 " &amp; 'Project status sheet'!$L$33))),Leave!$E$2:$E$15)</f>
        <v>1.6666666666666667</v>
      </c>
      <c r="F1" s="93" t="s">
        <v>94</v>
      </c>
      <c r="G1" s="93" t="s">
        <v>95</v>
      </c>
      <c r="H1" s="93" t="s">
        <v>96</v>
      </c>
      <c r="I1" s="93" t="s">
        <v>74</v>
      </c>
      <c r="J1" s="93" t="s">
        <v>97</v>
      </c>
      <c r="K1" s="93" t="s">
        <v>98</v>
      </c>
      <c r="L1" s="93" t="s">
        <v>99</v>
      </c>
      <c r="M1" s="93" t="s">
        <v>100</v>
      </c>
      <c r="N1" s="93" t="s">
        <v>65</v>
      </c>
      <c r="O1" s="93" t="s">
        <v>101</v>
      </c>
      <c r="P1" s="93" t="s">
        <v>102</v>
      </c>
      <c r="Q1" s="93" t="s">
        <v>103</v>
      </c>
      <c r="R1" s="93" t="s">
        <v>104</v>
      </c>
      <c r="S1" s="93" t="s">
        <v>105</v>
      </c>
      <c r="T1" s="93" t="s">
        <v>106</v>
      </c>
      <c r="U1" s="93" t="s">
        <v>107</v>
      </c>
      <c r="V1" s="93" t="s">
        <v>108</v>
      </c>
      <c r="W1" s="90" t="s">
        <v>109</v>
      </c>
    </row>
    <row r="2" spans="1:23">
      <c r="A2" s="90">
        <v>1</v>
      </c>
      <c r="B2" s="94" t="s">
        <v>32</v>
      </c>
      <c r="C2" s="95">
        <v>46084</v>
      </c>
      <c r="D2" s="95"/>
      <c r="E2" s="96">
        <f>IF(B2="","",IF(D2="",1-(MONTH(C2)-1)/12,(MONTH(D2)-1)/12))</f>
        <v>0.83333333333333337</v>
      </c>
      <c r="F2" s="97">
        <v>10</v>
      </c>
      <c r="G2" s="97">
        <v>7</v>
      </c>
      <c r="H2" s="97"/>
      <c r="I2" s="97">
        <f>SUM($F2:$H2)</f>
        <v>17</v>
      </c>
      <c r="J2" s="98" t="e" cm="1">
        <f t="array" aca="1" ref="J2" ca="1">SUMPRODUCT(INDIRECT("'"&amp;$B2&amp;"'!$H$6:$AD$6")*IFERROR(MONTH(DATEVALUE(INDIRECT("'"&amp;$B2&amp;"'!$G$3:$AC$3")&amp;" 2025"))=MONTH(DATEVALUE(J$1&amp;" 2025")),0))</f>
        <v>#VALUE!</v>
      </c>
      <c r="K2" s="98" t="e" cm="1">
        <f t="array" aca="1" ref="K2" ca="1">SUMPRODUCT(INDIRECT("'"&amp;$B2&amp;"'!$H$6:$AD$6")*IFERROR(MONTH(DATEVALUE(INDIRECT("'"&amp;$B2&amp;"'!$G$3:$AC$3")&amp;" 2025"))=MONTH(DATEVALUE(K$1&amp;" 2025")),0))</f>
        <v>#VALUE!</v>
      </c>
      <c r="L2" s="98" t="e" cm="1">
        <f t="array" aca="1" ref="L2" ca="1">SUMPRODUCT(INDIRECT("'"&amp;$B2&amp;"'!$H$6:$AD$6")*IFERROR(MONTH(DATEVALUE(INDIRECT("'"&amp;$B2&amp;"'!$G$3:$AC$3")&amp;" 2025"))=MONTH(DATEVALUE(L$1&amp;" 2025")),0))</f>
        <v>#VALUE!</v>
      </c>
      <c r="M2" s="98" t="e" cm="1">
        <f t="array" aca="1" ref="M2" ca="1">SUMPRODUCT(INDIRECT("'"&amp;$B2&amp;"'!$H$6:$AD$6")*IFERROR(MONTH(DATEVALUE(INDIRECT("'"&amp;$B2&amp;"'!$G$3:$AC$3")&amp;" 2025"))=MONTH(DATEVALUE(M$1&amp;" 2025")),0))</f>
        <v>#VALUE!</v>
      </c>
      <c r="N2" s="98" t="e" cm="1">
        <f t="array" aca="1" ref="N2" ca="1">SUMPRODUCT(INDIRECT("'"&amp;$B2&amp;"'!$H$6:$AD$6")*IFERROR(MONTH(DATEVALUE(INDIRECT("'"&amp;$B2&amp;"'!$G$3:$AC$3")&amp;" 2025"))=MONTH(DATEVALUE(N$1&amp;" 2025")),0))</f>
        <v>#VALUE!</v>
      </c>
      <c r="O2" s="98" t="e" cm="1">
        <f t="array" aca="1" ref="O2" ca="1">SUMPRODUCT(INDIRECT("'"&amp;$B2&amp;"'!$H$6:$AD$6")*IFERROR(MONTH(DATEVALUE(INDIRECT("'"&amp;$B2&amp;"'!$G$3:$AC$3")&amp;" 2025"))=MONTH(DATEVALUE(O$1&amp;" 2025")),0))</f>
        <v>#VALUE!</v>
      </c>
      <c r="P2" s="98" t="e" cm="1">
        <f t="array" aca="1" ref="P2" ca="1">SUMPRODUCT(INDIRECT("'"&amp;$B2&amp;"'!$H$6:$AD$6")*IFERROR(MONTH(DATEVALUE(INDIRECT("'"&amp;$B2&amp;"'!$G$3:$AC$3")&amp;" 2025"))=MONTH(DATEVALUE(P$1&amp;" 2025")),0))</f>
        <v>#VALUE!</v>
      </c>
      <c r="Q2" s="98" t="e" cm="1">
        <f t="array" aca="1" ref="Q2" ca="1">SUMPRODUCT(INDIRECT("'"&amp;$B2&amp;"'!$H$6:$AD$6")*IFERROR(MONTH(DATEVALUE(INDIRECT("'"&amp;$B2&amp;"'!$G$3:$AC$3")&amp;" 2025"))=MONTH(DATEVALUE(Q$1&amp;" 2025")),0))</f>
        <v>#VALUE!</v>
      </c>
      <c r="R2" s="98" t="e" cm="1">
        <f t="array" aca="1" ref="R2" ca="1">SUMPRODUCT(INDIRECT("'"&amp;$B2&amp;"'!$H$6:$AD$6")*IFERROR(MONTH(DATEVALUE(INDIRECT("'"&amp;$B2&amp;"'!$G$3:$AC$3")&amp;" 2025"))=MONTH(DATEVALUE(R$1&amp;" 2025")),0))</f>
        <v>#VALUE!</v>
      </c>
      <c r="S2" s="98" t="e" cm="1">
        <f t="array" aca="1" ref="S2" ca="1">SUMPRODUCT(INDIRECT("'"&amp;$B2&amp;"'!$H$6:$AD$6")*IFERROR(MONTH(DATEVALUE(INDIRECT("'"&amp;$B2&amp;"'!$G$3:$AC$3")&amp;" 2025"))=MONTH(DATEVALUE(S$1&amp;" 2025")),0))</f>
        <v>#VALUE!</v>
      </c>
      <c r="T2" s="98" t="e" cm="1">
        <f t="array" aca="1" ref="T2" ca="1">SUMPRODUCT(INDIRECT("'"&amp;$B2&amp;"'!$H$6:$AD$6")*IFERROR(MONTH(DATEVALUE(INDIRECT("'"&amp;$B2&amp;"'!$G$3:$AC$3")&amp;" 2025"))=MONTH(DATEVALUE(T$1&amp;" 2025")),0))</f>
        <v>#VALUE!</v>
      </c>
      <c r="U2" s="98" t="e" cm="1">
        <f t="array" aca="1" ref="U2" ca="1">SUMPRODUCT(INDIRECT("'"&amp;$B2&amp;"'!$H$6:$AD$6")*IFERROR(MONTH(DATEVALUE(INDIRECT("'"&amp;$B2&amp;"'!$G$3:$AC$3")&amp;" 2025"))=MONTH(DATEVALUE(U$1&amp;" 2025")),0))</f>
        <v>#VALUE!</v>
      </c>
      <c r="V2" s="142" t="e">
        <f ca="1">SUM($J2:$U2)</f>
        <v>#VALUE!</v>
      </c>
      <c r="W2" s="99" t="e">
        <f ca="1">$I2-$V2</f>
        <v>#VALUE!</v>
      </c>
    </row>
    <row r="3" spans="1:23">
      <c r="A3" s="90">
        <v>2</v>
      </c>
      <c r="B3" s="94" t="s">
        <v>46</v>
      </c>
      <c r="C3" s="95">
        <v>46097</v>
      </c>
      <c r="D3" s="100"/>
      <c r="E3" s="96">
        <f>IF(B3="","",IF(D3="",1-(MONTH(C3)-1)/12,(MONTH(D3)-1)/12))</f>
        <v>0.83333333333333337</v>
      </c>
      <c r="F3" s="97">
        <v>10</v>
      </c>
      <c r="G3" s="97">
        <v>7</v>
      </c>
      <c r="H3" s="97"/>
      <c r="I3" s="97">
        <f>SUM($F3:$H3)</f>
        <v>17</v>
      </c>
      <c r="J3" s="98" t="e" cm="1">
        <f t="array" aca="1" ref="J3" ca="1">SUMPRODUCT(INDIRECT("'"&amp;$B3&amp;"'!$H$6:$AD$6")*IFERROR(MONTH(DATEVALUE(INDIRECT("'"&amp;$B3&amp;"'!$G$3:$AC$3")&amp;" 2025"))=MONTH(DATEVALUE(J$1&amp;" 2025")),0))</f>
        <v>#VALUE!</v>
      </c>
      <c r="K3" s="98" t="e" cm="1">
        <f t="array" aca="1" ref="K3" ca="1">SUMPRODUCT(INDIRECT("'"&amp;$B3&amp;"'!$H$6:$AD$6")*IFERROR(MONTH(DATEVALUE(INDIRECT("'"&amp;$B3&amp;"'!$G$3:$AC$3")&amp;" 2025"))=MONTH(DATEVALUE(K$1&amp;" 2025")),0))</f>
        <v>#VALUE!</v>
      </c>
      <c r="L3" s="98" t="e" cm="1">
        <f t="array" aca="1" ref="L3" ca="1">SUMPRODUCT(INDIRECT("'"&amp;$B3&amp;"'!$H$6:$AD$6")*IFERROR(MONTH(DATEVALUE(INDIRECT("'"&amp;$B3&amp;"'!$G$3:$AC$3")&amp;" 2025"))=MONTH(DATEVALUE(L$1&amp;" 2025")),0))</f>
        <v>#VALUE!</v>
      </c>
      <c r="M3" s="98" t="e" cm="1">
        <f t="array" aca="1" ref="M3" ca="1">SUMPRODUCT(INDIRECT("'"&amp;$B3&amp;"'!$H$6:$AD$6")*IFERROR(MONTH(DATEVALUE(INDIRECT("'"&amp;$B3&amp;"'!$G$3:$AC$3")&amp;" 2025"))=MONTH(DATEVALUE(M$1&amp;" 2025")),0))</f>
        <v>#VALUE!</v>
      </c>
      <c r="N3" s="98" t="e" cm="1">
        <f t="array" aca="1" ref="N3" ca="1">SUMPRODUCT(INDIRECT("'"&amp;$B3&amp;"'!$H$6:$AD$6")*IFERROR(MONTH(DATEVALUE(INDIRECT("'"&amp;$B3&amp;"'!$G$3:$AC$3")&amp;" 2025"))=MONTH(DATEVALUE(N$1&amp;" 2025")),0))</f>
        <v>#VALUE!</v>
      </c>
      <c r="O3" s="98" t="e" cm="1">
        <f t="array" aca="1" ref="O3" ca="1">SUMPRODUCT(INDIRECT("'"&amp;$B3&amp;"'!$H$6:$AD$6")*IFERROR(MONTH(DATEVALUE(INDIRECT("'"&amp;$B3&amp;"'!$G$3:$AC$3")&amp;" 2025"))=MONTH(DATEVALUE(O$1&amp;" 2025")),0))</f>
        <v>#VALUE!</v>
      </c>
      <c r="P3" s="98" t="e" cm="1">
        <f t="array" aca="1" ref="P3" ca="1">SUMPRODUCT(INDIRECT("'"&amp;$B3&amp;"'!$H$6:$AD$6")*IFERROR(MONTH(DATEVALUE(INDIRECT("'"&amp;$B3&amp;"'!$G$3:$AC$3")&amp;" 2025"))=MONTH(DATEVALUE(P$1&amp;" 2025")),0))</f>
        <v>#VALUE!</v>
      </c>
      <c r="Q3" s="98" t="e" cm="1">
        <f t="array" aca="1" ref="Q3" ca="1">SUMPRODUCT(INDIRECT("'"&amp;$B3&amp;"'!$H$6:$AD$6")*IFERROR(MONTH(DATEVALUE(INDIRECT("'"&amp;$B3&amp;"'!$G$3:$AC$3")&amp;" 2025"))=MONTH(DATEVALUE(Q$1&amp;" 2025")),0))</f>
        <v>#VALUE!</v>
      </c>
      <c r="R3" s="98" t="e" cm="1">
        <f t="array" aca="1" ref="R3" ca="1">SUMPRODUCT(INDIRECT("'"&amp;$B3&amp;"'!$H$6:$AD$6")*IFERROR(MONTH(DATEVALUE(INDIRECT("'"&amp;$B3&amp;"'!$G$3:$AC$3")&amp;" 2025"))=MONTH(DATEVALUE(R$1&amp;" 2025")),0))</f>
        <v>#VALUE!</v>
      </c>
      <c r="S3" s="98" t="e" cm="1">
        <f t="array" aca="1" ref="S3" ca="1">SUMPRODUCT(INDIRECT("'"&amp;$B3&amp;"'!$H$6:$AD$6")*IFERROR(MONTH(DATEVALUE(INDIRECT("'"&amp;$B3&amp;"'!$G$3:$AC$3")&amp;" 2025"))=MONTH(DATEVALUE(S$1&amp;" 2025")),0))</f>
        <v>#VALUE!</v>
      </c>
      <c r="T3" s="98" t="e" cm="1">
        <f t="array" aca="1" ref="T3" ca="1">SUMPRODUCT(INDIRECT("'"&amp;$B3&amp;"'!$H$6:$AD$6")*IFERROR(MONTH(DATEVALUE(INDIRECT("'"&amp;$B3&amp;"'!$G$3:$AC$3")&amp;" 2025"))=MONTH(DATEVALUE(T$1&amp;" 2025")),0))</f>
        <v>#VALUE!</v>
      </c>
      <c r="U3" s="98" t="e" cm="1">
        <f t="array" aca="1" ref="U3" ca="1">SUMPRODUCT(INDIRECT("'"&amp;$B3&amp;"'!$H$6:$AD$6")*IFERROR(MONTH(DATEVALUE(INDIRECT("'"&amp;$B3&amp;"'!$G$3:$AC$3")&amp;" 2025"))=MONTH(DATEVALUE(U$1&amp;" 2025")),0))</f>
        <v>#VALUE!</v>
      </c>
      <c r="V3" s="142"/>
      <c r="W3" s="99">
        <v>17</v>
      </c>
    </row>
    <row r="4" spans="1:23">
      <c r="A4" s="90">
        <v>3</v>
      </c>
      <c r="B4" s="94" t="s">
        <v>54</v>
      </c>
      <c r="C4" s="95">
        <v>46113</v>
      </c>
      <c r="D4" s="95"/>
      <c r="E4" s="96">
        <f>IF(B4="","",IF(D4="",1-(MONTH(C4)-1)/12,(MONTH(D4)-1)/12))</f>
        <v>0.75</v>
      </c>
      <c r="F4" s="97">
        <v>10</v>
      </c>
      <c r="G4" s="97">
        <v>7</v>
      </c>
      <c r="H4" s="97"/>
      <c r="I4" s="97">
        <f>SUM($F4:$H4)</f>
        <v>17</v>
      </c>
      <c r="J4" s="98" t="e" cm="1">
        <f t="array" aca="1" ref="J4" ca="1">SUMPRODUCT(INDIRECT("'"&amp;$B4&amp;"'!$H$6:$AD$6")*IFERROR(MONTH(DATEVALUE(INDIRECT("'"&amp;$B4&amp;"'!$G$3:$AC$3")&amp;" 2025"))=MONTH(DATEVALUE(J$1&amp;" 2025")),0))</f>
        <v>#VALUE!</v>
      </c>
      <c r="K4" s="98" t="e" cm="1">
        <f t="array" aca="1" ref="K4" ca="1">SUMPRODUCT(INDIRECT("'"&amp;$B4&amp;"'!$H$6:$AD$6")*IFERROR(MONTH(DATEVALUE(INDIRECT("'"&amp;$B4&amp;"'!$G$3:$AC$3")&amp;" 2025"))=MONTH(DATEVALUE(K$1&amp;" 2025")),0))</f>
        <v>#VALUE!</v>
      </c>
      <c r="L4" s="98" t="e" cm="1">
        <f t="array" aca="1" ref="L4" ca="1">SUMPRODUCT(INDIRECT("'"&amp;$B4&amp;"'!$H$6:$AD$6")*IFERROR(MONTH(DATEVALUE(INDIRECT("'"&amp;$B4&amp;"'!$G$3:$AC$3")&amp;" 2025"))=MONTH(DATEVALUE(L$1&amp;" 2025")),0))</f>
        <v>#VALUE!</v>
      </c>
      <c r="M4" s="98" t="e" cm="1">
        <f t="array" aca="1" ref="M4" ca="1">SUMPRODUCT(INDIRECT("'"&amp;$B4&amp;"'!$H$6:$AD$6")*IFERROR(MONTH(DATEVALUE(INDIRECT("'"&amp;$B4&amp;"'!$G$3:$AC$3")&amp;" 2025"))=MONTH(DATEVALUE(M$1&amp;" 2025")),0))</f>
        <v>#VALUE!</v>
      </c>
      <c r="N4" s="98" t="e" cm="1">
        <f t="array" aca="1" ref="N4" ca="1">SUMPRODUCT(INDIRECT("'"&amp;$B4&amp;"'!$H$6:$AD$6")*IFERROR(MONTH(DATEVALUE(INDIRECT("'"&amp;$B4&amp;"'!$G$3:$AC$3")&amp;" 2025"))=MONTH(DATEVALUE(N$1&amp;" 2025")),0))</f>
        <v>#VALUE!</v>
      </c>
      <c r="O4" s="98" t="e" cm="1">
        <f t="array" aca="1" ref="O4" ca="1">SUMPRODUCT(INDIRECT("'"&amp;$B4&amp;"'!$H$6:$AD$6")*IFERROR(MONTH(DATEVALUE(INDIRECT("'"&amp;$B4&amp;"'!$G$3:$AC$3")&amp;" 2025"))=MONTH(DATEVALUE(O$1&amp;" 2025")),0))</f>
        <v>#VALUE!</v>
      </c>
      <c r="P4" s="98" t="e" cm="1">
        <f t="array" aca="1" ref="P4" ca="1">SUMPRODUCT(INDIRECT("'"&amp;$B4&amp;"'!$H$6:$AD$6")*IFERROR(MONTH(DATEVALUE(INDIRECT("'"&amp;$B4&amp;"'!$G$3:$AC$3")&amp;" 2025"))=MONTH(DATEVALUE(P$1&amp;" 2025")),0))</f>
        <v>#VALUE!</v>
      </c>
      <c r="Q4" s="98" t="e" cm="1">
        <f t="array" aca="1" ref="Q4" ca="1">SUMPRODUCT(INDIRECT("'"&amp;$B4&amp;"'!$H$6:$AD$6")*IFERROR(MONTH(DATEVALUE(INDIRECT("'"&amp;$B4&amp;"'!$G$3:$AC$3")&amp;" 2025"))=MONTH(DATEVALUE(Q$1&amp;" 2025")),0))</f>
        <v>#VALUE!</v>
      </c>
      <c r="R4" s="98" t="e" cm="1">
        <f t="array" aca="1" ref="R4" ca="1">SUMPRODUCT(INDIRECT("'"&amp;$B4&amp;"'!$H$6:$AD$6")*IFERROR(MONTH(DATEVALUE(INDIRECT("'"&amp;$B4&amp;"'!$G$3:$AC$3")&amp;" 2025"))=MONTH(DATEVALUE(R$1&amp;" 2025")),0))</f>
        <v>#VALUE!</v>
      </c>
      <c r="S4" s="98" t="e" cm="1">
        <f t="array" aca="1" ref="S4" ca="1">SUMPRODUCT(INDIRECT("'"&amp;$B4&amp;"'!$H$6:$AD$6")*IFERROR(MONTH(DATEVALUE(INDIRECT("'"&amp;$B4&amp;"'!$G$3:$AC$3")&amp;" 2025"))=MONTH(DATEVALUE(S$1&amp;" 2025")),0))</f>
        <v>#VALUE!</v>
      </c>
      <c r="T4" s="98" t="e" cm="1">
        <f t="array" aca="1" ref="T4" ca="1">SUMPRODUCT(INDIRECT("'"&amp;$B4&amp;"'!$H$6:$AD$6")*IFERROR(MONTH(DATEVALUE(INDIRECT("'"&amp;$B4&amp;"'!$G$3:$AC$3")&amp;" 2025"))=MONTH(DATEVALUE(T$1&amp;" 2025")),0))</f>
        <v>#VALUE!</v>
      </c>
      <c r="U4" s="98" t="e" cm="1">
        <f t="array" aca="1" ref="U4" ca="1">SUMPRODUCT(INDIRECT("'"&amp;$B4&amp;"'!$H$6:$AD$6")*IFERROR(MONTH(DATEVALUE(INDIRECT("'"&amp;$B4&amp;"'!$G$3:$AC$3")&amp;" 2025"))=MONTH(DATEVALUE(U$1&amp;" 2025")),0))</f>
        <v>#VALUE!</v>
      </c>
      <c r="V4" s="142"/>
      <c r="W4" s="99"/>
    </row>
    <row r="5" spans="1:23">
      <c r="A5" s="90"/>
      <c r="B5" s="94"/>
      <c r="C5" s="95"/>
      <c r="D5" s="95"/>
      <c r="E5" s="96"/>
      <c r="F5" s="97"/>
      <c r="G5" s="97"/>
      <c r="H5" s="97"/>
      <c r="I5" s="97"/>
      <c r="J5" s="98"/>
      <c r="K5" s="98"/>
      <c r="L5" s="98"/>
      <c r="M5" s="98"/>
      <c r="N5" s="98"/>
      <c r="O5" s="98"/>
      <c r="P5" s="98"/>
      <c r="Q5" s="98"/>
      <c r="R5" s="98"/>
      <c r="S5" s="98"/>
      <c r="T5" s="98"/>
      <c r="U5" s="98"/>
      <c r="V5" s="142"/>
      <c r="W5" s="99"/>
    </row>
    <row r="6" spans="1:23">
      <c r="A6" s="90"/>
      <c r="B6" s="94"/>
      <c r="C6" s="95"/>
      <c r="D6" s="100"/>
      <c r="E6" s="96"/>
      <c r="F6" s="97"/>
      <c r="G6" s="97"/>
      <c r="H6" s="97"/>
      <c r="I6" s="97"/>
      <c r="J6" s="98"/>
      <c r="K6" s="98"/>
      <c r="L6" s="98"/>
      <c r="M6" s="98"/>
      <c r="N6" s="98"/>
      <c r="O6" s="98"/>
      <c r="P6" s="98"/>
      <c r="Q6" s="98"/>
      <c r="R6" s="98"/>
      <c r="S6" s="98"/>
      <c r="T6" s="98"/>
      <c r="U6" s="98"/>
      <c r="V6" s="142"/>
      <c r="W6" s="99"/>
    </row>
    <row r="7" spans="1:23">
      <c r="A7" s="90"/>
      <c r="B7" s="94"/>
      <c r="C7" s="95"/>
      <c r="D7" s="95"/>
      <c r="E7" s="96"/>
      <c r="F7" s="97"/>
      <c r="G7" s="97"/>
      <c r="H7" s="97"/>
      <c r="I7" s="97"/>
      <c r="J7" s="98"/>
      <c r="K7" s="98"/>
      <c r="L7" s="98"/>
      <c r="M7" s="98"/>
      <c r="N7" s="98"/>
      <c r="O7" s="98"/>
      <c r="P7" s="98"/>
      <c r="Q7" s="98"/>
      <c r="R7" s="98"/>
      <c r="S7" s="98"/>
      <c r="T7" s="98"/>
      <c r="U7" s="98"/>
      <c r="V7" s="142"/>
      <c r="W7" s="99"/>
    </row>
    <row r="8" spans="1:23">
      <c r="A8" s="90"/>
      <c r="B8" s="94"/>
      <c r="C8" s="95"/>
      <c r="D8" s="95"/>
      <c r="E8" s="96"/>
      <c r="F8" s="97"/>
      <c r="G8" s="97"/>
      <c r="H8" s="97"/>
      <c r="I8" s="97"/>
      <c r="J8" s="98"/>
      <c r="K8" s="98"/>
      <c r="L8" s="98"/>
      <c r="M8" s="98"/>
      <c r="N8" s="98"/>
      <c r="O8" s="98"/>
      <c r="P8" s="98"/>
      <c r="Q8" s="98"/>
      <c r="R8" s="98"/>
      <c r="S8" s="98"/>
      <c r="T8" s="98"/>
      <c r="U8" s="98"/>
      <c r="V8" s="142"/>
      <c r="W8" s="99"/>
    </row>
    <row r="9" spans="1:23">
      <c r="A9" s="90"/>
      <c r="B9" s="94"/>
      <c r="C9" s="95"/>
      <c r="D9" s="95"/>
      <c r="E9" s="96"/>
      <c r="F9" s="97"/>
      <c r="G9" s="97"/>
      <c r="H9" s="97"/>
      <c r="I9" s="97"/>
      <c r="J9" s="98"/>
      <c r="K9" s="98"/>
      <c r="L9" s="98"/>
      <c r="M9" s="98"/>
      <c r="N9" s="98"/>
      <c r="O9" s="98"/>
      <c r="P9" s="98"/>
      <c r="Q9" s="98"/>
      <c r="R9" s="98"/>
      <c r="S9" s="98"/>
      <c r="T9" s="98"/>
      <c r="U9" s="98"/>
      <c r="V9" s="142"/>
      <c r="W9" s="99"/>
    </row>
    <row r="10" spans="1:23">
      <c r="A10" s="90"/>
      <c r="B10" s="94"/>
      <c r="C10" s="95"/>
      <c r="D10" s="95"/>
      <c r="E10" s="96"/>
      <c r="F10" s="97"/>
      <c r="G10" s="97"/>
      <c r="H10" s="97"/>
      <c r="I10" s="97"/>
      <c r="J10" s="98"/>
      <c r="K10" s="98"/>
      <c r="L10" s="98"/>
      <c r="M10" s="98"/>
      <c r="N10" s="98"/>
      <c r="O10" s="98"/>
      <c r="P10" s="98"/>
      <c r="Q10" s="98"/>
      <c r="R10" s="98"/>
      <c r="S10" s="98"/>
      <c r="T10" s="98"/>
      <c r="U10" s="98"/>
      <c r="V10" s="142"/>
      <c r="W10" s="99"/>
    </row>
    <row r="11" spans="1:23">
      <c r="A11" s="90"/>
      <c r="B11" s="94"/>
      <c r="C11" s="95"/>
      <c r="D11" s="95"/>
      <c r="E11" s="96"/>
      <c r="F11" s="97"/>
      <c r="G11" s="97"/>
      <c r="H11" s="97"/>
      <c r="I11" s="97"/>
      <c r="J11" s="101"/>
      <c r="K11" s="101"/>
      <c r="L11" s="101"/>
      <c r="M11" s="101"/>
      <c r="N11" s="101"/>
      <c r="O11" s="101"/>
      <c r="P11" s="101"/>
      <c r="Q11" s="101"/>
      <c r="R11" s="101"/>
      <c r="S11" s="101"/>
      <c r="T11" s="101"/>
      <c r="U11" s="101"/>
      <c r="V11" s="142"/>
      <c r="W11" s="99"/>
    </row>
    <row r="12" spans="1:23">
      <c r="A12" s="90"/>
      <c r="B12" s="94"/>
      <c r="C12" s="95"/>
      <c r="D12" s="95"/>
      <c r="E12" s="96" t="str">
        <f t="shared" ref="E12:E14" si="0">IF(B12="","",IF(D12="",1-(MONTH(C12)-1)/12,(MONTH(D12)-1)/12))</f>
        <v/>
      </c>
      <c r="F12" s="102"/>
      <c r="G12" s="102"/>
      <c r="H12" s="102"/>
      <c r="I12" s="97"/>
      <c r="J12" s="101"/>
      <c r="K12" s="101"/>
      <c r="L12" s="101"/>
      <c r="M12" s="101"/>
      <c r="N12" s="101"/>
      <c r="O12" s="101"/>
      <c r="P12" s="101"/>
      <c r="Q12" s="101"/>
      <c r="R12" s="101"/>
      <c r="S12" s="101"/>
      <c r="T12" s="101"/>
      <c r="U12" s="101"/>
      <c r="V12" s="142"/>
      <c r="W12" s="99"/>
    </row>
    <row r="13" spans="1:23">
      <c r="A13" s="90"/>
      <c r="B13" s="94"/>
      <c r="C13" s="95"/>
      <c r="D13" s="94"/>
      <c r="E13" s="96" t="str">
        <f t="shared" si="0"/>
        <v/>
      </c>
      <c r="F13" s="97"/>
      <c r="G13" s="97"/>
      <c r="H13" s="102"/>
      <c r="I13" s="97"/>
      <c r="J13" s="101"/>
      <c r="K13" s="101"/>
      <c r="L13" s="101"/>
      <c r="M13" s="101"/>
      <c r="N13" s="101"/>
      <c r="O13" s="101"/>
      <c r="P13" s="101"/>
      <c r="Q13" s="101"/>
      <c r="R13" s="101"/>
      <c r="S13" s="101"/>
      <c r="T13" s="101"/>
      <c r="U13" s="101"/>
      <c r="V13" s="142"/>
      <c r="W13" s="99"/>
    </row>
    <row r="14" spans="1:23">
      <c r="A14" s="90"/>
      <c r="B14" s="94"/>
      <c r="C14" s="95"/>
      <c r="D14" s="94"/>
      <c r="E14" s="96" t="str">
        <f t="shared" si="0"/>
        <v/>
      </c>
      <c r="F14" s="102"/>
      <c r="G14" s="102"/>
      <c r="H14" s="102"/>
      <c r="I14" s="97"/>
      <c r="J14" s="101"/>
      <c r="K14" s="101"/>
      <c r="L14" s="101"/>
      <c r="M14" s="101"/>
      <c r="N14" s="101"/>
      <c r="O14" s="101"/>
      <c r="P14" s="101"/>
      <c r="Q14" s="101"/>
      <c r="R14" s="101"/>
      <c r="S14" s="101"/>
      <c r="T14" s="101"/>
      <c r="U14" s="101"/>
      <c r="V14" s="142"/>
      <c r="W14" s="99"/>
    </row>
    <row r="15" spans="1:23">
      <c r="A15" s="90"/>
      <c r="B15" s="94"/>
      <c r="C15" s="95"/>
      <c r="D15" s="94"/>
      <c r="E15" s="96"/>
      <c r="F15" s="102"/>
      <c r="G15" s="102"/>
      <c r="H15" s="102"/>
      <c r="I15" s="97"/>
      <c r="J15" s="101"/>
      <c r="K15" s="101"/>
      <c r="L15" s="101"/>
      <c r="M15" s="101"/>
      <c r="N15" s="101"/>
      <c r="O15" s="101"/>
      <c r="P15" s="101"/>
      <c r="Q15" s="101"/>
      <c r="R15" s="101"/>
      <c r="S15" s="101"/>
      <c r="T15" s="101"/>
      <c r="U15" s="101"/>
      <c r="V15" s="142"/>
      <c r="W15" s="99"/>
    </row>
    <row r="19" spans="2:11">
      <c r="B19" s="224" t="s">
        <v>110</v>
      </c>
      <c r="C19" s="225"/>
      <c r="D19" s="226"/>
    </row>
    <row r="20" spans="2:11">
      <c r="B20" s="103" t="s">
        <v>111</v>
      </c>
      <c r="C20" s="104"/>
      <c r="D20" s="105" t="s">
        <v>112</v>
      </c>
    </row>
    <row r="21" spans="2:11">
      <c r="B21" s="106" t="s">
        <v>113</v>
      </c>
      <c r="C21" s="107"/>
      <c r="D21" s="108">
        <v>46037</v>
      </c>
    </row>
    <row r="22" spans="2:11">
      <c r="B22" s="106" t="s">
        <v>113</v>
      </c>
      <c r="C22" s="107"/>
      <c r="D22" s="109">
        <v>46038</v>
      </c>
    </row>
    <row r="23" spans="2:11">
      <c r="B23" s="106" t="s">
        <v>114</v>
      </c>
      <c r="C23" s="107"/>
      <c r="D23" s="108">
        <v>46048</v>
      </c>
    </row>
    <row r="24" spans="2:11">
      <c r="B24" s="106" t="s">
        <v>115</v>
      </c>
      <c r="C24" s="107"/>
      <c r="D24" s="108">
        <v>46126</v>
      </c>
    </row>
    <row r="25" spans="2:11">
      <c r="B25" s="106" t="s">
        <v>116</v>
      </c>
      <c r="C25" s="107"/>
      <c r="D25" s="108">
        <v>46143</v>
      </c>
    </row>
    <row r="26" spans="2:11">
      <c r="B26" s="106" t="s">
        <v>117</v>
      </c>
      <c r="C26" s="107"/>
      <c r="D26" s="108">
        <v>46279</v>
      </c>
      <c r="K26" s="110"/>
    </row>
    <row r="27" spans="2:11">
      <c r="B27" s="106" t="s">
        <v>118</v>
      </c>
      <c r="C27" s="107"/>
      <c r="D27" s="108">
        <v>46297</v>
      </c>
    </row>
    <row r="28" spans="2:11">
      <c r="B28" s="106" t="s">
        <v>119</v>
      </c>
      <c r="C28" s="107"/>
      <c r="D28" s="108">
        <v>46314</v>
      </c>
    </row>
    <row r="29" spans="2:11">
      <c r="B29" s="106" t="s">
        <v>120</v>
      </c>
      <c r="C29" s="107"/>
      <c r="D29" s="108">
        <v>46335</v>
      </c>
    </row>
    <row r="30" spans="2:11">
      <c r="B30" s="106" t="s">
        <v>120</v>
      </c>
      <c r="C30" s="107"/>
      <c r="D30" s="108">
        <v>46336</v>
      </c>
    </row>
    <row r="31" spans="2:11">
      <c r="B31" s="222" t="s">
        <v>121</v>
      </c>
      <c r="C31" s="223"/>
      <c r="D31" s="108">
        <v>46381</v>
      </c>
    </row>
  </sheetData>
  <sheetProtection algorithmName="SHA-512" hashValue="r46rodzd0PsaavVUsp4IWk4UIHcU1Eo2BvyizOpO/hvZOSZg+rB4PGGgX3O1931PrZEmlJcWydqvaHZb/sLxWQ==" saltValue="q0b86GIgnqR7nxY71BzSeA==" spinCount="100000" sheet="1" objects="1" scenarios="1" sort="0" autoFilter="0"/>
  <mergeCells count="2">
    <mergeCell ref="B31:C31"/>
    <mergeCell ref="B19:D1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0482C-15D7-416F-A917-386A763933AC}">
  <sheetPr codeName="Sheet6">
    <tabColor rgb="FFC00000"/>
  </sheetPr>
  <dimension ref="B3:N53"/>
  <sheetViews>
    <sheetView showGridLines="0" topLeftCell="A2" zoomScale="80" zoomScaleNormal="80" workbookViewId="0">
      <selection activeCell="D35" sqref="D35"/>
    </sheetView>
  </sheetViews>
  <sheetFormatPr defaultColWidth="8.5703125" defaultRowHeight="14.45"/>
  <cols>
    <col min="2" max="2" width="45.5703125" customWidth="1"/>
    <col min="3" max="10" width="18.5703125" customWidth="1"/>
    <col min="11" max="13" width="12.42578125" customWidth="1"/>
    <col min="14" max="14" width="11.85546875" customWidth="1"/>
  </cols>
  <sheetData>
    <row r="3" spans="2:9" ht="15" thickBot="1"/>
    <row r="4" spans="2:9" ht="21.6" thickBot="1">
      <c r="B4" s="229" t="s">
        <v>122</v>
      </c>
      <c r="C4" s="230"/>
      <c r="D4" s="230"/>
      <c r="E4" s="230"/>
      <c r="F4" s="230"/>
      <c r="G4" s="230"/>
      <c r="H4" s="230"/>
      <c r="I4" s="231"/>
    </row>
    <row r="5" spans="2:9" ht="16.149999999999999" thickBot="1">
      <c r="B5" s="232" t="s">
        <v>123</v>
      </c>
      <c r="C5" s="233"/>
      <c r="D5" s="233"/>
      <c r="E5" s="233"/>
      <c r="F5" s="233"/>
      <c r="G5" s="233"/>
      <c r="H5" s="233"/>
      <c r="I5" s="234"/>
    </row>
    <row r="6" spans="2:9" ht="16.149999999999999" thickBot="1">
      <c r="B6" s="227" t="s">
        <v>124</v>
      </c>
      <c r="C6" s="228" t="s">
        <v>125</v>
      </c>
      <c r="D6" s="232" t="s">
        <v>126</v>
      </c>
      <c r="E6" s="234"/>
      <c r="F6" s="89" t="s">
        <v>127</v>
      </c>
      <c r="G6" s="89" t="s">
        <v>87</v>
      </c>
      <c r="H6" s="89" t="s">
        <v>128</v>
      </c>
      <c r="I6" s="89" t="s">
        <v>129</v>
      </c>
    </row>
    <row r="7" spans="2:9" ht="16.149999999999999" thickBot="1">
      <c r="B7" s="227"/>
      <c r="C7" s="228"/>
      <c r="D7" s="89" t="s">
        <v>130</v>
      </c>
      <c r="E7" s="89" t="s">
        <v>33</v>
      </c>
      <c r="F7" s="89"/>
      <c r="G7" s="89"/>
      <c r="H7" s="89"/>
      <c r="I7" s="89"/>
    </row>
    <row r="8" spans="2:9" ht="15.6">
      <c r="B8" s="86" t="str" cm="1">
        <f t="array" ref="B8:B10">_xlfn._xlws.FILTER(Team_Members, Team_Members &lt;&gt; "")</f>
        <v>Aslam Khan</v>
      </c>
      <c r="C8" s="87" cm="1">
        <f t="array" aca="1" ref="C8" ca="1">IF($B8&lt;&gt;"",SUM(--ISNUMBER(SEARCH(B8, Project!M2:M91))),"")</f>
        <v>4</v>
      </c>
      <c r="D8" s="87" cm="1">
        <f t="array" aca="1" ref="D8" ca="1">IF($B8&lt;&gt;"",SUMPRODUCT(--ISNUMBER(SEARCH($B8,Project!M2:M91)),--(Project!L2:L91="India")),"")</f>
        <v>0</v>
      </c>
      <c r="E8" s="87" cm="1">
        <f t="array" aca="1" ref="E8" ca="1">IF($B8&lt;&gt;"",SUMPRODUCT(--ISNUMBER(SEARCH($B8, Project!$M$2:$M$91)), --(Project!$L$2:$L$91="Global")),"")</f>
        <v>4</v>
      </c>
      <c r="F8" s="87" cm="1">
        <f t="array" aca="1" ref="F8" ca="1">IF($B8&lt;&gt;"",SUMPRODUCT(--ISNUMBER(SEARCH($B8, Project!$M$2:$M$91)), --(Project!$O$2:$O$91="Completed")),"")</f>
        <v>2</v>
      </c>
      <c r="G8" s="87" cm="1">
        <f t="array" aca="1" ref="G8" ca="1">IF($B8&lt;&gt;"",SUMPRODUCT(--ISNUMBER(SEARCH($B8, Project!$M$2:$M$91)), --(Project!$O$2:$O$91="WIP")+(Project!$O$2:$O$91="Review")),"")</f>
        <v>1</v>
      </c>
      <c r="H8" s="87" cm="1">
        <f t="array" aca="1" ref="H8" ca="1">IF($B8&lt;&gt;"",SUMPRODUCT(--ISNUMBER(SEARCH($B8, Project!$M$2:$M$91)), --(Project!$O$2:$O$91="Hold")),"")</f>
        <v>1</v>
      </c>
      <c r="I8" s="88" cm="1">
        <f t="array" aca="1" ref="I8" ca="1">IF($B8&lt;&gt;"",SUMPRODUCT(--ISNUMBER(SEARCH($B8, Project!$M$2:$M$91)), --(Project!$O$2:$O$91="NYS")),"")</f>
        <v>0</v>
      </c>
    </row>
    <row r="9" spans="2:9" ht="15.6">
      <c r="B9" s="62" t="str">
        <v>Mounika Chitrala</v>
      </c>
      <c r="C9" s="63" cm="1">
        <f t="array" aca="1" ref="C9" ca="1">IF(B9&lt;&gt;"",SUM(--ISNUMBER(SEARCH(B9, Project!M3:M92))),"")</f>
        <v>2</v>
      </c>
      <c r="D9" s="63" cm="1">
        <f t="array" aca="1" ref="D9" ca="1">IF(B9&lt;&gt;"",SUMPRODUCT(--ISNUMBER(SEARCH(B9,Project!M3:M92)),--(Project!L3:L92="India")),"")</f>
        <v>0</v>
      </c>
      <c r="E9" s="63" cm="1">
        <f t="array" aca="1" ref="E9" ca="1">IF(B9&lt;&gt;"",SUMPRODUCT(--ISNUMBER(SEARCH($B9, Project!$M$2:$M$91)), --(Project!$L$2:$L$91="Global")),"")</f>
        <v>2</v>
      </c>
      <c r="F9" s="63" cm="1">
        <f t="array" aca="1" ref="F9" ca="1">IF(C9&lt;&gt;"",SUMPRODUCT(--ISNUMBER(SEARCH($B9, Project!$M$2:$M$91)), --(Project!$O$2:$O$91="Completed")),"")</f>
        <v>0</v>
      </c>
      <c r="G9" s="63" cm="1">
        <f t="array" aca="1" ref="G9" ca="1">IF($B9&lt;&gt;"",SUMPRODUCT(--ISNUMBER(SEARCH($B9, Project!$M$2:$M$91)), --(Project!$O$2:$O$91="WIP")+(Project!$O$2:$O$91="Review")),"")</f>
        <v>2</v>
      </c>
      <c r="H9" s="87" cm="1">
        <f t="array" aca="1" ref="H9" ca="1">IF($B9&lt;&gt;"",SUMPRODUCT(--ISNUMBER(SEARCH($B9, Project!$M$2:$M$91)), --(Project!$O$2:$O$91="Hold")),"")</f>
        <v>0</v>
      </c>
      <c r="I9" s="88" cm="1">
        <f t="array" aca="1" ref="I9" ca="1">IF($B9&lt;&gt;"",SUMPRODUCT(--ISNUMBER(SEARCH($B9, Project!$M$2:$M$91)), --(Project!$O$2:$O$91="NYS")),"")</f>
        <v>0</v>
      </c>
    </row>
    <row r="10" spans="2:9" ht="15.6">
      <c r="B10" s="62" t="str">
        <v>Jyothish Chandra</v>
      </c>
      <c r="C10" s="63" cm="1">
        <f t="array" aca="1" ref="C10" ca="1">IF(B10&lt;&gt;"",SUM(--ISNUMBER(SEARCH(B10, Project!M4:M93))),"")</f>
        <v>2</v>
      </c>
      <c r="D10" s="63" cm="1">
        <f t="array" aca="1" ref="D10" ca="1">IF(B10&lt;&gt;"",SUMPRODUCT(--ISNUMBER(SEARCH(B10,Project!M4:M93)),--(Project!L4:L93="India")),"")</f>
        <v>0</v>
      </c>
      <c r="E10" s="63" cm="1">
        <f t="array" aca="1" ref="E10" ca="1">IF(B10&lt;&gt;"",SUMPRODUCT(--ISNUMBER(SEARCH($B10, Project!$M$2:$M$91)), --(Project!$L$2:$L$91="Global")),"")</f>
        <v>2</v>
      </c>
      <c r="F10" s="63" cm="1">
        <f t="array" aca="1" ref="F10" ca="1">IF(C10&lt;&gt;"",SUMPRODUCT(--ISNUMBER(SEARCH($B10, Project!$M$2:$M$91)), --(Project!$O$2:$O$91="Completed")),"")</f>
        <v>0</v>
      </c>
      <c r="G10" s="63" cm="1">
        <f t="array" aca="1" ref="G10" ca="1">IF($B10&lt;&gt;"",SUMPRODUCT(--ISNUMBER(SEARCH($B10, Project!$M$2:$M$91)), --(Project!$O$2:$O$91="WIP")+(Project!$O$2:$O$91="Review")),"")</f>
        <v>2</v>
      </c>
      <c r="H10" s="87" cm="1">
        <f t="array" aca="1" ref="H10" ca="1">IF($B10&lt;&gt;"",SUMPRODUCT(--ISNUMBER(SEARCH($B10, Project!$M$2:$M$91)), --(Project!$O$2:$O$91="Hold")),"")</f>
        <v>0</v>
      </c>
      <c r="I10" s="88" cm="1">
        <f t="array" aca="1" ref="I10" ca="1">IF($B10&lt;&gt;"",SUMPRODUCT(--ISNUMBER(SEARCH($B10, Project!$M$2:$M$91)), --(Project!$O$2:$O$91="NYS")),"")</f>
        <v>0</v>
      </c>
    </row>
    <row r="11" spans="2:9" ht="15.6">
      <c r="B11" s="62"/>
      <c r="C11" s="63" t="str" cm="1">
        <f t="array" ref="C11">IF(B11&lt;&gt;"",SUM(--ISNUMBER(SEARCH(B11, Project!M4:M94))),"")</f>
        <v/>
      </c>
      <c r="D11" s="63" t="str" cm="1">
        <f t="array" ref="D11">IF(B11&lt;&gt;"",SUMPRODUCT(--ISNUMBER(SEARCH(B11,Project!M4:M94)),--(Project!L4:L94="India")),"")</f>
        <v/>
      </c>
      <c r="E11" s="63" t="str" cm="1">
        <f t="array" ref="E11">IF(B11&lt;&gt;"",SUMPRODUCT(--ISNUMBER(SEARCH($B11, Project!$M$2:$M$91)), --(Project!$L$2:$L$91="Global")),"")</f>
        <v/>
      </c>
      <c r="F11" s="63" t="str" cm="1">
        <f t="array" ref="F11">IF(C11&lt;&gt;"",SUMPRODUCT(--ISNUMBER(SEARCH($B11, Project!$M$2:$M$91)), --(Project!$O$2:$O$91="Completed")),"")</f>
        <v/>
      </c>
      <c r="G11" s="63" t="str" cm="1">
        <f t="array" ref="G11">IF($B11&lt;&gt;"",SUMPRODUCT(--ISNUMBER(SEARCH($B11, Project!$M$2:$M$91)), --(Project!$O$2:$O$91="WIP")+(Project!$O$2:$O$91="Review")),"")</f>
        <v/>
      </c>
      <c r="H11" s="87" t="str" cm="1">
        <f t="array" ref="H11">IF($B11&lt;&gt;"",SUMPRODUCT(--ISNUMBER(SEARCH($B11, Project!$M$2:$M$91)), --(Project!$O$2:$O$91="Hold")),"")</f>
        <v/>
      </c>
      <c r="I11" s="88" t="str" cm="1">
        <f t="array" ref="I11">IF($B11&lt;&gt;"",SUMPRODUCT(--ISNUMBER(SEARCH($B11, Project!$M$2:$M$91)), --(Project!$O$2:$O$91="NYS")),"")</f>
        <v/>
      </c>
    </row>
    <row r="12" spans="2:9" ht="15.6">
      <c r="B12" s="62"/>
      <c r="C12" s="63" t="str" cm="1">
        <f t="array" ref="C12">IF(B12&lt;&gt;"",SUM(--ISNUMBER(SEARCH(B12, Project!M4:M95))),"")</f>
        <v/>
      </c>
      <c r="D12" s="63" t="str" cm="1">
        <f t="array" ref="D12">IF(B12&lt;&gt;"",SUMPRODUCT(--ISNUMBER(SEARCH(B12,Project!M4:M95)),--(Project!L4:L95="India")),"")</f>
        <v/>
      </c>
      <c r="E12" s="63" t="str" cm="1">
        <f t="array" ref="E12">IF(B12&lt;&gt;"",SUMPRODUCT(--ISNUMBER(SEARCH($B12, Project!$M$2:$M$91)), --(Project!$L$2:$L$91="Global")),"")</f>
        <v/>
      </c>
      <c r="F12" s="63" t="str" cm="1">
        <f t="array" ref="F12">IF(C12&lt;&gt;"",SUMPRODUCT(--ISNUMBER(SEARCH($B12, Project!$M$2:$M$91)), --(Project!$O$2:$O$91="Completed")),"")</f>
        <v/>
      </c>
      <c r="G12" s="63" t="str" cm="1">
        <f t="array" ref="G12">IF($B12&lt;&gt;"",SUMPRODUCT(--ISNUMBER(SEARCH($B12, Project!$M$2:$M$91)), --(Project!$O$2:$O$91="WIP")+(Project!$O$2:$O$91="Review")),"")</f>
        <v/>
      </c>
      <c r="H12" s="87" t="str" cm="1">
        <f t="array" ref="H12">IF($B12&lt;&gt;"",SUMPRODUCT(--ISNUMBER(SEARCH($B12, Project!$M$2:$M$91)), --(Project!$O$2:$O$91="Hold")),"")</f>
        <v/>
      </c>
      <c r="I12" s="88" t="str" cm="1">
        <f t="array" ref="I12">IF($B12&lt;&gt;"",SUMPRODUCT(--ISNUMBER(SEARCH($B12, Project!$M$2:$M$91)), --(Project!$O$2:$O$91="NYS")),"")</f>
        <v/>
      </c>
    </row>
    <row r="13" spans="2:9" ht="15.6">
      <c r="B13" s="62"/>
      <c r="C13" s="63" t="str" cm="1">
        <f t="array" ref="C13">IF(B13&lt;&gt;"",SUM(--ISNUMBER(SEARCH(B13, Project!M5:M96))),"")</f>
        <v/>
      </c>
      <c r="D13" s="63" t="str" cm="1">
        <f t="array" ref="D13">IF(B13&lt;&gt;"",SUMPRODUCT(--ISNUMBER(SEARCH(B13,Project!M5:M96)),--(Project!L5:L96="India")),"")</f>
        <v/>
      </c>
      <c r="E13" s="63" t="str" cm="1">
        <f t="array" ref="E13">IF(B13&lt;&gt;"",SUMPRODUCT(--ISNUMBER(SEARCH($B13, Project!$M$2:$M$91)), --(Project!$L$2:$L$91="Global")),"")</f>
        <v/>
      </c>
      <c r="F13" s="63" t="str" cm="1">
        <f t="array" ref="F13">IF(C13&lt;&gt;"",SUMPRODUCT(--ISNUMBER(SEARCH($B13, Project!$M$2:$M$91)), --(Project!$O$2:$O$91="Completed")),"")</f>
        <v/>
      </c>
      <c r="G13" s="63" t="str" cm="1">
        <f t="array" ref="G13">IF($B13&lt;&gt;"",SUMPRODUCT(--ISNUMBER(SEARCH($B13, Project!$M$2:$M$91)), --(Project!$O$2:$O$91="WIP")+(Project!$O$2:$O$91="Review")),"")</f>
        <v/>
      </c>
      <c r="H13" s="87" t="str" cm="1">
        <f t="array" ref="H13">IF($B13&lt;&gt;"",SUMPRODUCT(--ISNUMBER(SEARCH($B13, Project!$M$2:$M$91)), --(Project!$O$2:$O$91="Hold")),"")</f>
        <v/>
      </c>
      <c r="I13" s="88" t="str" cm="1">
        <f t="array" ref="I13">IF($B13&lt;&gt;"",SUMPRODUCT(--ISNUMBER(SEARCH($B13, Project!$M$2:$M$91)), --(Project!$O$2:$O$91="NYS")),"")</f>
        <v/>
      </c>
    </row>
    <row r="14" spans="2:9" ht="15.6">
      <c r="B14" s="62"/>
      <c r="C14" s="63" t="str" cm="1">
        <f t="array" ref="C14">IF(B14&lt;&gt;"",SUM(--ISNUMBER(SEARCH(B14, Project!M5:M97))),"")</f>
        <v/>
      </c>
      <c r="D14" s="63" t="str" cm="1">
        <f t="array" ref="D14">IF(B14&lt;&gt;"",SUMPRODUCT(--ISNUMBER(SEARCH(B14,Project!M5:M97)),--(Project!L5:L97="India")),"")</f>
        <v/>
      </c>
      <c r="E14" s="63" t="str" cm="1">
        <f t="array" ref="E14">IF(B14&lt;&gt;"",SUMPRODUCT(--ISNUMBER(SEARCH($B14, Project!$M$2:$M$91)), --(Project!$L$2:$L$91="Global")),"")</f>
        <v/>
      </c>
      <c r="F14" s="63" t="str" cm="1">
        <f t="array" ref="F14">IF(C14&lt;&gt;"",SUMPRODUCT(--ISNUMBER(SEARCH($B14, Project!$M$2:$M$91)), --(Project!$O$2:$O$91="Completed")),"")</f>
        <v/>
      </c>
      <c r="G14" s="63" t="str" cm="1">
        <f t="array" ref="G14">IF($B14&lt;&gt;"",SUMPRODUCT(--ISNUMBER(SEARCH($B14, Project!$M$2:$M$91)), --(Project!$O$2:$O$91="WIP")+(Project!$O$2:$O$91="Review")),"")</f>
        <v/>
      </c>
      <c r="H14" s="87" t="str" cm="1">
        <f t="array" ref="H14">IF($B14&lt;&gt;"",SUMPRODUCT(--ISNUMBER(SEARCH($B14, Project!$M$2:$M$91)), --(Project!$O$2:$O$91="Hold")),"")</f>
        <v/>
      </c>
      <c r="I14" s="88" t="str" cm="1">
        <f t="array" ref="I14">IF($B14&lt;&gt;"",SUMPRODUCT(--ISNUMBER(SEARCH($B14, Project!$M$2:$M$91)), --(Project!$O$2:$O$91="NYS")),"")</f>
        <v/>
      </c>
    </row>
    <row r="15" spans="2:9" ht="15.6">
      <c r="B15" s="62"/>
      <c r="C15" s="63" t="str" cm="1">
        <f t="array" ref="C15">IF(B15&lt;&gt;"",SUM(--ISNUMBER(SEARCH(B15, Project!M5:M98))),"")</f>
        <v/>
      </c>
      <c r="D15" s="63" t="str" cm="1">
        <f t="array" ref="D15">IF(B15&lt;&gt;"",SUMPRODUCT(--ISNUMBER(SEARCH(B15,Project!M5:M98)),--(Project!L5:L98="India")),"")</f>
        <v/>
      </c>
      <c r="E15" s="63" t="str" cm="1">
        <f t="array" ref="E15">IF(B15&lt;&gt;"",SUMPRODUCT(--ISNUMBER(SEARCH($B15, Project!$M$2:$M$91)), --(Project!$L$2:$L$91="Global")),"")</f>
        <v/>
      </c>
      <c r="F15" s="63" t="str" cm="1">
        <f t="array" ref="F15">IF(C15&lt;&gt;"",SUMPRODUCT(--ISNUMBER(SEARCH($B15, Project!$M$2:$M$91)), --(Project!$O$2:$O$91="Completed")),"")</f>
        <v/>
      </c>
      <c r="G15" s="63" t="str" cm="1">
        <f t="array" ref="G15">IF($B15&lt;&gt;"",SUMPRODUCT(--ISNUMBER(SEARCH($B15, Project!$M$2:$M$91)), --(Project!$O$2:$O$91="WIP")+(Project!$O$2:$O$91="Review")),"")</f>
        <v/>
      </c>
      <c r="H15" s="87" t="str" cm="1">
        <f t="array" ref="H15">IF($B15&lt;&gt;"",SUMPRODUCT(--ISNUMBER(SEARCH($B15, Project!$M$2:$M$91)), --(Project!$O$2:$O$91="Hold")),"")</f>
        <v/>
      </c>
      <c r="I15" s="88" t="str" cm="1">
        <f t="array" ref="I15">IF($B15&lt;&gt;"",SUMPRODUCT(--ISNUMBER(SEARCH($B15, Project!$M$2:$M$91)), --(Project!$O$2:$O$91="NYS")),"")</f>
        <v/>
      </c>
    </row>
    <row r="16" spans="2:9" ht="15.6">
      <c r="B16" s="62"/>
      <c r="C16" s="63" t="str" cm="1">
        <f t="array" ref="C16">IF(B16&lt;&gt;"",SUM(--ISNUMBER(SEARCH(B16, Project!M5:M99))),"")</f>
        <v/>
      </c>
      <c r="D16" s="63" t="str" cm="1">
        <f t="array" ref="D16">IF(B16&lt;&gt;"",SUMPRODUCT(--ISNUMBER(SEARCH(B16,Project!M5:M99)),--(Project!L5:L99="India")),"")</f>
        <v/>
      </c>
      <c r="E16" s="63" t="str" cm="1">
        <f t="array" ref="E16">IF(B16&lt;&gt;"",SUMPRODUCT(--ISNUMBER(SEARCH($B16, Project!$M$2:$M$91)), --(Project!$L$2:$L$91="Global")),"")</f>
        <v/>
      </c>
      <c r="F16" s="63" t="str" cm="1">
        <f t="array" ref="F16">IF(C16&lt;&gt;"",SUMPRODUCT(--ISNUMBER(SEARCH($B16, Project!$M$2:$M$91)), --(Project!$O$2:$O$91="Completed")),"")</f>
        <v/>
      </c>
      <c r="G16" s="63" t="str" cm="1">
        <f t="array" ref="G16">IF($B16&lt;&gt;"",SUMPRODUCT(--ISNUMBER(SEARCH($B16, Project!$M$2:$M$91)), --(Project!$O$2:$O$91="WIP")+(Project!$O$2:$O$91="Review")),"")</f>
        <v/>
      </c>
      <c r="H16" s="87" t="str" cm="1">
        <f t="array" ref="H16">IF($B16&lt;&gt;"",SUMPRODUCT(--ISNUMBER(SEARCH($B16, Project!$M$2:$M$91)), --(Project!$O$2:$O$91="Hold")),"")</f>
        <v/>
      </c>
      <c r="I16" s="88" t="str" cm="1">
        <f t="array" ref="I16">IF($B16&lt;&gt;"",SUMPRODUCT(--ISNUMBER(SEARCH($B16, Project!$M$2:$M$91)), --(Project!$O$2:$O$91="NYS")),"")</f>
        <v/>
      </c>
    </row>
    <row r="17" spans="2:9" ht="15.6">
      <c r="B17" s="62"/>
      <c r="C17" s="63" t="str" cm="1">
        <f t="array" ref="C17">IF(B17&lt;&gt;"",SUM(--ISNUMBER(SEARCH(B17, Project!M5:M100))),"")</f>
        <v/>
      </c>
      <c r="D17" s="63" t="str" cm="1">
        <f t="array" ref="D17">IF(B17&lt;&gt;"",SUMPRODUCT(--ISNUMBER(SEARCH(B17,Project!M5:M100)),--(Project!L5:L100="India")),"")</f>
        <v/>
      </c>
      <c r="E17" s="63" t="str" cm="1">
        <f t="array" ref="E17">IF(B17&lt;&gt;"",SUMPRODUCT(--ISNUMBER(SEARCH($B17, Project!$M$2:$M$91)), --(Project!$L$2:$L$91="Global")),"")</f>
        <v/>
      </c>
      <c r="F17" s="63" t="str" cm="1">
        <f t="array" ref="F17">IF(C17&lt;&gt;"",SUMPRODUCT(--ISNUMBER(SEARCH($B17, Project!$M$2:$M$91)), --(Project!$O$2:$O$91="Completed")),"")</f>
        <v/>
      </c>
      <c r="G17" s="63" t="str" cm="1">
        <f t="array" ref="G17">IF($B17&lt;&gt;"",SUMPRODUCT(--ISNUMBER(SEARCH($B17, Project!$M$2:$M$91)), --(Project!$O$2:$O$91="WIP")+(Project!$O$2:$O$91="Review")),"")</f>
        <v/>
      </c>
      <c r="H17" s="87" t="str" cm="1">
        <f t="array" ref="H17">IF($B17&lt;&gt;"",SUMPRODUCT(--ISNUMBER(SEARCH($B17, Project!$M$2:$M$91)), --(Project!$O$2:$O$91="Hold")),"")</f>
        <v/>
      </c>
      <c r="I17" s="88" t="str" cm="1">
        <f t="array" ref="I17">IF($B17&lt;&gt;"",SUMPRODUCT(--ISNUMBER(SEARCH($B17, Project!$M$2:$M$91)), --(Project!$O$2:$O$91="NYS")),"")</f>
        <v/>
      </c>
    </row>
    <row r="18" spans="2:9" ht="15.6">
      <c r="B18" s="62"/>
      <c r="C18" s="63" t="str" cm="1">
        <f t="array" ref="C18">IF(B18&lt;&gt;"",SUM(--ISNUMBER(SEARCH(B18, Project!M6:M101))),"")</f>
        <v/>
      </c>
      <c r="D18" s="63" t="str" cm="1">
        <f t="array" ref="D18">IF(B18&lt;&gt;"",SUMPRODUCT(--ISNUMBER(SEARCH(B18,Project!M6:M101)),--(Project!L6:L101="India")),"")</f>
        <v/>
      </c>
      <c r="E18" s="63" t="str" cm="1">
        <f t="array" ref="E18">IF(B18&lt;&gt;"",SUMPRODUCT(--ISNUMBER(SEARCH($B18, Project!$M$2:$M$91)), --(Project!$L$2:$L$91="Global")),"")</f>
        <v/>
      </c>
      <c r="F18" s="63" t="str" cm="1">
        <f t="array" ref="F18">IF(C18&lt;&gt;"",SUMPRODUCT(--ISNUMBER(SEARCH($B18, Project!$M$2:$M$91)), --(Project!$O$2:$O$91="Completed")),"")</f>
        <v/>
      </c>
      <c r="G18" s="63" t="str" cm="1">
        <f t="array" ref="G18">IF($B18&lt;&gt;"",SUMPRODUCT(--ISNUMBER(SEARCH($B18, Project!$M$2:$M$91)), --(Project!$O$2:$O$91="WIP")+(Project!$O$2:$O$91="Review")),"")</f>
        <v/>
      </c>
      <c r="H18" s="87" t="str" cm="1">
        <f t="array" ref="H18">IF($B18&lt;&gt;"",SUMPRODUCT(--ISNUMBER(SEARCH($B18, Project!$M$2:$M$91)), --(Project!$O$2:$O$91="Hold")),"")</f>
        <v/>
      </c>
      <c r="I18" s="88" t="str" cm="1">
        <f t="array" ref="I18">IF($B18&lt;&gt;"",SUMPRODUCT(--ISNUMBER(SEARCH($B18, Project!$M$2:$M$91)), --(Project!$O$2:$O$91="NYS")),"")</f>
        <v/>
      </c>
    </row>
    <row r="19" spans="2:9" ht="15.6">
      <c r="B19" s="62" t="s">
        <v>131</v>
      </c>
      <c r="C19" s="63" t="str" cm="1">
        <f t="array" ref="C19">IF(B19&lt;&gt;"",SUM(--ISNUMBER(SEARCH(B19, Project!M7:M102))),"")</f>
        <v/>
      </c>
      <c r="D19" s="63" t="str" cm="1">
        <f t="array" ref="D19">IF(B19&lt;&gt;"",SUMPRODUCT(--ISNUMBER(SEARCH(B19,Project!M7:M102)),--(Project!L7:L102="India")),"")</f>
        <v/>
      </c>
      <c r="E19" s="63" t="str" cm="1">
        <f t="array" ref="E19">IF(B19&lt;&gt;"",SUMPRODUCT(--ISNUMBER(SEARCH($B19, Project!$M$2:$M$91)), --(Project!$L$2:$L$91="Global")),"")</f>
        <v/>
      </c>
      <c r="F19" s="63" t="str" cm="1">
        <f t="array" ref="F19">IF(C19&lt;&gt;"",SUMPRODUCT(--ISNUMBER(SEARCH($B19, Project!$M$2:$M$91)), --(Project!$O$2:$O$91="Completed")),"")</f>
        <v/>
      </c>
      <c r="G19" s="63" t="str" cm="1">
        <f t="array" ref="G19">IF($B19&lt;&gt;"",SUMPRODUCT(--ISNUMBER(SEARCH($B19, Project!$M$2:$M$91)), --(Project!$O$2:$O$91="WIP")+(Project!$O$2:$O$91="Review")),"")</f>
        <v/>
      </c>
      <c r="H19" s="87" t="str" cm="1">
        <f t="array" ref="H19">IF($B19&lt;&gt;"",SUMPRODUCT(--ISNUMBER(SEARCH($B19, Project!$M$2:$M$91)), --(Project!$O$2:$O$91="Hold")),"")</f>
        <v/>
      </c>
      <c r="I19" s="88" t="str" cm="1">
        <f t="array" ref="I19">IF($B19&lt;&gt;"",SUMPRODUCT(--ISNUMBER(SEARCH($B19, Project!$M$2:$M$91)), --(Project!$O$2:$O$91="NYS")),"")</f>
        <v/>
      </c>
    </row>
    <row r="20" spans="2:9" ht="16.149999999999999" thickBot="1">
      <c r="B20" s="64" t="s">
        <v>131</v>
      </c>
      <c r="C20" s="65" t="str" cm="1">
        <f t="array" ref="C20">IF(B20&lt;&gt;"",SUM(--ISNUMBER(SEARCH(B20, Project!M8:M103))),"")</f>
        <v/>
      </c>
      <c r="D20" s="65" t="str" cm="1">
        <f t="array" ref="D20">IF(B20&lt;&gt;"",SUMPRODUCT(--ISNUMBER(SEARCH(B20,Project!M8:M103)),--(Project!L8:L103="India")),"")</f>
        <v/>
      </c>
      <c r="E20" s="65" t="str" cm="1">
        <f t="array" ref="E20">IF(B20&lt;&gt;"",SUMPRODUCT(--ISNUMBER(SEARCH($B20, Project!$M$2:$M$91)), --(Project!$L$2:$L$91="Global")),"")</f>
        <v/>
      </c>
      <c r="F20" s="65" t="str" cm="1">
        <f t="array" ref="F20">IF(C20&lt;&gt;"",SUMPRODUCT(--ISNUMBER(SEARCH($B20, Project!$M$2:$M$91)), --(Project!$O$2:$O$91="Completed")),"")</f>
        <v/>
      </c>
      <c r="G20" s="65" t="str" cm="1">
        <f t="array" ref="G20">IF($B20&lt;&gt;"",SUMPRODUCT(--ISNUMBER(SEARCH($B20, Project!$M$2:$M$91)), --(Project!$O$2:$O$91="WIP")+(Project!$O$2:$O$91="Review")),"")</f>
        <v/>
      </c>
      <c r="H20" s="177" t="str" cm="1">
        <f t="array" ref="H20">IF($B20&lt;&gt;"",SUMPRODUCT(--ISNUMBER(SEARCH($B20, Project!$M$2:$M$91)), --(Project!$O$2:$O$91="Hold")),"")</f>
        <v/>
      </c>
      <c r="I20" s="178" t="str" cm="1">
        <f t="array" ref="I20">IF($B20&lt;&gt;"",SUMPRODUCT(--ISNUMBER(SEARCH($B20, Project!$M$2:$M$91)), --(Project!$O$2:$O$91="NYS")),"")</f>
        <v/>
      </c>
    </row>
    <row r="21" spans="2:9" ht="15" thickBot="1"/>
    <row r="22" spans="2:9" ht="15.6">
      <c r="B22" s="179" t="s">
        <v>29</v>
      </c>
      <c r="C22" s="180" cm="1">
        <f t="array" aca="1" ref="C22" ca="1">IFERROR(_xlfn.LET(_xlpm.teams,_xlfn._xlws.FILTER(FPGA,FPGA&lt;&gt;""),_xlpm.matches,_xlfn.BYROW(Project!$M$3:$M$200,_xlfn.LAMBDA(_xlpm.row,SUM(--ISNUMBER(SEARCH(_xlpm.teams,_xlpm.row)))&gt;0)),_xlpm.result,_xlfn._xlws.FILTER(Project!$A$3:$A$200,_xlpm.matches),SUMPRODUCT(--(_xlpm.result&lt;&gt;""))),0)</f>
        <v>4</v>
      </c>
      <c r="D22" s="180" cm="1">
        <f t="array" aca="1" ref="D22" ca="1">_xlfn.LET(_xlpm.teams, _xlfn._xlws.FILTER(FPGA, FPGA &lt;&gt; ""),_xlpm.matches, _xlfn.BYROW(Project!$M$3:$M$200, _xlfn.LAMBDA(_xlpm.row,SUM(--ISNUMBER(SEARCH(_xlpm.teams, _xlpm.row))) &gt; 0)), _xlpm.combinedFilter, _xlpm.matches * (Project!$L$3:$L$200 = D$7),_xlpm.result,_xlfn._xlws.FILTER(Project!$A$3:$A$200, _xlpm.combinedFilter),SUMPRODUCT(--(ISERROR(_xlpm.result)=FALSE)))</f>
        <v>0</v>
      </c>
      <c r="E22" s="180" cm="1">
        <f t="array" aca="1" ref="E22" ca="1">_xlfn.LET(_xlpm.teams, _xlfn._xlws.FILTER(FPGA, FPGA &lt;&gt; ""),_xlpm.matches, _xlfn.BYROW(Project!$M$3:$M$200, _xlfn.LAMBDA(_xlpm.row,SUM(--ISNUMBER(SEARCH(_xlpm.teams, _xlpm.row))) &gt; 0)), _xlpm.combinedFilter, _xlpm.matches * (Project!$L$3:$L$200 =$E$7),_xlpm.result,_xlfn._xlws.FILTER(Project!$A$3:$A$200, _xlpm.combinedFilter),SUMPRODUCT(--(ISERROR(_xlpm.result)=FALSE)))</f>
        <v>4</v>
      </c>
      <c r="F22" s="180" cm="1">
        <f t="array" aca="1" ref="F22" ca="1">_xlfn.LET(_xlpm.teams, _xlfn._xlws.FILTER(FPGA, FPGA &lt;&gt; ""),_xlpm.matches, _xlfn.BYROW(Project!$M$3:$M$200, _xlfn.LAMBDA(_xlpm.row,SUM(--ISNUMBER(SEARCH(_xlpm.teams, _xlpm.row))) &gt; 0)), _xlpm.combinedFilter, _xlpm.matches * (Project!$O$3:$O$200 =$F$6),_xlpm.result,_xlfn._xlws.FILTER(Project!$A$3:$A$200, _xlpm.combinedFilter),SUMPRODUCT(--(ISERROR(_xlpm.result)=FALSE)))</f>
        <v>2</v>
      </c>
      <c r="G22" s="180" cm="1">
        <f t="array" aca="1" ref="G22" ca="1">_xlfn.LET(_xlpm.teams, _xlfn._xlws.FILTER(FPGA, FPGA &lt;&gt; ""),_xlpm.matches, _xlfn.BYROW(Project!$M$3:$M$200, _xlfn.LAMBDA(_xlpm.row,SUM(--ISNUMBER(SEARCH(_xlpm.teams, _xlpm.row))) &gt; 0)), _xlpm.combinedFilter, _xlpm.matches * (Project!$O$3:$O$200 =$G$6),_xlpm.result,_xlfn._xlws.FILTER(Project!$A$3:$A$200, _xlpm.combinedFilter),SUMPRODUCT(--(ISERROR(_xlpm.result)=FALSE)))</f>
        <v>1</v>
      </c>
      <c r="H22" s="180" cm="1">
        <f t="array" aca="1" ref="H22" ca="1">_xlfn.LET(_xlpm.teams, _xlfn._xlws.FILTER(FPGA, FPGA &lt;&gt; ""),_xlpm.matches, _xlfn.BYROW(Project!$M$3:$M$200, _xlfn.LAMBDA(_xlpm.row,SUM(--ISNUMBER(SEARCH(_xlpm.teams, _xlpm.row))) &gt; 0)), _xlpm.combinedFilter, _xlpm.matches * (Project!$O$3:$O$200 =$H$6),_xlpm.result,_xlfn._xlws.FILTER(Project!$A$3:$A$200, _xlpm.combinedFilter),SUMPRODUCT(--(ISERROR(_xlpm.result)=FALSE)))</f>
        <v>1</v>
      </c>
      <c r="I22" s="181" cm="1">
        <f t="array" aca="1" ref="I22" ca="1">_xlfn.LET(_xlpm.teams, _xlfn._xlws.FILTER(FPGA, FPGA &lt;&gt; ""),_xlpm.matches, _xlfn.BYROW(Project!$M$3:$M$200, _xlfn.LAMBDA(_xlpm.row,SUM(--ISNUMBER(SEARCH(_xlpm.teams, _xlpm.row))) &gt; 0)), _xlpm.combinedFilter, _xlpm.matches * (Project!$O$3:$O$200 = I$6),_xlpm.result,_xlfn._xlws.FILTER(Project!$A$3:$A$200, _xlpm.combinedFilter),SUMPRODUCT(--(ISERROR(_xlpm.result)=FALSE)))</f>
        <v>0</v>
      </c>
    </row>
    <row r="23" spans="2:9" ht="15.6">
      <c r="B23" s="182" t="s">
        <v>132</v>
      </c>
      <c r="C23" s="150" cm="1">
        <f t="array" aca="1" ref="C23" ca="1">IFERROR(_xlfn.LET(_xlpm.teams,_xlfn._xlws.FILTER(PLC_Programming,PLC_Programming&lt;&gt;""),_xlpm.matches,_xlfn.BYROW(Project!$M$3:$M$200,_xlfn.LAMBDA(_xlpm.row,SUM(--ISNUMBER(SEARCH(_xlpm.teams,_xlpm.row)))&gt;0)),_xlpm.result,_xlfn._xlws.FILTER(Project!$A$3:$A$200,_xlpm.matches),SUMPRODUCT(--(_xlpm.result&lt;&gt;""))),0)</f>
        <v>0</v>
      </c>
      <c r="D23" s="150" cm="1">
        <f t="array" aca="1" ref="D23" ca="1">_xlfn.LET(_xlpm.teams, _xlfn._xlws.FILTER(PLC_Programming, PLC_Programming &lt;&gt; ""),_xlpm.matches, _xlfn.BYROW(Project!$M$3:$M$200, _xlfn.LAMBDA(_xlpm.row,SUM(--ISNUMBER(SEARCH(_xlpm.teams, _xlpm.row))) &gt; 0)), _xlpm.combinedFilter, _xlpm.matches * (Project!$L$3:$L$200 = D$7),_xlpm.result,_xlfn._xlws.FILTER(Project!$A$3:$A$200, _xlpm.combinedFilter),SUMPRODUCT(--(ISERROR(_xlpm.result)=FALSE)))</f>
        <v>0</v>
      </c>
      <c r="E23" s="150" cm="1">
        <f t="array" aca="1" ref="E23" ca="1">_xlfn.LET(_xlpm.teams, _xlfn._xlws.FILTER(PLC_Programming, PLC_Programming &lt;&gt; ""),_xlpm.matches, _xlfn.BYROW(Project!$M$3:$M$200, _xlfn.LAMBDA(_xlpm.row,SUM(--ISNUMBER(SEARCH(_xlpm.teams, _xlpm.row))) &gt; 0)), _xlpm.combinedFilter, _xlpm.matches * (Project!$L$3:$L$200 =$E$7),_xlpm.result,_xlfn._xlws.FILTER(Project!$A$3:$A$200, _xlpm.combinedFilter),SUMPRODUCT(--(ISERROR(_xlpm.result)=FALSE)))</f>
        <v>0</v>
      </c>
      <c r="F23" s="150" cm="1">
        <f t="array" aca="1" ref="F23" ca="1">_xlfn.LET(_xlpm.teams, _xlfn._xlws.FILTER(PLC_Programming, PLC_Programming &lt;&gt; ""),_xlpm.matches, _xlfn.BYROW(Project!$M$3:$M$200, _xlfn.LAMBDA(_xlpm.row,SUM(--ISNUMBER(SEARCH(_xlpm.teams, _xlpm.row))) &gt; 0)), _xlpm.combinedFilter, _xlpm.matches * (Project!$O$3:$O$200 =$F$6),_xlpm.result,_xlfn._xlws.FILTER(Project!$A$3:$A$200, _xlpm.combinedFilter),SUMPRODUCT(--(ISERROR(_xlpm.result)=FALSE)))</f>
        <v>0</v>
      </c>
      <c r="G23" s="150" cm="1">
        <f t="array" aca="1" ref="G23" ca="1">_xlfn.LET(_xlpm.teams, _xlfn._xlws.FILTER(PLC_Programming, PLC_Programming &lt;&gt; ""),_xlpm.matches, _xlfn.BYROW(Project!$M$3:$M$200, _xlfn.LAMBDA(_xlpm.row,SUM(--ISNUMBER(SEARCH(_xlpm.teams, _xlpm.row))) &gt; 0)), _xlpm.combinedFilter, _xlpm.matches * (Project!$O$3:$O$200 =$G$6),_xlpm.result,_xlfn._xlws.FILTER(Project!$A$3:$A$200, _xlpm.combinedFilter),SUMPRODUCT(--(ISERROR(_xlpm.result)=FALSE)))</f>
        <v>0</v>
      </c>
      <c r="H23" s="150" cm="1">
        <f t="array" aca="1" ref="H23" ca="1">_xlfn.LET(_xlpm.teams, _xlfn._xlws.FILTER(PLC_Programming, PLC_Programming &lt;&gt; ""),_xlpm.matches, _xlfn.BYROW(Project!$M$3:$M$200, _xlfn.LAMBDA(_xlpm.row,SUM(--ISNUMBER(SEARCH(_xlpm.teams, _xlpm.row))) &gt; 0)), _xlpm.combinedFilter, _xlpm.matches * (Project!$O$3:$O$200 =$H$6),_xlpm.result,_xlfn._xlws.FILTER(Project!$A$3:$A$200, _xlpm.combinedFilter),SUMPRODUCT(--(ISERROR(_xlpm.result)=FALSE)))</f>
        <v>0</v>
      </c>
      <c r="I23" s="183" cm="1">
        <f t="array" aca="1" ref="I23" ca="1">_xlfn.LET(_xlpm.teams, _xlfn._xlws.FILTER(PLC_Programming, PLC_Programming &lt;&gt; ""),_xlpm.matches, _xlfn.BYROW(Project!$M$3:$M$200, _xlfn.LAMBDA(_xlpm.row,SUM(--ISNUMBER(SEARCH(_xlpm.teams, _xlpm.row))) &gt; 0)), _xlpm.combinedFilter, _xlpm.matches * (Project!$O$3:$O$200 = E$7),_xlpm.result,_xlfn._xlws.FILTER(Project!$A$3:$A$200, _xlpm.combinedFilter),SUMPRODUCT(--(ISERROR(_xlpm.result)=FALSE)))</f>
        <v>0</v>
      </c>
    </row>
    <row r="24" spans="2:9" ht="16.149999999999999" thickBot="1">
      <c r="B24" s="66" t="s">
        <v>133</v>
      </c>
      <c r="C24" s="184" cm="1">
        <f t="array" aca="1" ref="C24" ca="1">IFERROR(_xlfn.LET(_xlpm.teams,_xlfn._xlws.FILTER(Software_Development,Software_Development&lt;&gt;""),_xlpm.matches,_xlfn.BYROW(Project!$M$3:$M$200,_xlfn.LAMBDA(_xlpm.row,SUM(--ISNUMBER(SEARCH(_xlpm.teams,_xlpm.row)))&gt;0)),_xlpm.result,_xlfn._xlws.FILTER(Project!$A$3:$A$200,_xlpm.matches),SUMPRODUCT(--(_xlpm.result&lt;&gt;""))),0)</f>
        <v>4</v>
      </c>
      <c r="D24" s="184" cm="1">
        <f t="array" aca="1" ref="D24" ca="1">_xlfn.LET(_xlpm.teams, _xlfn._xlws.FILTER(Software_Development, Software_Development &lt;&gt; ""),_xlpm.matches, _xlfn.BYROW(Project!$M$3:$M$200, _xlfn.LAMBDA(_xlpm.row,SUM(--ISNUMBER(SEARCH(_xlpm.teams, _xlpm.row))) &gt; 0)), _xlpm.combinedFilter, _xlpm.matches * (Project!$L$3:$L$200 = D$7),_xlpm.result,_xlfn._xlws.FILTER(Project!$A$3:$A$200, _xlpm.combinedFilter),SUMPRODUCT(--(ISERROR(_xlpm.result)=FALSE)))</f>
        <v>0</v>
      </c>
      <c r="E24" s="184" cm="1">
        <f t="array" aca="1" ref="E24" ca="1">_xlfn.LET(_xlpm.teams, _xlfn._xlws.FILTER(Software_Development, Software_Development &lt;&gt; ""),_xlpm.matches, _xlfn.BYROW(Project!$M$3:$M$200, _xlfn.LAMBDA(_xlpm.row,SUM(--ISNUMBER(SEARCH(_xlpm.teams, _xlpm.row))) &gt; 0)), _xlpm.combinedFilter, _xlpm.matches * (Project!$L$3:$L$200 =$E$7),_xlpm.result,_xlfn._xlws.FILTER(Project!$A$3:$A$200, _xlpm.combinedFilter),SUMPRODUCT(--(ISERROR(_xlpm.result)=FALSE)))</f>
        <v>4</v>
      </c>
      <c r="F24" s="184" cm="1">
        <f t="array" aca="1" ref="F24" ca="1">_xlfn.LET(_xlpm.teams, _xlfn._xlws.FILTER(Software_Development, Software_Development &lt;&gt; ""),_xlpm.matches, _xlfn.BYROW(Project!$M$3:$M$200, _xlfn.LAMBDA(_xlpm.row,SUM(--ISNUMBER(SEARCH(_xlpm.teams, _xlpm.row))) &gt; 0)), _xlpm.combinedFilter, _xlpm.matches * (Project!$O$3:$O$200 =$F$6),_xlpm.result,_xlfn._xlws.FILTER(Project!$A$3:$A$200, _xlpm.combinedFilter),SUMPRODUCT(--(ISERROR(_xlpm.result)=FALSE)))</f>
        <v>0</v>
      </c>
      <c r="G24" s="184" cm="1">
        <f t="array" aca="1" ref="G24" ca="1">_xlfn.LET(_xlpm.teams, _xlfn._xlws.FILTER(Software_Development, Software_Development &lt;&gt; ""),_xlpm.matches, _xlfn.BYROW(Project!$M$3:$M$200, _xlfn.LAMBDA(_xlpm.row,SUM(--ISNUMBER(SEARCH(_xlpm.teams, _xlpm.row))) &gt; 0)), _xlpm.combinedFilter, _xlpm.matches * (Project!$O$3:$O$200 =$G$6),_xlpm.result,_xlfn._xlws.FILTER(Project!$A$3:$A$200, _xlpm.combinedFilter),SUMPRODUCT(--(ISERROR(_xlpm.result)=FALSE)))</f>
        <v>4</v>
      </c>
      <c r="H24" s="184" cm="1">
        <f t="array" aca="1" ref="H24" ca="1">_xlfn.LET(_xlpm.teams, _xlfn._xlws.FILTER(Software_Development, Software_Development &lt;&gt; ""),_xlpm.matches, _xlfn.BYROW(Project!$M$3:$M$200, _xlfn.LAMBDA(_xlpm.row,SUM(--ISNUMBER(SEARCH(_xlpm.teams, _xlpm.row))) &gt; 0)), _xlpm.combinedFilter, _xlpm.matches * (Project!$O$3:$O$200 =$H$6),_xlpm.result,_xlfn._xlws.FILTER(Project!$A$3:$A$200, _xlpm.combinedFilter),SUMPRODUCT(--(ISERROR(_xlpm.result)=FALSE)))</f>
        <v>0</v>
      </c>
      <c r="I24" s="185" cm="1">
        <f t="array" aca="1" ref="I24" ca="1">_xlfn.LET(_xlpm.teams, _xlfn._xlws.FILTER(Software_Development, Software_Development &lt;&gt; ""),_xlpm.matches, _xlfn.BYROW(Project!$M$3:$M$200, _xlfn.LAMBDA(_xlpm.row,SUM(--ISNUMBER(SEARCH(_xlpm.teams, _xlpm.row))) &gt; 0)), _xlpm.combinedFilter, _xlpm.matches * (Project!$O$3:$O$200 = E$7),_xlpm.result,_xlfn._xlws.FILTER(Project!$A$3:$A$200, _xlpm.combinedFilter),SUMPRODUCT(--(ISERROR(_xlpm.result)=FALSE)))</f>
        <v>0</v>
      </c>
    </row>
    <row r="26" spans="2:9">
      <c r="E26" s="59"/>
      <c r="F26" s="59"/>
      <c r="G26" s="59"/>
      <c r="H26" s="59"/>
    </row>
    <row r="33" spans="2:14">
      <c r="B33" s="67"/>
      <c r="C33" s="68"/>
      <c r="D33" s="68"/>
      <c r="E33" s="68"/>
      <c r="F33" s="68"/>
      <c r="G33" s="68"/>
      <c r="H33" s="69"/>
      <c r="I33" s="70"/>
      <c r="J33" s="71"/>
      <c r="K33" s="72" t="s">
        <v>134</v>
      </c>
      <c r="L33" s="3" t="s">
        <v>99</v>
      </c>
      <c r="M33" s="71"/>
    </row>
    <row r="34" spans="2:14" s="2" customFormat="1" ht="24">
      <c r="B34" s="173" t="s">
        <v>135</v>
      </c>
      <c r="C34" s="174" t="str" cm="1">
        <f t="array" ref="C34:E34">TRANSPOSE(_xlfn._xlws.FILTER(Team_Members, Team_Members &lt;&gt; ""))</f>
        <v>Aslam Khan</v>
      </c>
      <c r="D34" s="175" t="str">
        <v>Mounika Chitrala</v>
      </c>
      <c r="E34" s="175" t="str">
        <v>Jyothish Chandra</v>
      </c>
      <c r="F34" s="175"/>
      <c r="G34" s="175"/>
      <c r="H34" s="175"/>
      <c r="I34" s="175"/>
      <c r="J34" s="176"/>
      <c r="K34" s="176" t="s">
        <v>74</v>
      </c>
      <c r="L34" s="176" t="str">
        <f>B22</f>
        <v>FPGA</v>
      </c>
      <c r="M34" s="176" t="str">
        <f>B23</f>
        <v>PLC Programming</v>
      </c>
      <c r="N34" s="176" t="str">
        <f>B24</f>
        <v>Software Development</v>
      </c>
    </row>
    <row r="35" spans="2:14">
      <c r="B35" s="73" t="s">
        <v>136</v>
      </c>
      <c r="C35" s="74" t="e" cm="1">
        <f t="array" aca="1" ref="C35" ca="1">IF(C$34="","",INDIRECT("'"&amp;C$34&amp;"'!$E$6"))</f>
        <v>#VALUE!</v>
      </c>
      <c r="D35" s="74" t="e" cm="1">
        <f t="array" aca="1" ref="D35" ca="1">IF(D$34="","",INDIRECT("'"&amp;D$34&amp;"'!$E$6"))</f>
        <v>#VALUE!</v>
      </c>
      <c r="E35" s="74" t="e" cm="1">
        <f t="array" aca="1" ref="E35" ca="1">IF(E$34="","",INDIRECT("'"&amp;E$34&amp;"'!$E$6"))</f>
        <v>#VALUE!</v>
      </c>
      <c r="F35" s="74" t="str" cm="1">
        <f t="array" aca="1" ref="F35" ca="1">IF(F$34="","",INDIRECT("'"&amp;F$34&amp;"'!$E$6"))</f>
        <v/>
      </c>
      <c r="G35" s="74" t="str" cm="1">
        <f t="array" aca="1" ref="G35" ca="1">IF(G$34="","",INDIRECT("'"&amp;G$34&amp;"'!$E$6"))</f>
        <v/>
      </c>
      <c r="H35" s="74" t="str" cm="1">
        <f t="array" aca="1" ref="H35" ca="1">IF(H$34="","",INDIRECT("'"&amp;H$34&amp;"'!$E$6"))</f>
        <v/>
      </c>
      <c r="I35" s="74" t="str" cm="1">
        <f t="array" aca="1" ref="I35" ca="1">IF(I$34="","",INDIRECT("'"&amp;I$34&amp;"'!$E$6"))</f>
        <v/>
      </c>
      <c r="J35" s="74" t="str" cm="1">
        <f t="array" aca="1" ref="J35" ca="1">IF(J$34="","",INDIRECT("'"&amp;J$34&amp;"'!$E$6"))</f>
        <v/>
      </c>
      <c r="K35" s="75" t="e">
        <f t="shared" ref="K35:K47" ca="1" si="0">SUM($C35:$J35)</f>
        <v>#VALUE!</v>
      </c>
      <c r="L35" s="76" cm="1">
        <f t="array" aca="1" ref="L35" ca="1">SUMPRODUCT(IFERROR(ISNUMBER(MATCH($C$34:$J$34,FPGA,0))*$C35:$J35,""))</f>
        <v>0</v>
      </c>
      <c r="M35" s="76" cm="1">
        <f t="array" aca="1" ref="M35" ca="1">SUMPRODUCT(IFERROR(ISNUMBER(MATCH($C$34:$J$34,PLC_Programming,0))*$C35:$J35,""))</f>
        <v>0</v>
      </c>
      <c r="N35" s="76" cm="1">
        <f t="array" aca="1" ref="N35" ca="1">SUMPRODUCT(IFERROR(ISNUMBER(MATCH($C$34:$J$34,Software_Development,0))*$C35:$J35,""))</f>
        <v>0</v>
      </c>
    </row>
    <row r="36" spans="2:14">
      <c r="B36" s="73" t="s">
        <v>137</v>
      </c>
      <c r="C36" s="74" cm="1">
        <f t="array" aca="1" ref="C36" ca="1">IF(C$34="","",_xlfn.MAP(C$34,_xlfn.LAMBDA(_xlpm.x,SUMPRODUCT(IFERROR(INDIRECT("'"&amp;_xlpm.x&amp;"'!$G$8:$AC$150")*(MONTH(DATEVALUE(INDIRECT("'"&amp;_xlpm.x&amp;"'!$G$3:$AC$3")&amp;" 2025"))&lt;=MONTH(DATEVALUE("December"&amp;" 2025"))),"")))))</f>
        <v>85</v>
      </c>
      <c r="D36" s="74" cm="1">
        <f t="array" aca="1" ref="D36" ca="1">IF(D$34="","",_xlfn.MAP(D$34,_xlfn.LAMBDA(_xlpm.x,SUMPRODUCT(IFERROR(INDIRECT("'"&amp;_xlpm.x&amp;"'!$G$8:$AC$150")*(MONTH(DATEVALUE(INDIRECT("'"&amp;_xlpm.x&amp;"'!$G$3:$AC$3")&amp;" 2025"))&lt;=MONTH(DATEVALUE("December"&amp;" 2025"))),"")))))</f>
        <v>0</v>
      </c>
      <c r="E36" s="74" cm="1">
        <f t="array" aca="1" ref="E36" ca="1">IF(E$34="","",_xlfn.MAP(E$34,_xlfn.LAMBDA(_xlpm.x,SUMPRODUCT(IFERROR(INDIRECT("'"&amp;_xlpm.x&amp;"'!$G$8:$AC$150")*(MONTH(DATEVALUE(INDIRECT("'"&amp;_xlpm.x&amp;"'!$G$3:$AC$3")&amp;" 2025"))&lt;=MONTH(DATEVALUE("December"&amp;" 2025"))),"")))))</f>
        <v>0</v>
      </c>
      <c r="F36" s="74" t="str" cm="1">
        <f t="array" aca="1" ref="F36" ca="1">IF(F$34="","",_xlfn.MAP(F$34,_xlfn.LAMBDA(_xlpm.x,SUMPRODUCT(IFERROR(INDIRECT("'"&amp;_xlpm.x&amp;"'!$G$8:$AC$150")*(MONTH(DATEVALUE(INDIRECT("'"&amp;_xlpm.x&amp;"'!$G$3:$AC$3")&amp;" 2025"))&lt;=MONTH(DATEVALUE("December"&amp;" 2025"))),"")))))</f>
        <v/>
      </c>
      <c r="G36" s="74" t="str" cm="1">
        <f t="array" aca="1" ref="G36" ca="1">IF(G$34="","",_xlfn.MAP(G$34,_xlfn.LAMBDA(_xlpm.x,SUMPRODUCT(IFERROR(INDIRECT("'"&amp;_xlpm.x&amp;"'!$G$8:$AC$150")*(MONTH(DATEVALUE(INDIRECT("'"&amp;_xlpm.x&amp;"'!$G$3:$AC$3")&amp;" 2025"))&lt;=MONTH(DATEVALUE("December"&amp;" 2025"))),"")))))</f>
        <v/>
      </c>
      <c r="H36" s="74" t="str" cm="1">
        <f t="array" aca="1" ref="H36" ca="1">IF(H$34="","",_xlfn.MAP(H$34,_xlfn.LAMBDA(_xlpm.x,SUMPRODUCT(IFERROR(INDIRECT("'"&amp;_xlpm.x&amp;"'!$G$8:$AC$150")*(MONTH(DATEVALUE(INDIRECT("'"&amp;_xlpm.x&amp;"'!$G$3:$AC$3")&amp;" 2025"))&lt;=MONTH(DATEVALUE("December"&amp;" 2025"))),"")))))</f>
        <v/>
      </c>
      <c r="I36" s="74" t="str" cm="1">
        <f t="array" aca="1" ref="I36" ca="1">IF(I$34="","",_xlfn.MAP(I$34,_xlfn.LAMBDA(_xlpm.x,SUMPRODUCT(IFERROR(INDIRECT("'"&amp;_xlpm.x&amp;"'!$G$8:$AC$150")*(MONTH(DATEVALUE(INDIRECT("'"&amp;_xlpm.x&amp;"'!$G$3:$AC$3")&amp;" 2025"))&lt;=MONTH(DATEVALUE("December"&amp;" 2025"))),"")))))</f>
        <v/>
      </c>
      <c r="J36" s="74" t="str" cm="1">
        <f t="array" aca="1" ref="J36" ca="1">IF(J$34="","",_xlfn.MAP(J$34,_xlfn.LAMBDA(_xlpm.x,SUMPRODUCT(IFERROR(INDIRECT("'"&amp;_xlpm.x&amp;"'!$G$8:$AC$150")*(MONTH(DATEVALUE(INDIRECT("'"&amp;_xlpm.x&amp;"'!$G$3:$AC$3")&amp;" 2025"))&lt;=MONTH(DATEVALUE("December"&amp;" 2025"))),"")))))</f>
        <v/>
      </c>
      <c r="K36" s="75">
        <f ca="1">SUM($C36:$J36)</f>
        <v>85</v>
      </c>
      <c r="L36" s="76" cm="1">
        <f t="array" aca="1" ref="L36" ca="1">SUMPRODUCT(IFERROR(ISNUMBER(MATCH($C$34:$J$34,FPGA,0))*$C36:$J36,""))</f>
        <v>85</v>
      </c>
      <c r="M36" s="76" cm="1">
        <f t="array" aca="1" ref="M36" ca="1">SUMPRODUCT(IFERROR(ISNUMBER(MATCH($C$34:$J$34,PLC_Programming,0))*$C36:$J36,""))</f>
        <v>0</v>
      </c>
      <c r="N36" s="76" cm="1">
        <f t="array" aca="1" ref="N36" ca="1">SUMPRODUCT(IFERROR(ISNUMBER(MATCH($C$34:$J$34,Software_Development,0))*$C36:$J36,""))</f>
        <v>0</v>
      </c>
    </row>
    <row r="37" spans="2:14">
      <c r="B37" s="73" t="s">
        <v>138</v>
      </c>
      <c r="C37" s="74" cm="1">
        <f t="array" aca="1" ref="C37" ca="1">IF(C$34="","",_xlfn.MAP(C$34,_xlfn.LAMBDA(_xlpm.x,SUMPRODUCT(IFERROR(INDIRECT("'"&amp;_xlpm.x&amp;"'!$G$14:$AC$150")*(MONTH(DATEVALUE(INDIRECT("'"&amp;_xlpm.x&amp;"'!$G$3:$AC$3")&amp;" 2025"))&lt;=MONTH(DATEVALUE($L$33&amp;" 2025")))*(INDIRECT("'"&amp;_xlpm.x&amp;"'!$D$14:$D$150")="Completed"),"")))))</f>
        <v>85</v>
      </c>
      <c r="D37" s="74" cm="1">
        <f t="array" aca="1" ref="D37" ca="1">IF(D$34="","",_xlfn.MAP(D$34,_xlfn.LAMBDA(_xlpm.x,SUMPRODUCT(IFERROR(INDIRECT("'"&amp;_xlpm.x&amp;"'!$G$14:$AC$150")*(MONTH(DATEVALUE(INDIRECT("'"&amp;_xlpm.x&amp;"'!$G$3:$AC$3")&amp;" 2025"))&lt;=MONTH(DATEVALUE($L$33&amp;" 2025")))*(INDIRECT("'"&amp;_xlpm.x&amp;"'!$D$14:$D$150")="Completed"),"")))))</f>
        <v>0</v>
      </c>
      <c r="E37" s="74" cm="1">
        <f t="array" aca="1" ref="E37" ca="1">IF(E$34="","",_xlfn.MAP(E$34,_xlfn.LAMBDA(_xlpm.x,SUMPRODUCT(IFERROR(INDIRECT("'"&amp;_xlpm.x&amp;"'!$G$14:$AC$150")*(MONTH(DATEVALUE(INDIRECT("'"&amp;_xlpm.x&amp;"'!$G$3:$AC$3")&amp;" 2025"))&lt;=MONTH(DATEVALUE($L$33&amp;" 2025")))*(INDIRECT("'"&amp;_xlpm.x&amp;"'!$D$14:$D$150")="Completed"),"")))))</f>
        <v>0</v>
      </c>
      <c r="F37" s="74" t="str" cm="1">
        <f t="array" aca="1" ref="F37" ca="1">IF(F$34="","",_xlfn.MAP(F$34,_xlfn.LAMBDA(_xlpm.x,SUMPRODUCT(IFERROR(INDIRECT("'"&amp;_xlpm.x&amp;"'!$G$14:$AC$150")*(MONTH(DATEVALUE(INDIRECT("'"&amp;_xlpm.x&amp;"'!$G$3:$AC$3")&amp;" 2025"))&lt;=MONTH(DATEVALUE($L$33&amp;" 2025")))*(INDIRECT("'"&amp;_xlpm.x&amp;"'!$D$14:$D$150")="Completed"),"")))))</f>
        <v/>
      </c>
      <c r="G37" s="74" t="str" cm="1">
        <f t="array" aca="1" ref="G37" ca="1">IF(G$34="","",_xlfn.MAP(G$34,_xlfn.LAMBDA(_xlpm.x,SUMPRODUCT(IFERROR(INDIRECT("'"&amp;_xlpm.x&amp;"'!$G$14:$AC$150")*(MONTH(DATEVALUE(INDIRECT("'"&amp;_xlpm.x&amp;"'!$G$3:$AC$3")&amp;" 2025"))&lt;=MONTH(DATEVALUE($L$33&amp;" 2025")))*(INDIRECT("'"&amp;_xlpm.x&amp;"'!$D$14:$D$150")="Completed"),"")))))</f>
        <v/>
      </c>
      <c r="H37" s="74" t="str" cm="1">
        <f t="array" aca="1" ref="H37" ca="1">IF(H$34="","",_xlfn.MAP(H$34,_xlfn.LAMBDA(_xlpm.x,SUMPRODUCT(IFERROR(INDIRECT("'"&amp;_xlpm.x&amp;"'!$G$14:$AC$150")*(MONTH(DATEVALUE(INDIRECT("'"&amp;_xlpm.x&amp;"'!$G$3:$AC$3")&amp;" 2025"))&lt;=MONTH(DATEVALUE($L$33&amp;" 2025")))*(INDIRECT("'"&amp;_xlpm.x&amp;"'!$D$14:$D$150")="Completed"),"")))))</f>
        <v/>
      </c>
      <c r="I37" s="74" t="str" cm="1">
        <f t="array" aca="1" ref="I37" ca="1">IF(I$34="","",_xlfn.MAP(I$34,_xlfn.LAMBDA(_xlpm.x,SUMPRODUCT(IFERROR(INDIRECT("'"&amp;_xlpm.x&amp;"'!$G$14:$AC$150")*(MONTH(DATEVALUE(INDIRECT("'"&amp;_xlpm.x&amp;"'!$G$3:$AC$3")&amp;" 2025"))&lt;=MONTH(DATEVALUE($L$33&amp;" 2025")))*(INDIRECT("'"&amp;_xlpm.x&amp;"'!$D$14:$D$150")="Completed"),"")))))</f>
        <v/>
      </c>
      <c r="J37" s="74" t="str" cm="1">
        <f t="array" aca="1" ref="J37" ca="1">IF(J$34="","",_xlfn.MAP(J$34,_xlfn.LAMBDA(_xlpm.x,SUMPRODUCT(IFERROR(INDIRECT("'"&amp;_xlpm.x&amp;"'!$G$14:$AC$150")*(MONTH(DATEVALUE(INDIRECT("'"&amp;_xlpm.x&amp;"'!$G$3:$AC$3")&amp;" 2025"))&lt;=MONTH(DATEVALUE($L$33&amp;" 2025")))*(INDIRECT("'"&amp;_xlpm.x&amp;"'!$D$14:$D$150")="Completed"),"")))))</f>
        <v/>
      </c>
      <c r="K37" s="75">
        <f t="shared" ca="1" si="0"/>
        <v>85</v>
      </c>
      <c r="L37" s="76" cm="1">
        <f t="array" aca="1" ref="L37" ca="1">SUMPRODUCT(IFERROR(ISNUMBER(MATCH($C$34:$J$34,FPGA,0))*$C37:$J37,""))</f>
        <v>85</v>
      </c>
      <c r="M37" s="76" cm="1">
        <f t="array" aca="1" ref="M37" ca="1">SUMPRODUCT(IFERROR(ISNUMBER(MATCH($C$34:$J$34,PLC_Programming,0))*$C37:$J37,""))</f>
        <v>0</v>
      </c>
      <c r="N37" s="76" cm="1">
        <f t="array" aca="1" ref="N37" ca="1">SUMPRODUCT(IFERROR(ISNUMBER(MATCH($C$34:$J$34,Software_Development,0))*$C37:$J37,""))</f>
        <v>0</v>
      </c>
    </row>
    <row r="38" spans="2:14">
      <c r="B38" s="73" t="s">
        <v>139</v>
      </c>
      <c r="C38" s="74" cm="1">
        <f t="array" aca="1" ref="C38" ca="1">IF(C$34="","",_xlfn.MAP(C$34,_xlfn.LAMBDA(_xlpm.x,SUMPRODUCT(IFERROR(INDIRECT("'"&amp;_xlpm.x&amp;"'!$H$14:$AD$150")*(MONTH(DATEVALUE(INDIRECT("'"&amp;_xlpm.x&amp;"'!$G$3:$AC$3")&amp;" 2025"))&lt;=MONTH(DATEVALUE($L$33&amp;" 2025")))*(INDIRECT("'"&amp;_xlpm.x&amp;"'!$D$14:$D$150")="Completed"),"")))))</f>
        <v>60.5</v>
      </c>
      <c r="D38" s="74" cm="1">
        <f t="array" aca="1" ref="D38" ca="1">IF(D$34="","",_xlfn.MAP(D$34,_xlfn.LAMBDA(_xlpm.x,SUMPRODUCT(IFERROR(INDIRECT("'"&amp;_xlpm.x&amp;"'!$H$14:$AD$150")*(MONTH(DATEVALUE(INDIRECT("'"&amp;_xlpm.x&amp;"'!$G$3:$AC$3")&amp;" 2025"))&lt;=MONTH(DATEVALUE($L$33&amp;" 2025")))*(INDIRECT("'"&amp;_xlpm.x&amp;"'!$D$14:$D$150")="Completed"),"")))))</f>
        <v>0</v>
      </c>
      <c r="E38" s="74" cm="1">
        <f t="array" aca="1" ref="E38" ca="1">IF(E$34="","",_xlfn.MAP(E$34,_xlfn.LAMBDA(_xlpm.x,SUMPRODUCT(IFERROR(INDIRECT("'"&amp;_xlpm.x&amp;"'!$H$14:$AD$150")*(MONTH(DATEVALUE(INDIRECT("'"&amp;_xlpm.x&amp;"'!$G$3:$AC$3")&amp;" 2025"))&lt;=MONTH(DATEVALUE($L$33&amp;" 2025")))*(INDIRECT("'"&amp;_xlpm.x&amp;"'!$D$14:$D$150")="Completed"),"")))))</f>
        <v>0</v>
      </c>
      <c r="F38" s="74" t="str" cm="1">
        <f t="array" aca="1" ref="F38" ca="1">IF(F$34="","",_xlfn.MAP(F$34,_xlfn.LAMBDA(_xlpm.x,SUMPRODUCT(IFERROR(INDIRECT("'"&amp;_xlpm.x&amp;"'!$H$14:$AD$150")*(MONTH(DATEVALUE(INDIRECT("'"&amp;_xlpm.x&amp;"'!$G$3:$AC$3")&amp;" 2025"))&lt;=MONTH(DATEVALUE($L$33&amp;" 2025")))*(INDIRECT("'"&amp;_xlpm.x&amp;"'!$D$14:$D$150")="Completed"),"")))))</f>
        <v/>
      </c>
      <c r="G38" s="74" t="str" cm="1">
        <f t="array" aca="1" ref="G38" ca="1">IF(G$34="","",_xlfn.MAP(G$34,_xlfn.LAMBDA(_xlpm.x,SUMPRODUCT(IFERROR(INDIRECT("'"&amp;_xlpm.x&amp;"'!$H$14:$AD$150")*(MONTH(DATEVALUE(INDIRECT("'"&amp;_xlpm.x&amp;"'!$G$3:$AC$3")&amp;" 2025"))&lt;=MONTH(DATEVALUE($L$33&amp;" 2025")))*(INDIRECT("'"&amp;_xlpm.x&amp;"'!$D$14:$D$150")="Completed"),"")))))</f>
        <v/>
      </c>
      <c r="H38" s="74" t="str" cm="1">
        <f t="array" aca="1" ref="H38" ca="1">IF(H$34="","",_xlfn.MAP(H$34,_xlfn.LAMBDA(_xlpm.x,SUMPRODUCT(IFERROR(INDIRECT("'"&amp;_xlpm.x&amp;"'!$H$14:$AD$150")*(MONTH(DATEVALUE(INDIRECT("'"&amp;_xlpm.x&amp;"'!$G$3:$AC$3")&amp;" 2025"))&lt;=MONTH(DATEVALUE($L$33&amp;" 2025")))*(INDIRECT("'"&amp;_xlpm.x&amp;"'!$D$14:$D$150")="Completed"),"")))))</f>
        <v/>
      </c>
      <c r="I38" s="74" t="str" cm="1">
        <f t="array" aca="1" ref="I38" ca="1">IF(I$34="","",_xlfn.MAP(I$34,_xlfn.LAMBDA(_xlpm.x,SUMPRODUCT(IFERROR(INDIRECT("'"&amp;_xlpm.x&amp;"'!$H$14:$AD$150")*(MONTH(DATEVALUE(INDIRECT("'"&amp;_xlpm.x&amp;"'!$G$3:$AC$3")&amp;" 2025"))&lt;=MONTH(DATEVALUE($L$33&amp;" 2025")))*(INDIRECT("'"&amp;_xlpm.x&amp;"'!$D$14:$D$150")="Completed"),"")))))</f>
        <v/>
      </c>
      <c r="J38" s="74" t="str" cm="1">
        <f t="array" aca="1" ref="J38" ca="1">IF(J$34="","",_xlfn.MAP(J$34,_xlfn.LAMBDA(_xlpm.x,SUMPRODUCT(IFERROR(INDIRECT("'"&amp;_xlpm.x&amp;"'!$H$14:$AD$150")*(MONTH(DATEVALUE(INDIRECT("'"&amp;_xlpm.x&amp;"'!$G$3:$AC$3")&amp;" 2025"))&lt;=MONTH(DATEVALUE($L$33&amp;" 2025")))*(INDIRECT("'"&amp;_xlpm.x&amp;"'!$D$14:$D$150")="Completed"),"")))))</f>
        <v/>
      </c>
      <c r="K38" s="75">
        <f t="shared" ca="1" si="0"/>
        <v>60.5</v>
      </c>
      <c r="L38" s="76" cm="1">
        <f t="array" aca="1" ref="L38" ca="1">SUMPRODUCT(IFERROR(ISNUMBER(MATCH($C$34:$J$34,FPGA,0))*$C38:$J38,""))</f>
        <v>60.5</v>
      </c>
      <c r="M38" s="76" cm="1">
        <f t="array" aca="1" ref="M38" ca="1">SUMPRODUCT(IFERROR(ISNUMBER(MATCH($C$34:$J$34,PLC_Programming,0))*$C38:$J38,""))</f>
        <v>0</v>
      </c>
      <c r="N38" s="76" cm="1">
        <f t="array" aca="1" ref="N38" ca="1">SUMPRODUCT(IFERROR(ISNUMBER(MATCH($C$34:$J$34,Software_Development,0))*$C38:$J38,""))</f>
        <v>0</v>
      </c>
    </row>
    <row r="39" spans="2:14">
      <c r="B39" s="73" t="s">
        <v>140</v>
      </c>
      <c r="C39" s="74" cm="1">
        <f t="array" aca="1" ref="C39" ca="1">IF(C$34="","",_xlfn.MAP(C$34,_xlfn.LAMBDA(_xlpm.x,SUMPRODUCT(IFERROR(INDIRECT("'"&amp;_xlpm.x&amp;"'!$H$8:$AD$16")*(MONTH(DATEVALUE(INDIRECT("'"&amp;_xlpm.x&amp;"'!$G$3:$AC$3")&amp;" 2025"))&lt;=MONTH(DATEVALUE($L$33&amp;" 2025")))*(INDIRECT("'"&amp;_xlpm.x&amp;"'!$B$8:$B$14")="Other Hours"),"")))))</f>
        <v>2.5</v>
      </c>
      <c r="D39" s="74" cm="1">
        <f t="array" aca="1" ref="D39" ca="1">IF(D$34="","",_xlfn.MAP(D$34,_xlfn.LAMBDA(_xlpm.x,SUMPRODUCT(IFERROR(INDIRECT("'"&amp;_xlpm.x&amp;"'!$H$8:$AD$16")*(MONTH(DATEVALUE(INDIRECT("'"&amp;_xlpm.x&amp;"'!$G$3:$AC$3")&amp;" 2025"))&lt;=MONTH(DATEVALUE($L$33&amp;" 2025")))*(INDIRECT("'"&amp;_xlpm.x&amp;"'!$B$8:$B$14")="Other Hours"),"")))))</f>
        <v>0</v>
      </c>
      <c r="E39" s="74" cm="1">
        <f t="array" aca="1" ref="E39" ca="1">IF(E$34="","",_xlfn.MAP(E$34,_xlfn.LAMBDA(_xlpm.x,SUMPRODUCT(IFERROR(INDIRECT("'"&amp;_xlpm.x&amp;"'!$H$8:$AD$16")*(MONTH(DATEVALUE(INDIRECT("'"&amp;_xlpm.x&amp;"'!$G$3:$AC$3")&amp;" 2025"))&lt;=MONTH(DATEVALUE($L$33&amp;" 2025")))*(INDIRECT("'"&amp;_xlpm.x&amp;"'!$B$8:$B$14")="Other Hours"),"")))))</f>
        <v>0</v>
      </c>
      <c r="F39" s="74" t="str" cm="1">
        <f t="array" aca="1" ref="F39" ca="1">IF(F$34="","",_xlfn.MAP(F$34,_xlfn.LAMBDA(_xlpm.x,SUMPRODUCT(IFERROR(INDIRECT("'"&amp;_xlpm.x&amp;"'!$H$8:$AD$16")*(MONTH(DATEVALUE(INDIRECT("'"&amp;_xlpm.x&amp;"'!$G$3:$AC$3")&amp;" 2025"))&lt;=MONTH(DATEVALUE($L$33&amp;" 2025")))*(INDIRECT("'"&amp;_xlpm.x&amp;"'!$B$8:$B$14")="Other Hours"),"")))))</f>
        <v/>
      </c>
      <c r="G39" s="74" t="str" cm="1">
        <f t="array" aca="1" ref="G39" ca="1">IF(G$34="","",_xlfn.MAP(G$34,_xlfn.LAMBDA(_xlpm.x,SUMPRODUCT(IFERROR(INDIRECT("'"&amp;_xlpm.x&amp;"'!$H$8:$AD$16")*(MONTH(DATEVALUE(INDIRECT("'"&amp;_xlpm.x&amp;"'!$G$3:$AC$3")&amp;" 2025"))&lt;=MONTH(DATEVALUE($L$33&amp;" 2025")))*(INDIRECT("'"&amp;_xlpm.x&amp;"'!$B$8:$B$14")="Other Hours"),"")))))</f>
        <v/>
      </c>
      <c r="H39" s="74" t="str" cm="1">
        <f t="array" aca="1" ref="H39" ca="1">IF(H$34="","",_xlfn.MAP(H$34,_xlfn.LAMBDA(_xlpm.x,SUMPRODUCT(IFERROR(INDIRECT("'"&amp;_xlpm.x&amp;"'!$H$8:$AD$16")*(MONTH(DATEVALUE(INDIRECT("'"&amp;_xlpm.x&amp;"'!$G$3:$AC$3")&amp;" 2025"))&lt;=MONTH(DATEVALUE($L$33&amp;" 2025")))*(INDIRECT("'"&amp;_xlpm.x&amp;"'!$B$8:$B$14")="Other Hours"),"")))))</f>
        <v/>
      </c>
      <c r="I39" s="74" t="str" cm="1">
        <f t="array" aca="1" ref="I39" ca="1">IF(I$34="","",_xlfn.MAP(I$34,_xlfn.LAMBDA(_xlpm.x,SUMPRODUCT(IFERROR(INDIRECT("'"&amp;_xlpm.x&amp;"'!$H$8:$AD$16")*(MONTH(DATEVALUE(INDIRECT("'"&amp;_xlpm.x&amp;"'!$G$3:$AC$3")&amp;" 2025"))&lt;=MONTH(DATEVALUE($L$33&amp;" 2025")))*(INDIRECT("'"&amp;_xlpm.x&amp;"'!$B$8:$B$14")="Other Hours"),"")))))</f>
        <v/>
      </c>
      <c r="J39" s="74" t="str" cm="1">
        <f t="array" aca="1" ref="J39" ca="1">IF(J$34="","",_xlfn.MAP(J$34,_xlfn.LAMBDA(_xlpm.x,SUMPRODUCT(IFERROR(INDIRECT("'"&amp;_xlpm.x&amp;"'!$H$8:$AD$16")*(MONTH(DATEVALUE(INDIRECT("'"&amp;_xlpm.x&amp;"'!$G$3:$AC$3")&amp;" 2025"))&lt;=MONTH(DATEVALUE($L$33&amp;" 2025")))*(INDIRECT("'"&amp;_xlpm.x&amp;"'!$B$8:$B$14")="Other Hours"),"")))))</f>
        <v/>
      </c>
      <c r="K39" s="75">
        <f t="shared" ca="1" si="0"/>
        <v>2.5</v>
      </c>
      <c r="L39" s="76" cm="1">
        <f t="array" aca="1" ref="L39" ca="1">SUMPRODUCT(IFERROR(ISNUMBER(MATCH($C$34:$J$34,FPGA,0))*$C39:$J39,""))</f>
        <v>2.5</v>
      </c>
      <c r="M39" s="76" cm="1">
        <f t="array" aca="1" ref="M39" ca="1">SUMPRODUCT(IFERROR(ISNUMBER(MATCH($C$34:$J$34,PLC_Programming,0))*$C39:$J39,""))</f>
        <v>0</v>
      </c>
      <c r="N39" s="76" cm="1">
        <f t="array" aca="1" ref="N39" ca="1">SUMPRODUCT(IFERROR(ISNUMBER(MATCH($C$34:$J$34,Software_Development,0))*$C39:$J39,""))</f>
        <v>0</v>
      </c>
    </row>
    <row r="40" spans="2:14">
      <c r="B40" s="73" t="s">
        <v>141</v>
      </c>
      <c r="C40" s="74" cm="1">
        <f t="array" aca="1" ref="C40" ca="1">IF(C$34="","",_xlfn.MAP(C$34,_xlfn.LAMBDA(_xlpm.x,SUMPRODUCT(IFERROR(INDIRECT("'"&amp;_xlpm.x&amp;"'!$H$14:$AD$150")*(MONTH(DATEVALUE(INDIRECT("'"&amp;_xlpm.x&amp;"'!$G$3:$AC$3")&amp;" 2025"))&lt;=MONTH(DATEVALUE($L$33&amp;" 2025")))*((INDIRECT("'"&amp;_xlpm.x&amp;"'!$D$14:$D$150")="WIP")+(INDIRECT("'"&amp;_xlpm.x&amp;"'!$D$14:$D$150")="Review")),"")))))</f>
        <v>0</v>
      </c>
      <c r="D40" s="74" cm="1">
        <f t="array" aca="1" ref="D40" ca="1">IF(D$34="","",_xlfn.MAP(D$34,_xlfn.LAMBDA(_xlpm.x,SUMPRODUCT(IFERROR(INDIRECT("'"&amp;_xlpm.x&amp;"'!$H$14:$AD$150")*(MONTH(DATEVALUE(INDIRECT("'"&amp;_xlpm.x&amp;"'!$G$3:$AC$3")&amp;" 2025"))&lt;=MONTH(DATEVALUE($L$33&amp;" 2025")))*((INDIRECT("'"&amp;_xlpm.x&amp;"'!$D$14:$D$150")="WIP")+(INDIRECT("'"&amp;_xlpm.x&amp;"'!$D$14:$D$150")="Review")),"")))))</f>
        <v>38</v>
      </c>
      <c r="E40" s="74" cm="1">
        <f t="array" aca="1" ref="E40" ca="1">IF(E$34="","",_xlfn.MAP(E$34,_xlfn.LAMBDA(_xlpm.x,SUMPRODUCT(IFERROR(INDIRECT("'"&amp;_xlpm.x&amp;"'!$H$14:$AD$150")*(MONTH(DATEVALUE(INDIRECT("'"&amp;_xlpm.x&amp;"'!$G$3:$AC$3")&amp;" 2025"))&lt;=MONTH(DATEVALUE($L$33&amp;" 2025")))*((INDIRECT("'"&amp;_xlpm.x&amp;"'!$D$14:$D$150")="WIP")+(INDIRECT("'"&amp;_xlpm.x&amp;"'!$D$14:$D$150")="Review")),"")))))</f>
        <v>0</v>
      </c>
      <c r="F40" s="74" t="str" cm="1">
        <f t="array" aca="1" ref="F40" ca="1">IF(F$34="","",_xlfn.MAP(F$34,_xlfn.LAMBDA(_xlpm.x,SUMPRODUCT(IFERROR(INDIRECT("'"&amp;_xlpm.x&amp;"'!$H$14:$AD$150")*(MONTH(DATEVALUE(INDIRECT("'"&amp;_xlpm.x&amp;"'!$G$3:$AC$3")&amp;" 2025"))&lt;=MONTH(DATEVALUE($L$33&amp;" 2025")))*((INDIRECT("'"&amp;_xlpm.x&amp;"'!$D$14:$D$150")="WIP")+(INDIRECT("'"&amp;_xlpm.x&amp;"'!$D$14:$D$150")="Review")),"")))))</f>
        <v/>
      </c>
      <c r="G40" s="74" t="str" cm="1">
        <f t="array" aca="1" ref="G40" ca="1">IF(G$34="","",_xlfn.MAP(G$34,_xlfn.LAMBDA(_xlpm.x,SUMPRODUCT(IFERROR(INDIRECT("'"&amp;_xlpm.x&amp;"'!$H$14:$AD$150")*(MONTH(DATEVALUE(INDIRECT("'"&amp;_xlpm.x&amp;"'!$G$3:$AC$3")&amp;" 2025"))&lt;=MONTH(DATEVALUE($L$33&amp;" 2025")))*((INDIRECT("'"&amp;_xlpm.x&amp;"'!$D$14:$D$150")="WIP")+(INDIRECT("'"&amp;_xlpm.x&amp;"'!$D$14:$D$150")="Review")),"")))))</f>
        <v/>
      </c>
      <c r="H40" s="74" t="str" cm="1">
        <f t="array" aca="1" ref="H40" ca="1">IF(H$34="","",_xlfn.MAP(H$34,_xlfn.LAMBDA(_xlpm.x,SUMPRODUCT(IFERROR(INDIRECT("'"&amp;_xlpm.x&amp;"'!$H$14:$AD$150")*(MONTH(DATEVALUE(INDIRECT("'"&amp;_xlpm.x&amp;"'!$G$3:$AC$3")&amp;" 2025"))&lt;=MONTH(DATEVALUE($L$33&amp;" 2025")))*((INDIRECT("'"&amp;_xlpm.x&amp;"'!$D$14:$D$150")="WIP")+(INDIRECT("'"&amp;_xlpm.x&amp;"'!$D$14:$D$150")="Review")),"")))))</f>
        <v/>
      </c>
      <c r="I40" s="74" t="str" cm="1">
        <f t="array" aca="1" ref="I40" ca="1">IF(I$34="","",_xlfn.MAP(I$34,_xlfn.LAMBDA(_xlpm.x,SUMPRODUCT(IFERROR(INDIRECT("'"&amp;_xlpm.x&amp;"'!$H$14:$AD$150")*(MONTH(DATEVALUE(INDIRECT("'"&amp;_xlpm.x&amp;"'!$G$3:$AC$3")&amp;" 2025"))&lt;=MONTH(DATEVALUE($L$33&amp;" 2025")))*((INDIRECT("'"&amp;_xlpm.x&amp;"'!$D$14:$D$150")="WIP")+(INDIRECT("'"&amp;_xlpm.x&amp;"'!$D$14:$D$150")="Review")),"")))))</f>
        <v/>
      </c>
      <c r="J40" s="74" t="str" cm="1">
        <f t="array" aca="1" ref="J40" ca="1">IF(J$34="","",_xlfn.MAP(J$34,_xlfn.LAMBDA(_xlpm.x,SUMPRODUCT(IFERROR(INDIRECT("'"&amp;_xlpm.x&amp;"'!$H$14:$AD$150")*(MONTH(DATEVALUE(INDIRECT("'"&amp;_xlpm.x&amp;"'!$G$3:$AC$3")&amp;" 2025"))&lt;=MONTH(DATEVALUE($L$33&amp;" 2025")))*((INDIRECT("'"&amp;_xlpm.x&amp;"'!$D$14:$D$150")="WIP")+(INDIRECT("'"&amp;_xlpm.x&amp;"'!$D$14:$D$150")="Review")),"")))))</f>
        <v/>
      </c>
      <c r="K40" s="75">
        <f t="shared" ca="1" si="0"/>
        <v>38</v>
      </c>
      <c r="L40" s="76" cm="1">
        <f t="array" aca="1" ref="L40" ca="1">SUMPRODUCT(IFERROR(ISNUMBER(MATCH($C$34:$J$34,FPGA,0))*$C40:$J40,""))</f>
        <v>0</v>
      </c>
      <c r="M40" s="76" cm="1">
        <f t="array" aca="1" ref="M40" ca="1">SUMPRODUCT(IFERROR(ISNUMBER(MATCH($C$34:$J$34,PLC_Programming,0))*$C40:$J40,""))</f>
        <v>0</v>
      </c>
      <c r="N40" s="76" cm="1">
        <f t="array" aca="1" ref="N40" ca="1">SUMPRODUCT(IFERROR(ISNUMBER(MATCH($C$34:$J$34,Software_Development,0))*$C40:$J40,""))</f>
        <v>38</v>
      </c>
    </row>
    <row r="41" spans="2:14">
      <c r="B41" s="73" t="s">
        <v>142</v>
      </c>
      <c r="C41" s="74" cm="1">
        <f t="array" aca="1" ref="C41" ca="1">IF(C$34="","",_xlfn.MAP(C$34,_xlfn.LAMBDA(_xlpm.x,SUMPRODUCT(IFERROR(INDIRECT("'"&amp;_xlpm.x&amp;"'!$H$8:$AD$13")*(MONTH(DATEVALUE(INDIRECT("'"&amp;_xlpm.x&amp;"'!$G$3:$AC$3")&amp;" 2025"))&lt;=MONTH(DATEVALUE($L$33&amp;" 2025")))*(INDIRECT("'"&amp;_xlpm.x&amp;"'!$B$8:$B$13")="TRAINING/EXPO/CONFERENCES"),"")))))</f>
        <v>19</v>
      </c>
      <c r="D41" s="74" cm="1">
        <f t="array" aca="1" ref="D41" ca="1">IF(D$34="","",_xlfn.MAP(D$34,_xlfn.LAMBDA(_xlpm.x,SUMPRODUCT(IFERROR(INDIRECT("'"&amp;_xlpm.x&amp;"'!$H$8:$AD$13")*(MONTH(DATEVALUE(INDIRECT("'"&amp;_xlpm.x&amp;"'!$G$3:$AC$3")&amp;" 2025"))&lt;=MONTH(DATEVALUE($L$33&amp;" 2025")))*(INDIRECT("'"&amp;_xlpm.x&amp;"'!$B$8:$B$13")="TRAINING/EXPO/CONFERENCES"),"")))))</f>
        <v>45</v>
      </c>
      <c r="E41" s="74" cm="1">
        <f t="array" aca="1" ref="E41" ca="1">IF(E$34="","",_xlfn.MAP(E$34,_xlfn.LAMBDA(_xlpm.x,SUMPRODUCT(IFERROR(INDIRECT("'"&amp;_xlpm.x&amp;"'!$H$8:$AD$13")*(MONTH(DATEVALUE(INDIRECT("'"&amp;_xlpm.x&amp;"'!$G$3:$AC$3")&amp;" 2025"))&lt;=MONTH(DATEVALUE($L$33&amp;" 2025")))*(INDIRECT("'"&amp;_xlpm.x&amp;"'!$B$8:$B$13")="TRAINING/EXPO/CONFERENCES"),"")))))</f>
        <v>0</v>
      </c>
      <c r="F41" s="74" t="str" cm="1">
        <f t="array" aca="1" ref="F41" ca="1">IF(F$34="","",_xlfn.MAP(F$34,_xlfn.LAMBDA(_xlpm.x,SUMPRODUCT(IFERROR(INDIRECT("'"&amp;_xlpm.x&amp;"'!$H$8:$AD$13")*(MONTH(DATEVALUE(INDIRECT("'"&amp;_xlpm.x&amp;"'!$G$3:$AC$3")&amp;" 2025"))&lt;=MONTH(DATEVALUE($L$33&amp;" 2025")))*(INDIRECT("'"&amp;_xlpm.x&amp;"'!$B$8:$B$13")="TRAINING/EXPO/CONFERENCES"),"")))))</f>
        <v/>
      </c>
      <c r="G41" s="74" t="str" cm="1">
        <f t="array" aca="1" ref="G41" ca="1">IF(G$34="","",_xlfn.MAP(G$34,_xlfn.LAMBDA(_xlpm.x,SUMPRODUCT(IFERROR(INDIRECT("'"&amp;_xlpm.x&amp;"'!$H$8:$AD$13")*(MONTH(DATEVALUE(INDIRECT("'"&amp;_xlpm.x&amp;"'!$G$3:$AC$3")&amp;" 2025"))&lt;=MONTH(DATEVALUE($L$33&amp;" 2025")))*(INDIRECT("'"&amp;_xlpm.x&amp;"'!$B$8:$B$13")="TRAINING/EXPO/CONFERENCES"),"")))))</f>
        <v/>
      </c>
      <c r="H41" s="74" t="str" cm="1">
        <f t="array" aca="1" ref="H41" ca="1">IF(H$34="","",_xlfn.MAP(H$34,_xlfn.LAMBDA(_xlpm.x,SUMPRODUCT(IFERROR(INDIRECT("'"&amp;_xlpm.x&amp;"'!$H$8:$AD$13")*(MONTH(DATEVALUE(INDIRECT("'"&amp;_xlpm.x&amp;"'!$G$3:$AC$3")&amp;" 2025"))&lt;=MONTH(DATEVALUE($L$33&amp;" 2025")))*(INDIRECT("'"&amp;_xlpm.x&amp;"'!$B$8:$B$13")="TRAINING/EXPO/CONFERENCES"),"")))))</f>
        <v/>
      </c>
      <c r="I41" s="74" t="str" cm="1">
        <f t="array" aca="1" ref="I41" ca="1">IF(I$34="","",_xlfn.MAP(I$34,_xlfn.LAMBDA(_xlpm.x,SUMPRODUCT(IFERROR(INDIRECT("'"&amp;_xlpm.x&amp;"'!$H$8:$AD$13")*(MONTH(DATEVALUE(INDIRECT("'"&amp;_xlpm.x&amp;"'!$G$3:$AC$3")&amp;" 2025"))&lt;=MONTH(DATEVALUE($L$33&amp;" 2025")))*(INDIRECT("'"&amp;_xlpm.x&amp;"'!$B$8:$B$13")="TRAINING/EXPO/CONFERENCES"),"")))))</f>
        <v/>
      </c>
      <c r="J41" s="74" t="str" cm="1">
        <f t="array" aca="1" ref="J41" ca="1">IF(J$34="","",_xlfn.MAP(J$34,_xlfn.LAMBDA(_xlpm.x,SUMPRODUCT(IFERROR(INDIRECT("'"&amp;_xlpm.x&amp;"'!$H$8:$AD$13")*(MONTH(DATEVALUE(INDIRECT("'"&amp;_xlpm.x&amp;"'!$G$3:$AC$3")&amp;" 2025"))&lt;=MONTH(DATEVALUE($L$33&amp;" 2025")))*(INDIRECT("'"&amp;_xlpm.x&amp;"'!$B$8:$B$13")="TRAINING/EXPO/CONFERENCES"),"")))))</f>
        <v/>
      </c>
      <c r="K41" s="75">
        <f t="shared" ca="1" si="0"/>
        <v>64</v>
      </c>
      <c r="L41" s="76" cm="1">
        <f t="array" aca="1" ref="L41" ca="1">SUMPRODUCT(IFERROR(ISNUMBER(MATCH($C$34:$J$34,FPGA,0))*$C41:$J41,""))</f>
        <v>19</v>
      </c>
      <c r="M41" s="76" cm="1">
        <f t="array" aca="1" ref="M41" ca="1">SUMPRODUCT(IFERROR(ISNUMBER(MATCH($C$34:$J$34,PLC_Programming,0))*$C41:$J41,""))</f>
        <v>0</v>
      </c>
      <c r="N41" s="76" cm="1">
        <f t="array" aca="1" ref="N41" ca="1">SUMPRODUCT(IFERROR(ISNUMBER(MATCH($C$34:$J$34,Software_Development,0))*$C41:$J41,""))</f>
        <v>45</v>
      </c>
    </row>
    <row r="42" spans="2:14">
      <c r="B42" s="73" t="s">
        <v>143</v>
      </c>
      <c r="C42" s="74" cm="1">
        <f t="array" aca="1" ref="C42" ca="1">IF(C$34="","",_xlfn.MAP(C$34,_xlfn.LAMBDA(_xlpm.x,SUMPRODUCT(IFERROR(INDIRECT("'"&amp;_xlpm.x&amp;"'!$H$8:$AD$150")*(MONTH(DATEVALUE(INDIRECT("'"&amp;_xlpm.x&amp;"'!$G$3:$AC$3")&amp;" 2025"))&lt;=MONTH(DATEVALUE($L$33&amp;" 2025")))*(INDIRECT("'"&amp;_xlpm.x&amp;"'!$B$8:$B$15")="Stand-VAVE-MA-BM"),"")))))</f>
        <v>0</v>
      </c>
      <c r="D42" s="74" cm="1">
        <f t="array" aca="1" ref="D42" ca="1">IF(D$34="","",_xlfn.MAP(D$34,_xlfn.LAMBDA(_xlpm.x,SUMPRODUCT(IFERROR(INDIRECT("'"&amp;_xlpm.x&amp;"'!$H$8:$AD$150")*(MONTH(DATEVALUE(INDIRECT("'"&amp;_xlpm.x&amp;"'!$G$3:$AC$3")&amp;" 2025"))&lt;=MONTH(DATEVALUE($L$33&amp;" 2025")))*(INDIRECT("'"&amp;_xlpm.x&amp;"'!$B$8:$B$150")="Stand-VAVE-MA-BM"),"")))))</f>
        <v>0</v>
      </c>
      <c r="E42" s="74" cm="1">
        <f t="array" aca="1" ref="E42" ca="1">IF(E$34="","",_xlfn.MAP(E$34,_xlfn.LAMBDA(_xlpm.x,SUMPRODUCT(IFERROR(INDIRECT("'"&amp;_xlpm.x&amp;"'!$H$8:$AD$150")*(MONTH(DATEVALUE(INDIRECT("'"&amp;_xlpm.x&amp;"'!$G$3:$AC$3")&amp;" 2025"))&lt;=MONTH(DATEVALUE($L$33&amp;" 2025")))*(INDIRECT("'"&amp;_xlpm.x&amp;"'!$B$8:$B$150")="Stand-VAVE-MA-BM"),"")))))</f>
        <v>0</v>
      </c>
      <c r="F42" s="74" t="str" cm="1">
        <f t="array" aca="1" ref="F42" ca="1">IF(F$34="","",_xlfn.MAP(F$34,_xlfn.LAMBDA(_xlpm.x,SUMPRODUCT(IFERROR(INDIRECT("'"&amp;_xlpm.x&amp;"'!$H$8:$AD$150")*(MONTH(DATEVALUE(INDIRECT("'"&amp;_xlpm.x&amp;"'!$G$3:$AC$3")&amp;" 2025"))&lt;=MONTH(DATEVALUE($L$33&amp;" 2025")))*(INDIRECT("'"&amp;_xlpm.x&amp;"'!$B$8:$B$150")="Stand-VAVE-MA-BM"),"")))))</f>
        <v/>
      </c>
      <c r="G42" s="74" t="str" cm="1">
        <f t="array" aca="1" ref="G42" ca="1">IF(G$34="","",_xlfn.MAP(G$34,_xlfn.LAMBDA(_xlpm.x,SUMPRODUCT(IFERROR(INDIRECT("'"&amp;_xlpm.x&amp;"'!$H$8:$AD$150")*(MONTH(DATEVALUE(INDIRECT("'"&amp;_xlpm.x&amp;"'!$G$3:$AC$3")&amp;" 2025"))&lt;=MONTH(DATEVALUE($L$33&amp;" 2025")))*(INDIRECT("'"&amp;_xlpm.x&amp;"'!$B$8:$B$150")="Stand-VAVE-MA-BM"),"")))))</f>
        <v/>
      </c>
      <c r="H42" s="74" t="str" cm="1">
        <f t="array" aca="1" ref="H42" ca="1">IF(H$34="","",_xlfn.MAP(H$34,_xlfn.LAMBDA(_xlpm.x,SUMPRODUCT(IFERROR(INDIRECT("'"&amp;_xlpm.x&amp;"'!$H$8:$AD$150")*(MONTH(DATEVALUE(INDIRECT("'"&amp;_xlpm.x&amp;"'!$G$3:$AC$3")&amp;" 2025"))&lt;=MONTH(DATEVALUE($L$33&amp;" 2025")))*(INDIRECT("'"&amp;_xlpm.x&amp;"'!$B$8:$B$150")="Stand-VAVE-MA-BM"),"")))))</f>
        <v/>
      </c>
      <c r="I42" s="74" t="str" cm="1">
        <f t="array" aca="1" ref="I42" ca="1">IF(I$34="","",_xlfn.MAP(I$34,_xlfn.LAMBDA(_xlpm.x,SUMPRODUCT(IFERROR(INDIRECT("'"&amp;_xlpm.x&amp;"'!$H$8:$AD$150")*(MONTH(DATEVALUE(INDIRECT("'"&amp;_xlpm.x&amp;"'!$G$3:$AC$3")&amp;" 2025"))&lt;=MONTH(DATEVALUE($L$33&amp;" 2025")))*(INDIRECT("'"&amp;_xlpm.x&amp;"'!$B$8:$B$150")="Stand-VAVE-MA-BM"),"")))))</f>
        <v/>
      </c>
      <c r="J42" s="74" t="str" cm="1">
        <f t="array" aca="1" ref="J42" ca="1">IF(J$34="","",_xlfn.MAP(J$34,_xlfn.LAMBDA(_xlpm.x,SUMPRODUCT(IFERROR(INDIRECT("'"&amp;_xlpm.x&amp;"'!$H$8:$AD$150")*(MONTH(DATEVALUE(INDIRECT("'"&amp;_xlpm.x&amp;"'!$G$3:$AC$3")&amp;" 2025"))&lt;=MONTH(DATEVALUE($L$33&amp;" 2025")))*(INDIRECT("'"&amp;_xlpm.x&amp;"'!$B$8:$B$150")="Stand-VAVE-MA-BM"),"")))))</f>
        <v/>
      </c>
      <c r="K42" s="75">
        <f t="shared" ca="1" si="0"/>
        <v>0</v>
      </c>
      <c r="L42" s="76" cm="1">
        <f t="array" aca="1" ref="L42" ca="1">SUMPRODUCT(IFERROR(ISNUMBER(MATCH($C$34:$J$34,FPGA,0))*$C42:$J42,""))</f>
        <v>0</v>
      </c>
      <c r="M42" s="76" cm="1">
        <f t="array" aca="1" ref="M42" ca="1">SUMPRODUCT(IFERROR(ISNUMBER(MATCH($C$34:$J$34,PLC_Programming,0))*$C42:$J42,""))</f>
        <v>0</v>
      </c>
      <c r="N42" s="76" cm="1">
        <f t="array" aca="1" ref="N42" ca="1">SUMPRODUCT(IFERROR(ISNUMBER(MATCH($C$34:$J$34,Software_Development,0))*$C42:$J42,""))</f>
        <v>0</v>
      </c>
    </row>
    <row r="43" spans="2:14">
      <c r="B43" s="73" t="s">
        <v>144</v>
      </c>
      <c r="C43" s="74" cm="1">
        <f t="array" aca="1" ref="C43" ca="1">IF(C$34="","",_xlfn.MAP(C$34,_xlfn.LAMBDA(_xlpm.x,SUMPRODUCT(IFERROR(INDIRECT("'"&amp;_xlpm.x&amp;"'!$H$8:$AD$150")*(MONTH(DATEVALUE(INDIRECT("'"&amp;_xlpm.x&amp;"'!$G$3:$AC$3")&amp;" 2025"))&lt;=MONTH(DATEVALUE($L$33&amp;" 2025")))*(INDIRECT("'"&amp;_xlpm.x&amp;"'!$B$8:$B$15")="Operation Support"),"")))))</f>
        <v>0</v>
      </c>
      <c r="D43" s="74" cm="1">
        <f t="array" aca="1" ref="D43" ca="1">IF(D$34="","",_xlfn.MAP(D$34,_xlfn.LAMBDA(_xlpm.x,SUMPRODUCT(IFERROR(INDIRECT("'"&amp;_xlpm.x&amp;"'!$H$8:$AD$150")*(MONTH(DATEVALUE(INDIRECT("'"&amp;_xlpm.x&amp;"'!$G$3:$AC$3")&amp;" 2025"))&lt;=MONTH(DATEVALUE($L$33&amp;" 2025")))*(INDIRECT("'"&amp;_xlpm.x&amp;"'!$B$8:$B$15")="Operation Support"),"")))))</f>
        <v>0</v>
      </c>
      <c r="E43" s="74" cm="1">
        <f t="array" aca="1" ref="E43" ca="1">IF(E$34="","",_xlfn.MAP(E$34,_xlfn.LAMBDA(_xlpm.x,SUMPRODUCT(IFERROR(INDIRECT("'"&amp;_xlpm.x&amp;"'!$H$8:$AD$150")*(MONTH(DATEVALUE(INDIRECT("'"&amp;_xlpm.x&amp;"'!$G$3:$AC$3")&amp;" 2025"))&lt;=MONTH(DATEVALUE($L$33&amp;" 2025")))*(INDIRECT("'"&amp;_xlpm.x&amp;"'!$B$8:$B$15")="Operation Support"),"")))))</f>
        <v>0</v>
      </c>
      <c r="F43" s="74" t="str" cm="1">
        <f t="array" aca="1" ref="F43" ca="1">IF(F$34="","",_xlfn.MAP(F$34,_xlfn.LAMBDA(_xlpm.x,SUMPRODUCT(IFERROR(INDIRECT("'"&amp;_xlpm.x&amp;"'!$H$8:$AD$150")*(MONTH(DATEVALUE(INDIRECT("'"&amp;_xlpm.x&amp;"'!$G$3:$AC$3")&amp;" 2025"))&lt;=MONTH(DATEVALUE($L$33&amp;" 2025")))*(INDIRECT("'"&amp;_xlpm.x&amp;"'!$B$8:$B$15")="Operation Support"),"")))))</f>
        <v/>
      </c>
      <c r="G43" s="74" t="str" cm="1">
        <f t="array" aca="1" ref="G43" ca="1">IF(G$34="","",_xlfn.MAP(G$34,_xlfn.LAMBDA(_xlpm.x,SUMPRODUCT(IFERROR(INDIRECT("'"&amp;_xlpm.x&amp;"'!$H$8:$AD$150")*(MONTH(DATEVALUE(INDIRECT("'"&amp;_xlpm.x&amp;"'!$G$3:$AC$3")&amp;" 2025"))&lt;=MONTH(DATEVALUE($L$33&amp;" 2025")))*(INDIRECT("'"&amp;_xlpm.x&amp;"'!$B$8:$B$15")="Operation Support"),"")))))</f>
        <v/>
      </c>
      <c r="H43" s="74" t="str" cm="1">
        <f t="array" aca="1" ref="H43" ca="1">IF(H$34="","",_xlfn.MAP(H$34,_xlfn.LAMBDA(_xlpm.x,SUMPRODUCT(IFERROR(INDIRECT("'"&amp;_xlpm.x&amp;"'!$H$8:$AD$150")*(MONTH(DATEVALUE(INDIRECT("'"&amp;_xlpm.x&amp;"'!$G$3:$AC$3")&amp;" 2025"))&lt;=MONTH(DATEVALUE($L$33&amp;" 2025")))*(INDIRECT("'"&amp;_xlpm.x&amp;"'!$B$8:$B$15")="Operation Support"),"")))))</f>
        <v/>
      </c>
      <c r="I43" s="74" t="str" cm="1">
        <f t="array" aca="1" ref="I43" ca="1">IF(I$34="","",_xlfn.MAP(I$34,_xlfn.LAMBDA(_xlpm.x,SUMPRODUCT(IFERROR(INDIRECT("'"&amp;_xlpm.x&amp;"'!$H$8:$AD$150")*(MONTH(DATEVALUE(INDIRECT("'"&amp;_xlpm.x&amp;"'!$G$3:$AC$3")&amp;" 2025"))&lt;=MONTH(DATEVALUE($L$33&amp;" 2025")))*(INDIRECT("'"&amp;_xlpm.x&amp;"'!$B$8:$B$15")="Operation Support"),"")))))</f>
        <v/>
      </c>
      <c r="J43" s="74" t="str" cm="1">
        <f t="array" aca="1" ref="J43" ca="1">IF(J$34="","",_xlfn.MAP(J$34,_xlfn.LAMBDA(_xlpm.x,SUMPRODUCT(IFERROR(INDIRECT("'"&amp;_xlpm.x&amp;"'!$H$8:$AD$150")*(MONTH(DATEVALUE(INDIRECT("'"&amp;_xlpm.x&amp;"'!$G$3:$AC$3")&amp;" 2025"))&lt;=MONTH(DATEVALUE($L$33&amp;" 2025")))*(INDIRECT("'"&amp;_xlpm.x&amp;"'!$B$8:$B$150")="Operation Support"),"")))))</f>
        <v/>
      </c>
      <c r="K43" s="75">
        <f t="shared" ca="1" si="0"/>
        <v>0</v>
      </c>
      <c r="L43" s="76" cm="1">
        <f t="array" aca="1" ref="L43" ca="1">SUMPRODUCT(IFERROR(ISNUMBER(MATCH($C$34:$J$34,FPGA,0))*$C43:$J43,""))</f>
        <v>0</v>
      </c>
      <c r="M43" s="76" cm="1">
        <f t="array" aca="1" ref="M43" ca="1">SUMPRODUCT(IFERROR(ISNUMBER(MATCH($C$34:$J$34,PLC_Programming,0))*$C43:$J43,""))</f>
        <v>0</v>
      </c>
      <c r="N43" s="76" cm="1">
        <f t="array" aca="1" ref="N43" ca="1">SUMPRODUCT(IFERROR(ISNUMBER(MATCH($C$34:$J$34,Software_Development,0))*$C43:$J43,""))</f>
        <v>0</v>
      </c>
    </row>
    <row r="44" spans="2:14">
      <c r="B44" s="141" t="s">
        <v>145</v>
      </c>
      <c r="C44" s="74" cm="1">
        <f t="array" aca="1" ref="C44" ca="1">IF(C$34="","",_xlfn.MAP(C$34,_xlfn.LAMBDA(_xlpm.x,SUMPRODUCT(IFERROR(INDIRECT("'"&amp;_xlpm.x&amp;"'!$H$8:$AD$150")*(MONTH(DATEVALUE(INDIRECT("'"&amp;_xlpm.x&amp;"'!$G$3:$AC$3")&amp;" 2025"))&lt;=MONTH(DATEVALUE($L$33&amp;" 2025")))*(INDIRECT("'"&amp;_xlpm.x&amp;"'!$B$8:$B$150")="Strategic Goals"),"")))))</f>
        <v>0</v>
      </c>
      <c r="D44" s="74" cm="1">
        <f t="array" aca="1" ref="D44" ca="1">IF(D$34="","",_xlfn.MAP(D$34,_xlfn.LAMBDA(_xlpm.x,SUMPRODUCT(IFERROR(INDIRECT("'"&amp;_xlpm.x&amp;"'!$H$8:$AD$150")*(MONTH(DATEVALUE(INDIRECT("'"&amp;_xlpm.x&amp;"'!$G$3:$AC$3")&amp;" 2025"))&lt;=MONTH(DATEVALUE($L$33&amp;" 2025")))*(INDIRECT("'"&amp;_xlpm.x&amp;"'!$B$8:$B$150")="Strategic Goals"),"")))))</f>
        <v>0</v>
      </c>
      <c r="E44" s="74" cm="1">
        <f t="array" aca="1" ref="E44" ca="1">IF(E$34="","",_xlfn.MAP(E$34,_xlfn.LAMBDA(_xlpm.x,SUMPRODUCT(IFERROR(INDIRECT("'"&amp;_xlpm.x&amp;"'!$H$8:$AD$150")*(MONTH(DATEVALUE(INDIRECT("'"&amp;_xlpm.x&amp;"'!$G$3:$AC$3")&amp;" 2025"))&lt;=MONTH(DATEVALUE($L$33&amp;" 2025")))*(INDIRECT("'"&amp;_xlpm.x&amp;"'!$B$8:$B$150")="Strategic Goals"),"")))))</f>
        <v>0</v>
      </c>
      <c r="F44" s="74" t="str" cm="1">
        <f t="array" aca="1" ref="F44" ca="1">IF(F$34="","",_xlfn.MAP(F$34,_xlfn.LAMBDA(_xlpm.x,SUMPRODUCT(IFERROR(INDIRECT("'"&amp;_xlpm.x&amp;"'!$H$8:$AD$150")*(MONTH(DATEVALUE(INDIRECT("'"&amp;_xlpm.x&amp;"'!$G$3:$AC$3")&amp;" 2025"))&lt;=MONTH(DATEVALUE($L$33&amp;" 2025")))*(INDIRECT("'"&amp;_xlpm.x&amp;"'!$B$8:$B$150")="Strategic Goals"),"")))))</f>
        <v/>
      </c>
      <c r="G44" s="74" t="str" cm="1">
        <f t="array" aca="1" ref="G44" ca="1">IF(G$34="","",_xlfn.MAP(G$34,_xlfn.LAMBDA(_xlpm.x,SUMPRODUCT(IFERROR(INDIRECT("'"&amp;_xlpm.x&amp;"'!$H$8:$AD$150")*(MONTH(DATEVALUE(INDIRECT("'"&amp;_xlpm.x&amp;"'!$G$3:$AC$3")&amp;" 2025"))&lt;=MONTH(DATEVALUE($L$33&amp;" 2025")))*(INDIRECT("'"&amp;_xlpm.x&amp;"'!$B$8:$B$150")="Strategic Goals"),"")))))</f>
        <v/>
      </c>
      <c r="H44" s="74" t="str" cm="1">
        <f t="array" aca="1" ref="H44" ca="1">IF(H$34="","",_xlfn.MAP(H$34,_xlfn.LAMBDA(_xlpm.x,SUMPRODUCT(IFERROR(INDIRECT("'"&amp;_xlpm.x&amp;"'!$H$8:$AD$150")*(MONTH(DATEVALUE(INDIRECT("'"&amp;_xlpm.x&amp;"'!$G$3:$AC$3")&amp;" 2025"))&lt;=MONTH(DATEVALUE($L$33&amp;" 2025")))*(INDIRECT("'"&amp;_xlpm.x&amp;"'!$B$8:$B$150")="Strategic Goals"),"")))))</f>
        <v/>
      </c>
      <c r="I44" s="74" t="str" cm="1">
        <f t="array" aca="1" ref="I44" ca="1">IF(I$34="","",_xlfn.MAP(I$34,_xlfn.LAMBDA(_xlpm.x,SUMPRODUCT(IFERROR(INDIRECT("'"&amp;_xlpm.x&amp;"'!$H$8:$AD$150")*(MONTH(DATEVALUE(INDIRECT("'"&amp;_xlpm.x&amp;"'!$G$3:$AC$3")&amp;" 2025"))&lt;=MONTH(DATEVALUE($L$33&amp;" 2025")))*(INDIRECT("'"&amp;_xlpm.x&amp;"'!$B$8:$B$150")="Strategic Goals"),"")))))</f>
        <v/>
      </c>
      <c r="J44" s="74" t="str" cm="1">
        <f t="array" aca="1" ref="J44" ca="1">IF(J$34="","",_xlfn.MAP(J$34,_xlfn.LAMBDA(_xlpm.x,SUMPRODUCT(IFERROR(INDIRECT("'"&amp;_xlpm.x&amp;"'!$H$8:$AD$150")*(MONTH(DATEVALUE(INDIRECT("'"&amp;_xlpm.x&amp;"'!$G$3:$AC$3")&amp;" 2025"))&lt;=MONTH(DATEVALUE($L$33&amp;" 2025")))*(INDIRECT("'"&amp;_xlpm.x&amp;"'!$B$8:$B$150")="Strategic Goals"),"")))))</f>
        <v/>
      </c>
      <c r="K44" s="75">
        <f t="shared" ca="1" si="0"/>
        <v>0</v>
      </c>
      <c r="L44" s="76" cm="1">
        <f t="array" aca="1" ref="L44" ca="1">SUMPRODUCT(IFERROR(ISNUMBER(MATCH($C$34:$J$34,FPGA,0))*$C44:$J44,""))</f>
        <v>0</v>
      </c>
      <c r="M44" s="76" cm="1">
        <f t="array" aca="1" ref="M44" ca="1">SUMPRODUCT(IFERROR(ISNUMBER(MATCH($C$34:$J$34,PLC_Programming,0))*$C44:$J44,""))</f>
        <v>0</v>
      </c>
      <c r="N44" s="76" cm="1">
        <f t="array" aca="1" ref="N44" ca="1">SUMPRODUCT(IFERROR(ISNUMBER(MATCH($C$34:$J$34,Software_Development,0))*$C44:$J44,""))</f>
        <v>0</v>
      </c>
    </row>
    <row r="45" spans="2:14">
      <c r="B45" s="141" t="s">
        <v>146</v>
      </c>
      <c r="C45" s="74" cm="1">
        <f t="array" aca="1" ref="C45" ca="1">IF(C$34="","",_xlfn.MAP(C$34,_xlfn.LAMBDA(_xlpm.x,SUMPRODUCT(IFERROR(INDIRECT("'"&amp;_xlpm.x&amp;"'!$H$8:$AD$150")*(MONTH(DATEVALUE(INDIRECT("'"&amp;_xlpm.x&amp;"'!$G$3:$AC$3")&amp;" 2025"))&lt;=MONTH(DATEVALUE($L$33&amp;" 2025")))*(INDIRECT("'"&amp;_xlpm.x&amp;"'!$B$8:$B$150")="Sales Support"),"")))))</f>
        <v>0</v>
      </c>
      <c r="D45" s="74" cm="1">
        <f t="array" aca="1" ref="D45" ca="1">IF(D$34="","",_xlfn.MAP(D$34,_xlfn.LAMBDA(_xlpm.x,SUMPRODUCT(IFERROR(INDIRECT("'"&amp;_xlpm.x&amp;"'!$H$8:$AD$150")*(MONTH(DATEVALUE(INDIRECT("'"&amp;_xlpm.x&amp;"'!$G$3:$AC$3")&amp;" 2025"))&lt;=MONTH(DATEVALUE($L$33&amp;" 2025")))*(INDIRECT("'"&amp;_xlpm.x&amp;"'!$B$8:$B$150")="Sales Support"),"")))))</f>
        <v>0</v>
      </c>
      <c r="E45" s="74" cm="1">
        <f t="array" aca="1" ref="E45" ca="1">IF(E$34="","",_xlfn.MAP(E$34,_xlfn.LAMBDA(_xlpm.x,SUMPRODUCT(IFERROR(INDIRECT("'"&amp;_xlpm.x&amp;"'!$H$8:$AD$150")*(MONTH(DATEVALUE(INDIRECT("'"&amp;_xlpm.x&amp;"'!$G$3:$AC$3")&amp;" 2025"))&lt;=MONTH(DATEVALUE($L$33&amp;" 2025")))*(INDIRECT("'"&amp;_xlpm.x&amp;"'!$B$8:$B$150")="Sales Support"),"")))))</f>
        <v>0</v>
      </c>
      <c r="F45" s="74" t="str" cm="1">
        <f t="array" aca="1" ref="F45" ca="1">IF(F$34="","",_xlfn.MAP(F$34,_xlfn.LAMBDA(_xlpm.x,SUMPRODUCT(IFERROR(INDIRECT("'"&amp;_xlpm.x&amp;"'!$H$8:$AD$150")*(MONTH(DATEVALUE(INDIRECT("'"&amp;_xlpm.x&amp;"'!$G$3:$AC$3")&amp;" 2025"))&lt;=MONTH(DATEVALUE($L$33&amp;" 2025")))*(INDIRECT("'"&amp;_xlpm.x&amp;"'!$B$8:$B$150")="Sales Support"),"")))))</f>
        <v/>
      </c>
      <c r="G45" s="74" t="str" cm="1">
        <f t="array" aca="1" ref="G45" ca="1">IF(G$34="","",_xlfn.MAP(G$34,_xlfn.LAMBDA(_xlpm.x,SUMPRODUCT(IFERROR(INDIRECT("'"&amp;_xlpm.x&amp;"'!$H$8:$AD$150")*(MONTH(DATEVALUE(INDIRECT("'"&amp;_xlpm.x&amp;"'!$G$3:$AC$3")&amp;" 2025"))&lt;=MONTH(DATEVALUE($L$33&amp;" 2025")))*(INDIRECT("'"&amp;_xlpm.x&amp;"'!$B$8:$B$150")="Sales Support"),"")))))</f>
        <v/>
      </c>
      <c r="H45" s="74" t="str" cm="1">
        <f t="array" aca="1" ref="H45" ca="1">IF(H$34="","",_xlfn.MAP(H$34,_xlfn.LAMBDA(_xlpm.x,SUMPRODUCT(IFERROR(INDIRECT("'"&amp;_xlpm.x&amp;"'!$H$8:$AD$150")*(MONTH(DATEVALUE(INDIRECT("'"&amp;_xlpm.x&amp;"'!$G$3:$AC$3")&amp;" 2025"))&lt;=MONTH(DATEVALUE($L$33&amp;" 2025")))*(INDIRECT("'"&amp;_xlpm.x&amp;"'!$B$8:$B$150")="Sales Support"),"")))))</f>
        <v/>
      </c>
      <c r="I45" s="74" t="str" cm="1">
        <f t="array" aca="1" ref="I45" ca="1">IF(I$34="","",_xlfn.MAP(I$34,_xlfn.LAMBDA(_xlpm.x,SUMPRODUCT(IFERROR(INDIRECT("'"&amp;_xlpm.x&amp;"'!$H$8:$AD$150")*(MONTH(DATEVALUE(INDIRECT("'"&amp;_xlpm.x&amp;"'!$G$3:$AC$3")&amp;" 2025"))&lt;=MONTH(DATEVALUE($L$33&amp;" 2025")))*(INDIRECT("'"&amp;_xlpm.x&amp;"'!$B$8:$B$150")="Sales Support"),"")))))</f>
        <v/>
      </c>
      <c r="J45" s="74" t="str" cm="1">
        <f t="array" aca="1" ref="J45" ca="1">IF(J$34="","",_xlfn.MAP(J$34,_xlfn.LAMBDA(_xlpm.x,SUMPRODUCT(IFERROR(INDIRECT("'"&amp;_xlpm.x&amp;"'!$H$8:$AD$150")*(MONTH(DATEVALUE(INDIRECT("'"&amp;_xlpm.x&amp;"'!$G$3:$AC$3")&amp;" 2025"))&lt;=MONTH(DATEVALUE($L$33&amp;" 2025")))*(INDIRECT("'"&amp;_xlpm.x&amp;"'!$B$8:$B$150")="Sales Support"),"")))))</f>
        <v/>
      </c>
      <c r="K45" s="75">
        <f t="shared" ca="1" si="0"/>
        <v>0</v>
      </c>
      <c r="L45" s="76" cm="1">
        <f t="array" aca="1" ref="L45" ca="1">SUMPRODUCT(IFERROR(ISNUMBER(MATCH($C$34:$J$34,FPGA,0))*$C45:$J45,""))</f>
        <v>0</v>
      </c>
      <c r="M45" s="76" cm="1">
        <f t="array" aca="1" ref="M45" ca="1">SUMPRODUCT(IFERROR(ISNUMBER(MATCH($C$34:$J$34,PLC_Programming,0))*$C45:$J45,""))</f>
        <v>0</v>
      </c>
      <c r="N45" s="76" cm="1">
        <f t="array" aca="1" ref="N45" ca="1">SUMPRODUCT(IFERROR(ISNUMBER(MATCH($C$34:$J$34,Software_Development,0))*$C45:$J45,""))</f>
        <v>0</v>
      </c>
    </row>
    <row r="46" spans="2:14">
      <c r="B46" s="141" t="s">
        <v>147</v>
      </c>
      <c r="C46" s="140">
        <f t="shared" ref="C46:J46" si="1">IF(C$34="","",0)</f>
        <v>0</v>
      </c>
      <c r="D46" s="140">
        <f t="shared" si="1"/>
        <v>0</v>
      </c>
      <c r="E46" s="140">
        <f t="shared" si="1"/>
        <v>0</v>
      </c>
      <c r="F46" s="140" t="str">
        <f t="shared" si="1"/>
        <v/>
      </c>
      <c r="G46" s="140" t="str">
        <f t="shared" si="1"/>
        <v/>
      </c>
      <c r="H46" s="140" t="str">
        <f t="shared" si="1"/>
        <v/>
      </c>
      <c r="I46" s="140" t="str">
        <f t="shared" si="1"/>
        <v/>
      </c>
      <c r="J46" s="140" t="str">
        <f t="shared" si="1"/>
        <v/>
      </c>
      <c r="K46" s="75">
        <f t="shared" si="0"/>
        <v>0</v>
      </c>
      <c r="L46" s="76" cm="1">
        <f t="array" ref="L46">SUMPRODUCT(IFERROR(ISNUMBER(MATCH($C$34:$J$34,FPGA,0))*$C46:$J46,""))</f>
        <v>0</v>
      </c>
      <c r="M46" s="76" cm="1">
        <f t="array" ref="M46">SUMPRODUCT(IFERROR(ISNUMBER(MATCH($C$34:$J$34,PLC_Programming,0))*$C46:$J46,""))</f>
        <v>0</v>
      </c>
      <c r="N46" s="76" cm="1">
        <f t="array" ref="N46">SUMPRODUCT(IFERROR(ISNUMBER(MATCH($C$34:$J$34,Software_Development,0))*$C46:$J46,""))</f>
        <v>0</v>
      </c>
    </row>
    <row r="47" spans="2:14" ht="14.85" customHeight="1">
      <c r="B47" s="77" t="s">
        <v>148</v>
      </c>
      <c r="C47" s="78">
        <f t="shared" ref="C47:J47" ca="1" si="2">IF(C$34="","",SUM(C$38:C$43))</f>
        <v>82</v>
      </c>
      <c r="D47" s="78">
        <f t="shared" ca="1" si="2"/>
        <v>83</v>
      </c>
      <c r="E47" s="78">
        <f t="shared" ca="1" si="2"/>
        <v>0</v>
      </c>
      <c r="F47" s="78" t="str">
        <f t="shared" si="2"/>
        <v/>
      </c>
      <c r="G47" s="78" t="str">
        <f t="shared" si="2"/>
        <v/>
      </c>
      <c r="H47" s="78" t="str">
        <f t="shared" si="2"/>
        <v/>
      </c>
      <c r="I47" s="78" t="str">
        <f t="shared" si="2"/>
        <v/>
      </c>
      <c r="J47" s="78" t="str">
        <f t="shared" si="2"/>
        <v/>
      </c>
      <c r="K47" s="78">
        <f t="shared" ca="1" si="0"/>
        <v>165</v>
      </c>
      <c r="L47" s="76" cm="1">
        <f t="array" aca="1" ref="L47" ca="1">SUMPRODUCT(IFERROR(ISNUMBER(MATCH($C$34:$J$34,FPGA,0))*$C47:$J47,""))</f>
        <v>82</v>
      </c>
      <c r="M47" s="76" cm="1">
        <f t="array" aca="1" ref="M47" ca="1">SUMPRODUCT(IFERROR(ISNUMBER(MATCH($C$34:$J$34,PLC_Programming,0))*$C47:$J47,""))</f>
        <v>0</v>
      </c>
      <c r="N47" s="76" cm="1">
        <f t="array" aca="1" ref="N47" ca="1">SUMPRODUCT(IFERROR(ISNUMBER(MATCH($C$34:$J$34,Software_Development,0))*$C47:$J47,""))</f>
        <v>83</v>
      </c>
    </row>
    <row r="48" spans="2:14">
      <c r="B48" s="79" t="s">
        <v>149</v>
      </c>
      <c r="C48" s="80" t="str">
        <f t="shared" ref="C48:N48" ca="1" si="3">IFERROR(C$35/C$47,"")</f>
        <v/>
      </c>
      <c r="D48" s="80" t="str">
        <f t="shared" ca="1" si="3"/>
        <v/>
      </c>
      <c r="E48" s="80" t="str">
        <f t="shared" ca="1" si="3"/>
        <v/>
      </c>
      <c r="F48" s="80" t="str">
        <f t="shared" ca="1" si="3"/>
        <v/>
      </c>
      <c r="G48" s="80" t="str">
        <f t="shared" ca="1" si="3"/>
        <v/>
      </c>
      <c r="H48" s="80" t="str">
        <f t="shared" ca="1" si="3"/>
        <v/>
      </c>
      <c r="I48" s="80" t="str">
        <f t="shared" ca="1" si="3"/>
        <v/>
      </c>
      <c r="J48" s="80" t="str">
        <f t="shared" ca="1" si="3"/>
        <v/>
      </c>
      <c r="K48" s="80" t="str">
        <f t="shared" ca="1" si="3"/>
        <v/>
      </c>
      <c r="L48" s="80">
        <f t="shared" ca="1" si="3"/>
        <v>0</v>
      </c>
      <c r="M48" s="80" t="str">
        <f t="shared" ca="1" si="3"/>
        <v/>
      </c>
      <c r="N48" s="80">
        <f t="shared" ca="1" si="3"/>
        <v>0</v>
      </c>
    </row>
    <row r="49" spans="2:14">
      <c r="B49" s="79" t="s">
        <v>150</v>
      </c>
      <c r="C49" s="81">
        <f ca="1">IFERROR(C$37/C$38,"")</f>
        <v>1.4049586776859504</v>
      </c>
      <c r="D49" s="81" t="str">
        <f t="shared" ref="D49:N49" ca="1" si="4">IFERROR(D$37/D$38,"")</f>
        <v/>
      </c>
      <c r="E49" s="81" t="str">
        <f t="shared" ca="1" si="4"/>
        <v/>
      </c>
      <c r="F49" s="81" t="str">
        <f t="shared" ca="1" si="4"/>
        <v/>
      </c>
      <c r="G49" s="81" t="str">
        <f t="shared" ca="1" si="4"/>
        <v/>
      </c>
      <c r="H49" s="81" t="str">
        <f t="shared" ca="1" si="4"/>
        <v/>
      </c>
      <c r="I49" s="81" t="str">
        <f t="shared" ca="1" si="4"/>
        <v/>
      </c>
      <c r="J49" s="81" t="str">
        <f t="shared" ca="1" si="4"/>
        <v/>
      </c>
      <c r="K49" s="81">
        <f t="shared" ca="1" si="4"/>
        <v>1.4049586776859504</v>
      </c>
      <c r="L49" s="81">
        <f t="shared" ca="1" si="4"/>
        <v>1.4049586776859504</v>
      </c>
      <c r="M49" s="81" t="str">
        <f t="shared" ca="1" si="4"/>
        <v/>
      </c>
      <c r="N49" s="81" t="str">
        <f t="shared" ca="1" si="4"/>
        <v/>
      </c>
    </row>
    <row r="50" spans="2:14">
      <c r="B50" s="82"/>
      <c r="C50" s="83"/>
      <c r="D50" s="84"/>
      <c r="E50" s="84"/>
      <c r="F50" s="84"/>
      <c r="G50" s="84"/>
      <c r="H50" s="84"/>
      <c r="I50" s="84"/>
      <c r="J50" s="71"/>
      <c r="K50" s="71"/>
      <c r="L50" s="71"/>
    </row>
    <row r="51" spans="2:14">
      <c r="C51" s="59"/>
      <c r="D51" s="59"/>
      <c r="E51" s="59"/>
      <c r="F51" s="59"/>
      <c r="G51" s="59"/>
      <c r="H51" s="59"/>
      <c r="I51" s="59"/>
    </row>
    <row r="53" spans="2:14">
      <c r="E53" s="85"/>
    </row>
  </sheetData>
  <sheetProtection algorithmName="SHA-512" hashValue="AIr280A41uKBovXi2h6977+Rs8z+Q4VuElOWV1lkjwO4OGV2eWShEuQ6LRnpoC9tAhXVJgEYqtpXUWhRX3yk4g==" saltValue="QEQXE6ODIlxhi18g3G8hcg==" spinCount="100000" sheet="1" objects="1" scenarios="1" sort="0" autoFilter="0"/>
  <mergeCells count="5">
    <mergeCell ref="B6:B7"/>
    <mergeCell ref="C6:C7"/>
    <mergeCell ref="B4:I4"/>
    <mergeCell ref="B5:I5"/>
    <mergeCell ref="D6:E6"/>
  </mergeCells>
  <pageMargins left="0.7" right="0.7" top="0.75" bottom="0.75" header="0.3" footer="0.3"/>
  <ignoredErrors>
    <ignoredError sqref="M34" 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B3D9551F-9176-46E1-886E-7105BB299F24}">
          <x14:formula1>
            <xm:f>List!$I$2:$I$13</xm:f>
          </x14:formula1>
          <xm:sqref>L33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E769-F554-443B-A7CB-B548BE64C85F}">
  <sheetPr codeName="Sheet7"/>
  <dimension ref="A1:Y25"/>
  <sheetViews>
    <sheetView workbookViewId="0">
      <selection activeCell="Q3" sqref="Q3"/>
    </sheetView>
  </sheetViews>
  <sheetFormatPr defaultColWidth="8.5703125" defaultRowHeight="14.45"/>
  <cols>
    <col min="1" max="1" width="28.5703125" bestFit="1" customWidth="1"/>
    <col min="2" max="2" width="27.5703125" bestFit="1" customWidth="1"/>
    <col min="3" max="3" width="7.5703125" bestFit="1" customWidth="1"/>
    <col min="4" max="4" width="15.5703125" bestFit="1" customWidth="1"/>
    <col min="5" max="5" width="18.42578125" bestFit="1" customWidth="1"/>
    <col min="6" max="6" width="21" bestFit="1" customWidth="1"/>
    <col min="7" max="7" width="30.5703125" bestFit="1" customWidth="1"/>
    <col min="8" max="8" width="19.5703125" bestFit="1" customWidth="1"/>
    <col min="9" max="9" width="10.7109375" bestFit="1" customWidth="1"/>
    <col min="10" max="10" width="12.5703125" bestFit="1" customWidth="1"/>
    <col min="13" max="13" width="16.42578125" bestFit="1" customWidth="1"/>
    <col min="14" max="17" width="15.42578125" customWidth="1"/>
    <col min="18" max="18" width="18.42578125" bestFit="1" customWidth="1"/>
    <col min="19" max="19" width="16.42578125" customWidth="1"/>
    <col min="20" max="20" width="14.42578125" customWidth="1"/>
    <col min="23" max="23" width="18.42578125" bestFit="1" customWidth="1"/>
    <col min="24" max="24" width="27.5703125" bestFit="1" customWidth="1"/>
  </cols>
  <sheetData>
    <row r="1" spans="1:25" ht="28.9">
      <c r="A1" s="111" t="s">
        <v>5</v>
      </c>
      <c r="B1" s="111" t="s">
        <v>151</v>
      </c>
      <c r="C1" s="111" t="s">
        <v>14</v>
      </c>
      <c r="D1" s="111" t="s">
        <v>15</v>
      </c>
      <c r="E1" s="111" t="s">
        <v>152</v>
      </c>
      <c r="F1" s="111" t="s">
        <v>7</v>
      </c>
      <c r="G1" s="111" t="s">
        <v>9</v>
      </c>
      <c r="H1" s="111" t="s">
        <v>10</v>
      </c>
      <c r="I1" s="111" t="s">
        <v>134</v>
      </c>
      <c r="J1" s="111" t="s">
        <v>153</v>
      </c>
      <c r="K1" s="111" t="s">
        <v>6</v>
      </c>
      <c r="L1" s="111" t="s">
        <v>12</v>
      </c>
      <c r="M1" s="111"/>
      <c r="N1" s="111" t="s">
        <v>154</v>
      </c>
      <c r="O1" s="111" t="s">
        <v>29</v>
      </c>
      <c r="P1" s="111" t="s">
        <v>132</v>
      </c>
      <c r="Q1" s="111" t="s">
        <v>133</v>
      </c>
      <c r="R1" s="111"/>
      <c r="S1" s="111"/>
      <c r="T1" s="111"/>
      <c r="W1" s="111"/>
      <c r="X1" s="111"/>
      <c r="Y1" s="111"/>
    </row>
    <row r="2" spans="1:25">
      <c r="A2" s="1" t="s">
        <v>27</v>
      </c>
      <c r="B2" s="1" t="s">
        <v>30</v>
      </c>
      <c r="C2" s="1">
        <v>1</v>
      </c>
      <c r="D2" s="1" t="s">
        <v>129</v>
      </c>
      <c r="E2" s="1" t="s">
        <v>32</v>
      </c>
      <c r="F2" s="1" t="s">
        <v>29</v>
      </c>
      <c r="G2" s="112" t="s">
        <v>31</v>
      </c>
      <c r="H2" s="1" t="s">
        <v>28</v>
      </c>
      <c r="I2" s="1" t="s">
        <v>97</v>
      </c>
      <c r="J2" s="112" t="s">
        <v>155</v>
      </c>
      <c r="K2" s="1" t="s">
        <v>28</v>
      </c>
      <c r="L2" s="1" t="s">
        <v>33</v>
      </c>
      <c r="M2" s="112"/>
      <c r="N2" s="1" t="s">
        <v>156</v>
      </c>
      <c r="O2" t="s">
        <v>32</v>
      </c>
      <c r="Q2" s="1" t="s">
        <v>46</v>
      </c>
      <c r="R2" s="1"/>
      <c r="S2" s="1"/>
      <c r="T2" s="1"/>
      <c r="W2" s="1"/>
    </row>
    <row r="3" spans="1:25">
      <c r="A3" s="1" t="s">
        <v>157</v>
      </c>
      <c r="B3" s="1"/>
      <c r="C3" s="1">
        <v>2</v>
      </c>
      <c r="D3" s="1" t="s">
        <v>87</v>
      </c>
      <c r="E3" s="1" t="s">
        <v>46</v>
      </c>
      <c r="F3" s="1" t="s">
        <v>45</v>
      </c>
      <c r="G3" s="112"/>
      <c r="H3" s="1"/>
      <c r="I3" s="1" t="s">
        <v>98</v>
      </c>
      <c r="J3" s="112"/>
      <c r="K3" s="1"/>
      <c r="L3" s="1" t="s">
        <v>130</v>
      </c>
      <c r="M3" s="112"/>
      <c r="N3" t="s">
        <v>158</v>
      </c>
      <c r="Q3" s="1" t="s">
        <v>54</v>
      </c>
      <c r="R3" s="1"/>
      <c r="S3" s="1"/>
      <c r="T3" s="1"/>
      <c r="W3" s="1"/>
      <c r="X3" s="110"/>
    </row>
    <row r="4" spans="1:25">
      <c r="A4" s="1"/>
      <c r="B4" s="1"/>
      <c r="C4" s="1">
        <v>3</v>
      </c>
      <c r="D4" s="1" t="s">
        <v>88</v>
      </c>
      <c r="E4" s="1" t="s">
        <v>54</v>
      </c>
      <c r="F4" s="1"/>
      <c r="G4" s="112"/>
      <c r="H4" s="1"/>
      <c r="I4" s="1" t="s">
        <v>99</v>
      </c>
      <c r="J4" s="112"/>
      <c r="K4" s="1"/>
      <c r="M4" s="166"/>
      <c r="Q4" s="1"/>
      <c r="R4" s="1"/>
      <c r="S4" s="1"/>
      <c r="T4" s="1"/>
      <c r="W4" s="1"/>
      <c r="X4" s="110"/>
    </row>
    <row r="5" spans="1:25">
      <c r="A5" s="1"/>
      <c r="B5" s="1"/>
      <c r="C5" s="1"/>
      <c r="D5" s="1" t="s">
        <v>89</v>
      </c>
      <c r="E5" s="1"/>
      <c r="F5" s="1"/>
      <c r="G5" s="112"/>
      <c r="H5" s="1"/>
      <c r="I5" s="1" t="s">
        <v>100</v>
      </c>
      <c r="R5" s="1"/>
      <c r="S5" s="1"/>
      <c r="T5" s="1"/>
    </row>
    <row r="6" spans="1:25">
      <c r="A6" s="1"/>
      <c r="B6" s="1"/>
      <c r="C6" s="1"/>
      <c r="D6" s="1"/>
      <c r="E6" s="1"/>
      <c r="F6" s="1"/>
      <c r="G6" s="112"/>
      <c r="H6" s="1"/>
      <c r="I6" s="1" t="s">
        <v>65</v>
      </c>
      <c r="J6" s="112"/>
      <c r="M6" s="166"/>
    </row>
    <row r="7" spans="1:25">
      <c r="A7" s="1"/>
      <c r="B7" s="1"/>
      <c r="C7" s="1"/>
      <c r="D7" s="1"/>
      <c r="E7" s="1"/>
      <c r="F7" s="1"/>
      <c r="G7" s="112"/>
      <c r="H7" s="1"/>
      <c r="I7" s="1" t="s">
        <v>101</v>
      </c>
      <c r="J7" s="112"/>
    </row>
    <row r="8" spans="1:25">
      <c r="A8" s="1"/>
      <c r="B8" s="1"/>
      <c r="C8" s="1"/>
      <c r="E8" s="1"/>
      <c r="F8" s="1"/>
      <c r="G8" s="112"/>
      <c r="H8" s="1"/>
      <c r="I8" s="1" t="s">
        <v>102</v>
      </c>
      <c r="J8" s="112"/>
    </row>
    <row r="9" spans="1:25">
      <c r="A9" s="113"/>
      <c r="B9" s="1"/>
      <c r="C9" s="1"/>
      <c r="D9" s="1"/>
      <c r="E9" s="1"/>
      <c r="F9" s="1"/>
      <c r="G9" s="112"/>
      <c r="H9" s="1"/>
      <c r="I9" s="1" t="s">
        <v>103</v>
      </c>
      <c r="J9" s="112"/>
    </row>
    <row r="10" spans="1:25">
      <c r="A10" s="2"/>
      <c r="B10" s="1"/>
      <c r="C10" s="1"/>
      <c r="D10" s="1"/>
      <c r="E10" s="1"/>
      <c r="F10" s="1"/>
      <c r="G10" s="112"/>
      <c r="H10" s="1"/>
      <c r="I10" s="1" t="s">
        <v>104</v>
      </c>
      <c r="J10" s="1"/>
    </row>
    <row r="11" spans="1:25">
      <c r="A11" s="1"/>
      <c r="B11" s="1"/>
      <c r="C11" s="1"/>
      <c r="D11" s="1"/>
      <c r="E11" s="1"/>
      <c r="F11" s="1"/>
      <c r="G11" s="112"/>
      <c r="H11" s="1"/>
      <c r="I11" s="1" t="s">
        <v>105</v>
      </c>
      <c r="J11" s="1"/>
    </row>
    <row r="12" spans="1:25">
      <c r="A12" s="1"/>
      <c r="B12" s="1"/>
      <c r="C12" s="1"/>
      <c r="D12" s="1"/>
      <c r="E12" s="1"/>
      <c r="F12" s="1"/>
      <c r="G12" s="112"/>
      <c r="H12" s="1"/>
      <c r="I12" s="1" t="s">
        <v>106</v>
      </c>
      <c r="J12" s="1"/>
    </row>
    <row r="13" spans="1:25">
      <c r="A13" s="1"/>
      <c r="B13" s="1"/>
      <c r="C13" s="1"/>
      <c r="D13" s="1"/>
      <c r="E13" s="1"/>
      <c r="F13" s="1"/>
      <c r="G13" s="112"/>
      <c r="H13" s="1"/>
      <c r="I13" s="1" t="s">
        <v>107</v>
      </c>
      <c r="J13" s="1"/>
    </row>
    <row r="14" spans="1:25">
      <c r="A14" s="1"/>
      <c r="B14" s="1"/>
      <c r="C14" s="1"/>
      <c r="D14" s="1"/>
      <c r="E14" s="1"/>
      <c r="F14" s="1"/>
      <c r="G14" s="112"/>
      <c r="H14" s="1"/>
      <c r="I14" s="1"/>
      <c r="J14" s="1"/>
    </row>
    <row r="15" spans="1:25">
      <c r="A15" s="1"/>
      <c r="B15" s="1"/>
      <c r="C15" s="1"/>
      <c r="D15" s="1"/>
      <c r="E15" s="1"/>
      <c r="F15" s="1"/>
      <c r="G15" s="112"/>
      <c r="H15" s="1"/>
      <c r="I15" s="1"/>
      <c r="J15" s="1"/>
    </row>
    <row r="16" spans="1:25">
      <c r="A16" s="1"/>
      <c r="B16" s="1"/>
      <c r="C16" s="1"/>
      <c r="D16" s="1"/>
      <c r="E16" s="1"/>
      <c r="F16" s="1"/>
      <c r="G16" s="112"/>
      <c r="H16" s="1"/>
      <c r="I16" s="1"/>
      <c r="J16" s="1"/>
    </row>
    <row r="17" spans="1:10">
      <c r="A17" s="1"/>
      <c r="B17" s="1"/>
      <c r="C17" s="1"/>
      <c r="D17" s="1"/>
      <c r="E17" s="1"/>
      <c r="F17" s="1"/>
      <c r="G17" s="112"/>
      <c r="H17" s="1"/>
      <c r="I17" s="1"/>
      <c r="J17" s="1"/>
    </row>
    <row r="18" spans="1:10">
      <c r="A18" s="1"/>
      <c r="B18" s="1"/>
      <c r="C18" s="1"/>
      <c r="D18" s="1"/>
      <c r="E18" s="1"/>
      <c r="F18" s="1"/>
      <c r="G18" s="112"/>
      <c r="H18" s="1"/>
      <c r="I18" s="1"/>
      <c r="J18" s="1"/>
    </row>
    <row r="19" spans="1:10">
      <c r="A19" s="1"/>
      <c r="B19" s="1"/>
      <c r="C19" s="1"/>
      <c r="D19" s="1"/>
      <c r="E19" s="1"/>
      <c r="F19" s="1"/>
      <c r="G19" s="112"/>
      <c r="H19" s="1"/>
      <c r="I19" s="1"/>
      <c r="J19" s="1"/>
    </row>
    <row r="20" spans="1:10">
      <c r="A20" s="1"/>
      <c r="B20" s="1"/>
      <c r="C20" s="1"/>
      <c r="D20" s="1"/>
      <c r="E20" s="1"/>
      <c r="F20" s="60"/>
      <c r="G20" s="112"/>
      <c r="H20" s="1"/>
      <c r="I20" s="1"/>
      <c r="J20" s="1"/>
    </row>
    <row r="21" spans="1:10">
      <c r="A21" s="1"/>
      <c r="B21" s="1"/>
      <c r="C21" s="1"/>
      <c r="D21" s="1"/>
      <c r="E21" s="1"/>
      <c r="F21" s="60"/>
      <c r="G21" s="112"/>
      <c r="H21" s="1"/>
      <c r="I21" s="1"/>
      <c r="J21" s="1"/>
    </row>
    <row r="22" spans="1:10">
      <c r="A22" s="1"/>
      <c r="B22" s="1"/>
      <c r="C22" s="1"/>
      <c r="D22" s="1"/>
      <c r="E22" s="1"/>
      <c r="G22" s="112"/>
      <c r="H22" s="1"/>
      <c r="I22" s="1"/>
      <c r="J22" s="1"/>
    </row>
    <row r="23" spans="1:10">
      <c r="A23" s="1"/>
      <c r="B23" s="1"/>
      <c r="C23" s="1"/>
      <c r="D23" s="1"/>
      <c r="E23" s="1"/>
      <c r="F23" s="1"/>
      <c r="G23" s="112"/>
      <c r="H23" s="1"/>
      <c r="I23" s="1"/>
      <c r="J23" s="1"/>
    </row>
    <row r="24" spans="1:10">
      <c r="A24" s="1"/>
      <c r="B24" s="1"/>
      <c r="C24" s="1"/>
      <c r="D24" s="1"/>
      <c r="E24" s="1"/>
      <c r="F24" s="1"/>
      <c r="G24" s="112"/>
      <c r="H24" s="1"/>
      <c r="I24" s="1"/>
      <c r="J24" s="1"/>
    </row>
    <row r="25" spans="1:10">
      <c r="B25" s="1"/>
      <c r="C25" s="1"/>
      <c r="D25" s="1"/>
      <c r="E25" s="1"/>
      <c r="F25" s="1"/>
      <c r="G25" s="112"/>
      <c r="H25" s="1"/>
      <c r="I25" s="1"/>
      <c r="J25" s="1"/>
    </row>
  </sheetData>
  <sheetProtection algorithmName="SHA-512" hashValue="MDJaYIsc4cLqvQmOo8BbvVID4gk4lqRoX8TRMIJ7PghT2CueqSAOzLHP+6YHygM9yr9C/A2k7eaLXTqQ3FZZKA==" saltValue="Lcip1mQ36gp1AlSPyYH0bw==" spinCount="100000" sheet="1" objects="1" scenarios="1" sort="0" autoFilter="0"/>
  <phoneticPr fontId="1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7EB54-B8E4-4EDE-A11B-87C8CC26FA74}">
  <sheetPr codeName="Sheet18">
    <tabColor rgb="FFC00000"/>
  </sheetPr>
  <dimension ref="B1:S88"/>
  <sheetViews>
    <sheetView showGridLines="0" topLeftCell="A24" zoomScale="70" zoomScaleNormal="70" workbookViewId="0">
      <selection activeCell="H46" sqref="H46"/>
    </sheetView>
  </sheetViews>
  <sheetFormatPr defaultColWidth="10.5703125" defaultRowHeight="15" customHeight="1"/>
  <cols>
    <col min="1" max="1" width="11.5703125" style="2" customWidth="1"/>
    <col min="2" max="16" width="25.5703125" style="2" customWidth="1"/>
    <col min="17" max="18" width="24.5703125" style="2" customWidth="1"/>
    <col min="19" max="25" width="20.5703125" style="2" customWidth="1"/>
    <col min="26" max="27" width="10.5703125" style="2"/>
    <col min="28" max="28" width="11.5703125" style="2" bestFit="1" customWidth="1"/>
    <col min="29" max="29" width="12.5703125" style="2" customWidth="1"/>
    <col min="30" max="31" width="10.5703125" style="2"/>
    <col min="32" max="32" width="20.42578125" style="2" customWidth="1"/>
    <col min="33" max="16384" width="10.5703125" style="2"/>
  </cols>
  <sheetData>
    <row r="1" spans="2:19" ht="20.100000000000001" customHeight="1" thickBot="1"/>
    <row r="2" spans="2:19" ht="20.100000000000001" customHeight="1">
      <c r="B2" s="245" t="s">
        <v>159</v>
      </c>
      <c r="C2" s="245"/>
      <c r="D2" s="245"/>
      <c r="E2" s="245"/>
      <c r="F2" s="245"/>
      <c r="G2" s="245"/>
      <c r="H2" s="245"/>
      <c r="J2" s="237" t="s">
        <v>159</v>
      </c>
      <c r="K2" s="238"/>
      <c r="L2" s="154"/>
      <c r="M2" s="154"/>
      <c r="N2" s="154"/>
      <c r="O2" s="154"/>
      <c r="P2" s="1"/>
      <c r="Q2" s="1"/>
      <c r="R2" s="1"/>
      <c r="S2" s="1"/>
    </row>
    <row r="3" spans="2:19" ht="20.100000000000001" customHeight="1">
      <c r="B3" s="246" t="s">
        <v>160</v>
      </c>
      <c r="C3" s="246"/>
      <c r="D3" s="246"/>
      <c r="E3" s="246"/>
      <c r="F3" s="246"/>
      <c r="G3" s="246"/>
      <c r="H3" s="246"/>
      <c r="J3" s="235" t="s">
        <v>161</v>
      </c>
      <c r="K3" s="236"/>
      <c r="L3" s="154"/>
      <c r="M3" s="154"/>
      <c r="N3" s="154"/>
      <c r="O3" s="154"/>
      <c r="P3" s="1"/>
      <c r="Q3" s="1"/>
      <c r="R3" s="1"/>
      <c r="S3" s="1"/>
    </row>
    <row r="4" spans="2:19" ht="20.100000000000001" customHeight="1">
      <c r="B4" s="144" t="s">
        <v>162</v>
      </c>
      <c r="C4" s="145" t="s">
        <v>125</v>
      </c>
      <c r="D4" s="145" t="s">
        <v>163</v>
      </c>
      <c r="E4" s="145" t="s">
        <v>164</v>
      </c>
      <c r="F4" s="145" t="s">
        <v>128</v>
      </c>
      <c r="G4" s="145" t="s">
        <v>129</v>
      </c>
      <c r="H4" s="145" t="s">
        <v>165</v>
      </c>
      <c r="J4" s="168" t="s">
        <v>33</v>
      </c>
      <c r="K4" s="169" t="s">
        <v>130</v>
      </c>
      <c r="L4" s="154"/>
      <c r="M4" s="154"/>
      <c r="N4" s="154"/>
      <c r="O4" s="154"/>
      <c r="P4" s="1"/>
      <c r="Q4" s="1"/>
      <c r="R4" s="1"/>
      <c r="S4" s="1"/>
    </row>
    <row r="5" spans="2:19" thickBot="1">
      <c r="B5" s="146" t="s">
        <v>29</v>
      </c>
      <c r="C5" s="147">
        <f ca="1">'Project status sheet'!$C$22</f>
        <v>4</v>
      </c>
      <c r="D5" s="147">
        <f ca="1">'Project status sheet'!$F$22</f>
        <v>2</v>
      </c>
      <c r="E5" s="147">
        <f ca="1">'Project status sheet'!$G$22</f>
        <v>1</v>
      </c>
      <c r="F5" s="147">
        <f ca="1">'Project status sheet'!$H$22</f>
        <v>1</v>
      </c>
      <c r="G5" s="147">
        <f ca="1">'Project status sheet'!$I22</f>
        <v>0</v>
      </c>
      <c r="H5" s="147">
        <f>COUNTA(FPGA)</f>
        <v>1</v>
      </c>
      <c r="J5" s="170">
        <f>COUNTIF(Project!$L$3:$L$500,"Global")</f>
        <v>8</v>
      </c>
      <c r="K5" s="171">
        <f>COUNTIF(Project!$L$3:$L$500,"India")</f>
        <v>0</v>
      </c>
      <c r="L5" s="154"/>
      <c r="M5" s="154"/>
      <c r="N5" s="154"/>
      <c r="O5" s="154"/>
      <c r="P5" s="1"/>
      <c r="Q5" s="1"/>
      <c r="R5" s="1"/>
      <c r="S5" s="1"/>
    </row>
    <row r="6" spans="2:19" ht="14.45">
      <c r="B6" s="146" t="s">
        <v>166</v>
      </c>
      <c r="C6" s="147">
        <f ca="1">'Project status sheet'!$C$23</f>
        <v>0</v>
      </c>
      <c r="D6" s="147">
        <f ca="1">'Project status sheet'!$F$23</f>
        <v>0</v>
      </c>
      <c r="E6" s="147">
        <f ca="1">'Project status sheet'!$G$23</f>
        <v>0</v>
      </c>
      <c r="F6" s="147">
        <f ca="1">'Project status sheet'!$H$23</f>
        <v>0</v>
      </c>
      <c r="G6" s="147">
        <f ca="1">'Project status sheet'!$I23</f>
        <v>0</v>
      </c>
      <c r="H6" s="147">
        <f>COUNTA(PLC_Programming)</f>
        <v>0</v>
      </c>
      <c r="I6" s="154"/>
      <c r="J6" s="154"/>
      <c r="K6" s="154"/>
      <c r="L6" s="154"/>
      <c r="M6" s="154"/>
      <c r="N6" s="154"/>
      <c r="O6" s="154"/>
      <c r="P6" s="1"/>
      <c r="Q6" s="1"/>
      <c r="R6" s="1"/>
      <c r="S6" s="1"/>
    </row>
    <row r="7" spans="2:19" ht="14.45">
      <c r="B7" s="146" t="s">
        <v>133</v>
      </c>
      <c r="C7" s="147">
        <f ca="1">'Project status sheet'!$C$24</f>
        <v>4</v>
      </c>
      <c r="D7" s="147">
        <f ca="1">'Project status sheet'!$F$24</f>
        <v>0</v>
      </c>
      <c r="E7" s="147">
        <f ca="1">'Project status sheet'!$G$24</f>
        <v>4</v>
      </c>
      <c r="F7" s="147">
        <f ca="1">'Project status sheet'!$H$24</f>
        <v>0</v>
      </c>
      <c r="G7" s="147">
        <f ca="1">'Project status sheet'!$I24</f>
        <v>0</v>
      </c>
      <c r="H7" s="147">
        <f>COUNTA(Software_Development)</f>
        <v>2</v>
      </c>
      <c r="I7" s="154"/>
      <c r="J7" s="154"/>
      <c r="K7" s="154"/>
      <c r="L7" s="154"/>
      <c r="M7" s="154"/>
      <c r="N7" s="154"/>
      <c r="O7" s="154"/>
      <c r="P7" s="1"/>
      <c r="Q7" s="1"/>
      <c r="R7" s="1"/>
      <c r="S7" s="1"/>
    </row>
    <row r="8" spans="2:19" ht="14.45">
      <c r="B8" s="148" t="s">
        <v>167</v>
      </c>
      <c r="C8" s="149">
        <f ca="1">SUM(C5:C7)</f>
        <v>8</v>
      </c>
      <c r="D8" s="149">
        <f ca="1">SUM(D5:D7)</f>
        <v>2</v>
      </c>
      <c r="E8" s="149">
        <f ca="1">SUM(E5:E7)</f>
        <v>5</v>
      </c>
      <c r="F8" s="149">
        <f ca="1">SUM(F5:F7)</f>
        <v>1</v>
      </c>
      <c r="G8" s="149">
        <f ca="1">SUM(G5:G7)</f>
        <v>0</v>
      </c>
      <c r="H8" s="150">
        <f>SUM(H5:H7)+COUNTA(Manager)</f>
        <v>4</v>
      </c>
      <c r="I8" s="154"/>
      <c r="J8" s="154"/>
      <c r="K8" s="154"/>
      <c r="L8" s="154"/>
      <c r="M8" s="154"/>
      <c r="N8" s="154"/>
      <c r="O8" s="1"/>
      <c r="P8" s="1"/>
      <c r="Q8" s="1"/>
      <c r="R8" s="1"/>
      <c r="S8" s="1"/>
    </row>
    <row r="9" spans="2:19" ht="20.100000000000001" customHeight="1">
      <c r="B9" s="243" t="s">
        <v>168</v>
      </c>
      <c r="C9" s="243"/>
      <c r="D9" s="243"/>
      <c r="E9" s="243"/>
      <c r="F9" s="243"/>
      <c r="G9" s="243"/>
      <c r="H9" s="243"/>
    </row>
    <row r="10" spans="2:19" ht="20.100000000000001" customHeight="1"/>
    <row r="11" spans="2:19" ht="20.100000000000001" customHeight="1">
      <c r="B11" s="155"/>
      <c r="C11" s="155"/>
      <c r="D11" s="155"/>
      <c r="E11" s="155"/>
      <c r="F11" s="156"/>
    </row>
    <row r="12" spans="2:19" ht="20.100000000000001" customHeight="1">
      <c r="B12" s="239" t="s">
        <v>169</v>
      </c>
      <c r="C12" s="240"/>
      <c r="D12" s="240"/>
      <c r="E12" s="240"/>
      <c r="F12" s="240"/>
      <c r="G12" s="240"/>
      <c r="H12" s="240"/>
      <c r="I12" s="240"/>
      <c r="J12" s="240"/>
      <c r="K12" s="240"/>
      <c r="L12" s="240"/>
      <c r="M12" s="240"/>
      <c r="N12" s="241"/>
      <c r="O12" s="172"/>
    </row>
    <row r="13" spans="2:19" ht="47.85" customHeight="1">
      <c r="B13" s="151" t="s">
        <v>170</v>
      </c>
      <c r="C13" s="151" t="s">
        <v>171</v>
      </c>
      <c r="D13" s="151" t="s">
        <v>172</v>
      </c>
      <c r="E13" s="151" t="s">
        <v>173</v>
      </c>
      <c r="F13" s="151" t="s">
        <v>174</v>
      </c>
      <c r="G13" s="151" t="s">
        <v>175</v>
      </c>
      <c r="H13" s="151" t="s">
        <v>176</v>
      </c>
      <c r="I13" s="151" t="s">
        <v>177</v>
      </c>
      <c r="J13" s="151" t="s">
        <v>178</v>
      </c>
      <c r="K13" s="151" t="s">
        <v>179</v>
      </c>
      <c r="L13" s="151" t="s">
        <v>180</v>
      </c>
      <c r="M13" s="151" t="s">
        <v>181</v>
      </c>
      <c r="N13" s="151" t="s">
        <v>182</v>
      </c>
    </row>
    <row r="14" spans="2:19" ht="20.100000000000001" customHeight="1">
      <c r="B14" s="146" t="s">
        <v>183</v>
      </c>
      <c r="C14" s="152" t="e">
        <f ca="1">'Project status sheet'!$K$35</f>
        <v>#VALUE!</v>
      </c>
      <c r="D14" s="152">
        <f ca="1">'Project status sheet'!$K$47</f>
        <v>165</v>
      </c>
      <c r="E14" s="152">
        <f ca="1">'Project status sheet'!$K$38</f>
        <v>60.5</v>
      </c>
      <c r="F14" s="152">
        <f ca="1">'Project status sheet'!$K$40</f>
        <v>38</v>
      </c>
      <c r="G14" s="152">
        <f ca="1">'Project status sheet'!$K$44</f>
        <v>0</v>
      </c>
      <c r="H14" s="152">
        <f ca="1">'Project status sheet'!$K$45</f>
        <v>0</v>
      </c>
      <c r="I14" s="152">
        <f ca="1">'Project status sheet'!$K$43</f>
        <v>0</v>
      </c>
      <c r="J14" s="152">
        <f ca="1">'Project status sheet'!$K$42</f>
        <v>0</v>
      </c>
      <c r="K14" s="152">
        <f ca="1">'Project status sheet'!$K$41</f>
        <v>64</v>
      </c>
      <c r="L14" s="152">
        <f ca="1">'Project status sheet'!$K$39</f>
        <v>2.5</v>
      </c>
      <c r="M14" s="152">
        <f>'Project status sheet'!$K$46</f>
        <v>0</v>
      </c>
      <c r="N14" s="153" t="str">
        <f ca="1">'Project status sheet'!$K$48</f>
        <v/>
      </c>
    </row>
    <row r="15" spans="2:19" ht="14.45">
      <c r="B15" s="146" t="s">
        <v>29</v>
      </c>
      <c r="C15" s="152">
        <f ca="1">'Project status sheet'!$L$35</f>
        <v>0</v>
      </c>
      <c r="D15" s="152">
        <f ca="1">'Project status sheet'!$L$47</f>
        <v>82</v>
      </c>
      <c r="E15" s="152">
        <f ca="1">'Project status sheet'!$L$38</f>
        <v>60.5</v>
      </c>
      <c r="F15" s="152">
        <f ca="1">'Project status sheet'!$L$40</f>
        <v>0</v>
      </c>
      <c r="G15" s="152">
        <f ca="1">'Project status sheet'!$L$44</f>
        <v>0</v>
      </c>
      <c r="H15" s="152">
        <f ca="1">'Project status sheet'!$L$45</f>
        <v>0</v>
      </c>
      <c r="I15" s="152">
        <f ca="1">'Project status sheet'!$L$43</f>
        <v>0</v>
      </c>
      <c r="J15" s="152">
        <f ca="1">'Project status sheet'!$L$42</f>
        <v>0</v>
      </c>
      <c r="K15" s="152">
        <f ca="1">'Project status sheet'!$L$41</f>
        <v>19</v>
      </c>
      <c r="L15" s="152">
        <f ca="1">'Project status sheet'!$L$39</f>
        <v>2.5</v>
      </c>
      <c r="M15" s="152">
        <f>'Project status sheet'!$L$46</f>
        <v>0</v>
      </c>
      <c r="N15" s="153">
        <f ca="1">'Project status sheet'!$L$48</f>
        <v>0</v>
      </c>
    </row>
    <row r="16" spans="2:19" ht="14.45">
      <c r="B16" s="146" t="s">
        <v>132</v>
      </c>
      <c r="C16" s="152">
        <f ca="1">'Project status sheet'!$M$35</f>
        <v>0</v>
      </c>
      <c r="D16" s="152">
        <f ca="1">'Project status sheet'!$M$47</f>
        <v>0</v>
      </c>
      <c r="E16" s="152">
        <f ca="1">'Project status sheet'!$M$38</f>
        <v>0</v>
      </c>
      <c r="F16" s="152">
        <f ca="1">'Project status sheet'!$M$40</f>
        <v>0</v>
      </c>
      <c r="G16" s="152">
        <f ca="1">'Project status sheet'!$M$44</f>
        <v>0</v>
      </c>
      <c r="H16" s="152">
        <f ca="1">'Project status sheet'!$M$45</f>
        <v>0</v>
      </c>
      <c r="I16" s="152">
        <f ca="1">'Project status sheet'!$M$43</f>
        <v>0</v>
      </c>
      <c r="J16" s="152">
        <f ca="1">'Project status sheet'!$M$42</f>
        <v>0</v>
      </c>
      <c r="K16" s="152">
        <f ca="1">'Project status sheet'!$M$41</f>
        <v>0</v>
      </c>
      <c r="L16" s="152">
        <f ca="1">'Project status sheet'!$M$39</f>
        <v>0</v>
      </c>
      <c r="M16" s="152">
        <f>'Project status sheet'!$M$46</f>
        <v>0</v>
      </c>
      <c r="N16" s="153" t="str">
        <f ca="1">'Project status sheet'!$M$48</f>
        <v/>
      </c>
    </row>
    <row r="17" spans="2:14" ht="14.45">
      <c r="B17" s="146" t="s">
        <v>133</v>
      </c>
      <c r="C17" s="152">
        <f ca="1">'Project status sheet'!$N$35</f>
        <v>0</v>
      </c>
      <c r="D17" s="152">
        <f ca="1">'Project status sheet'!$N$47</f>
        <v>83</v>
      </c>
      <c r="E17" s="152">
        <f ca="1">'Project status sheet'!$N$38</f>
        <v>0</v>
      </c>
      <c r="F17" s="152">
        <f ca="1">'Project status sheet'!$N$40</f>
        <v>38</v>
      </c>
      <c r="G17" s="152">
        <f ca="1">'Project status sheet'!$N$44</f>
        <v>0</v>
      </c>
      <c r="H17" s="152">
        <f ca="1">'Project status sheet'!$N$45</f>
        <v>0</v>
      </c>
      <c r="I17" s="152">
        <f ca="1">'Project status sheet'!$N$43</f>
        <v>0</v>
      </c>
      <c r="J17" s="152">
        <f ca="1">'Project status sheet'!$N$42</f>
        <v>0</v>
      </c>
      <c r="K17" s="152">
        <f ca="1">'Project status sheet'!$N$41</f>
        <v>45</v>
      </c>
      <c r="L17" s="152">
        <f ca="1">'Project status sheet'!$N$39</f>
        <v>0</v>
      </c>
      <c r="M17" s="152">
        <f>'Project status sheet'!$N$46</f>
        <v>0</v>
      </c>
      <c r="N17" s="153">
        <f ca="1">'Project status sheet'!$N$48</f>
        <v>0</v>
      </c>
    </row>
    <row r="18" spans="2:14" ht="20.100000000000001" customHeight="1">
      <c r="B18" s="158"/>
      <c r="C18" s="159"/>
      <c r="D18" s="158"/>
      <c r="E18" s="158"/>
      <c r="F18" s="158"/>
      <c r="G18" s="159"/>
      <c r="H18" s="159"/>
      <c r="I18" s="159"/>
      <c r="J18" s="160"/>
    </row>
    <row r="19" spans="2:14" ht="20.100000000000001" customHeight="1">
      <c r="B19" s="158"/>
      <c r="C19" s="159"/>
      <c r="D19" s="158"/>
      <c r="E19" s="158"/>
      <c r="F19" s="158"/>
      <c r="G19" s="159"/>
      <c r="H19" s="159"/>
      <c r="I19" s="159"/>
      <c r="J19" s="160"/>
    </row>
    <row r="20" spans="2:14" ht="20.100000000000001" customHeight="1">
      <c r="B20" s="158"/>
      <c r="C20" s="159"/>
      <c r="D20" s="158"/>
      <c r="E20" s="158"/>
      <c r="F20" s="158"/>
      <c r="G20" s="159"/>
      <c r="H20" s="159"/>
      <c r="I20" s="159"/>
      <c r="J20" s="160"/>
    </row>
    <row r="21" spans="2:14" ht="20.100000000000001" customHeight="1">
      <c r="B21" s="158"/>
      <c r="C21" s="159"/>
      <c r="D21" s="158"/>
      <c r="E21" s="158"/>
      <c r="F21" s="158"/>
      <c r="G21" s="159"/>
      <c r="H21" s="159"/>
      <c r="I21" s="159"/>
      <c r="J21" s="160"/>
    </row>
    <row r="22" spans="2:14" ht="20.100000000000001" customHeight="1">
      <c r="B22" s="158"/>
      <c r="C22" s="159"/>
      <c r="D22" s="158"/>
      <c r="E22" s="158"/>
      <c r="F22" s="158"/>
      <c r="G22" s="159"/>
      <c r="H22" s="159"/>
      <c r="I22" s="159"/>
      <c r="J22" s="160"/>
    </row>
    <row r="23" spans="2:14" ht="20.100000000000001" customHeight="1">
      <c r="B23" s="158"/>
      <c r="C23" s="159"/>
      <c r="D23" s="158"/>
      <c r="E23" s="158"/>
      <c r="F23" s="158"/>
      <c r="G23" s="159"/>
      <c r="H23" s="159"/>
      <c r="I23" s="159"/>
      <c r="J23" s="160"/>
    </row>
    <row r="24" spans="2:14" ht="20.100000000000001" customHeight="1">
      <c r="B24" s="158"/>
      <c r="C24" s="159"/>
      <c r="D24" s="158"/>
      <c r="E24" s="158"/>
      <c r="F24" s="158"/>
      <c r="G24" s="159"/>
      <c r="H24" s="159"/>
      <c r="I24" s="159"/>
      <c r="J24" s="160"/>
    </row>
    <row r="25" spans="2:14" ht="20.100000000000001" customHeight="1">
      <c r="B25" s="158"/>
      <c r="C25" s="159"/>
      <c r="D25" s="158"/>
      <c r="E25" s="158"/>
      <c r="F25" s="158"/>
      <c r="G25" s="159"/>
      <c r="H25" s="159"/>
      <c r="I25" s="159"/>
      <c r="J25" s="160"/>
    </row>
    <row r="26" spans="2:14" ht="20.100000000000001" customHeight="1">
      <c r="B26" s="158"/>
      <c r="C26" s="159"/>
      <c r="D26" s="158"/>
      <c r="E26" s="158"/>
      <c r="F26" s="158"/>
      <c r="G26" s="159"/>
      <c r="H26" s="159"/>
      <c r="I26" s="159"/>
      <c r="J26" s="160"/>
    </row>
    <row r="27" spans="2:14" ht="20.100000000000001" customHeight="1">
      <c r="B27" s="158"/>
      <c r="C27" s="159"/>
      <c r="D27" s="158"/>
      <c r="E27" s="158"/>
      <c r="F27" s="158"/>
      <c r="G27" s="159"/>
      <c r="H27" s="159"/>
      <c r="I27" s="159"/>
      <c r="J27" s="160"/>
    </row>
    <row r="28" spans="2:14" ht="20.100000000000001" customHeight="1">
      <c r="B28" s="158"/>
      <c r="C28" s="159"/>
      <c r="D28" s="158"/>
      <c r="E28" s="158"/>
      <c r="F28" s="158"/>
      <c r="G28" s="159"/>
      <c r="H28" s="159"/>
      <c r="I28" s="159"/>
      <c r="J28" s="160"/>
    </row>
    <row r="29" spans="2:14" ht="20.100000000000001" customHeight="1">
      <c r="B29" s="158"/>
      <c r="C29" s="159"/>
      <c r="D29" s="158"/>
      <c r="E29" s="158"/>
      <c r="F29" s="158"/>
      <c r="G29" s="159"/>
      <c r="H29" s="159"/>
      <c r="I29" s="159"/>
      <c r="J29" s="160"/>
    </row>
    <row r="30" spans="2:14" ht="20.100000000000001" customHeight="1">
      <c r="B30" s="158"/>
      <c r="C30" s="159"/>
      <c r="D30" s="158"/>
      <c r="E30" s="158"/>
      <c r="F30" s="158"/>
      <c r="G30" s="159"/>
      <c r="H30" s="159"/>
      <c r="I30" s="159"/>
      <c r="J30" s="160"/>
    </row>
    <row r="31" spans="2:14" ht="20.100000000000001" customHeight="1">
      <c r="B31" s="158"/>
      <c r="C31" s="159"/>
      <c r="D31" s="158"/>
      <c r="E31" s="158"/>
      <c r="F31" s="158"/>
      <c r="G31" s="159"/>
      <c r="H31" s="159"/>
      <c r="I31" s="159"/>
      <c r="J31" s="160"/>
    </row>
    <row r="32" spans="2:14" ht="20.100000000000001" customHeight="1">
      <c r="B32" s="158"/>
      <c r="C32" s="159"/>
      <c r="D32" s="158"/>
      <c r="E32" s="158"/>
      <c r="F32" s="158"/>
      <c r="G32" s="159"/>
      <c r="H32" s="159"/>
      <c r="I32" s="159"/>
      <c r="J32" s="160"/>
    </row>
    <row r="33" spans="2:10" ht="20.100000000000001" customHeight="1">
      <c r="B33" s="158"/>
      <c r="C33" s="159"/>
      <c r="D33" s="158"/>
      <c r="E33" s="158"/>
      <c r="F33" s="158"/>
      <c r="G33" s="159"/>
      <c r="H33" s="159"/>
      <c r="I33" s="159"/>
      <c r="J33" s="160"/>
    </row>
    <row r="34" spans="2:10" ht="20.100000000000001" customHeight="1">
      <c r="B34" s="158"/>
      <c r="C34" s="159"/>
      <c r="D34" s="158"/>
      <c r="E34" s="158"/>
      <c r="F34" s="159"/>
      <c r="G34" s="159"/>
      <c r="H34" s="159"/>
      <c r="I34" s="161"/>
    </row>
    <row r="35" spans="2:10" ht="20.100000000000001" customHeight="1">
      <c r="B35" s="155"/>
      <c r="C35" s="155"/>
      <c r="D35" s="155"/>
      <c r="E35" s="155"/>
      <c r="F35" s="155"/>
    </row>
    <row r="36" spans="2:10" ht="20.100000000000001" customHeight="1">
      <c r="B36" s="155"/>
      <c r="C36" s="155"/>
      <c r="D36" s="155"/>
      <c r="E36" s="155"/>
      <c r="F36" s="155"/>
    </row>
    <row r="37" spans="2:10" ht="20.100000000000001" customHeight="1">
      <c r="B37" s="155"/>
      <c r="C37" s="155"/>
      <c r="D37" s="155"/>
      <c r="E37" s="155"/>
      <c r="F37" s="155"/>
    </row>
    <row r="38" spans="2:10" ht="20.100000000000001" customHeight="1">
      <c r="B38" s="155"/>
      <c r="C38" s="155"/>
      <c r="D38" s="155"/>
      <c r="E38" s="155"/>
      <c r="F38" s="155"/>
    </row>
    <row r="39" spans="2:10" ht="20.100000000000001" customHeight="1">
      <c r="B39" s="155"/>
      <c r="C39" s="155"/>
      <c r="D39" s="155"/>
      <c r="E39" s="155"/>
      <c r="F39" s="155"/>
    </row>
    <row r="40" spans="2:10" ht="20.100000000000001" customHeight="1">
      <c r="B40" s="155"/>
      <c r="C40" s="155"/>
      <c r="D40" s="155"/>
      <c r="E40" s="155"/>
      <c r="F40" s="155"/>
    </row>
    <row r="41" spans="2:10" ht="20.100000000000001" customHeight="1"/>
    <row r="42" spans="2:10" ht="20.100000000000001" customHeight="1"/>
    <row r="43" spans="2:10" ht="20.100000000000001" customHeight="1"/>
    <row r="44" spans="2:10" ht="20.100000000000001" customHeight="1">
      <c r="B44" s="244"/>
      <c r="C44" s="244"/>
      <c r="D44" s="244"/>
      <c r="E44" s="244"/>
      <c r="F44" s="244"/>
    </row>
    <row r="45" spans="2:10" ht="20.100000000000001" customHeight="1">
      <c r="B45" s="242" t="s">
        <v>184</v>
      </c>
      <c r="C45" s="242"/>
      <c r="D45" s="242"/>
      <c r="E45" s="242"/>
      <c r="F45" s="163"/>
    </row>
    <row r="46" spans="2:10" ht="28.9">
      <c r="B46" s="151" t="s">
        <v>136</v>
      </c>
      <c r="C46" s="151" t="s">
        <v>185</v>
      </c>
      <c r="D46" s="151" t="s">
        <v>186</v>
      </c>
      <c r="E46" s="151" t="s">
        <v>182</v>
      </c>
      <c r="F46" s="164"/>
    </row>
    <row r="47" spans="2:10" ht="20.100000000000001" customHeight="1">
      <c r="B47" s="157" t="e">
        <f ca="1">'Project status sheet'!$K$35</f>
        <v>#VALUE!</v>
      </c>
      <c r="C47" s="157">
        <f ca="1">'Project status sheet'!$K$37</f>
        <v>85</v>
      </c>
      <c r="D47" s="157">
        <f ca="1">'Project status sheet'!$K$38</f>
        <v>60.5</v>
      </c>
      <c r="E47" s="165">
        <f ca="1">'Project status sheet'!$K$49</f>
        <v>1.4049586776859504</v>
      </c>
      <c r="F47" s="155"/>
    </row>
    <row r="48" spans="2:10" ht="20.100000000000001" customHeight="1">
      <c r="B48" s="162"/>
      <c r="C48" s="162"/>
      <c r="D48" s="162"/>
      <c r="E48" s="162"/>
      <c r="F48" s="162"/>
    </row>
    <row r="49" spans="2:6" ht="20.100000000000001" customHeight="1">
      <c r="F49" s="162"/>
    </row>
    <row r="50" spans="2:6" ht="20.100000000000001" customHeight="1">
      <c r="B50" s="162"/>
      <c r="C50" s="162"/>
      <c r="D50" s="162"/>
      <c r="E50" s="162"/>
      <c r="F50" s="162"/>
    </row>
    <row r="51" spans="2:6" ht="20.100000000000001" customHeight="1">
      <c r="B51" s="162"/>
      <c r="C51" s="162"/>
      <c r="D51" s="162"/>
      <c r="E51" s="162"/>
      <c r="F51" s="162"/>
    </row>
    <row r="52" spans="2:6" ht="20.100000000000001" customHeight="1">
      <c r="B52" s="162"/>
      <c r="C52" s="162"/>
      <c r="D52" s="162"/>
      <c r="E52" s="162"/>
      <c r="F52" s="162"/>
    </row>
    <row r="53" spans="2:6" ht="20.100000000000001" customHeight="1">
      <c r="B53" s="162"/>
      <c r="C53" s="162"/>
      <c r="D53" s="162"/>
      <c r="E53" s="162"/>
      <c r="F53" s="162"/>
    </row>
    <row r="54" spans="2:6" ht="20.100000000000001" customHeight="1">
      <c r="B54" s="162"/>
      <c r="C54" s="162"/>
      <c r="D54" s="162"/>
      <c r="E54" s="162"/>
      <c r="F54" s="162"/>
    </row>
    <row r="55" spans="2:6" ht="20.100000000000001" customHeight="1">
      <c r="B55" s="162"/>
      <c r="C55" s="162"/>
      <c r="D55" s="162"/>
      <c r="E55" s="162"/>
      <c r="F55" s="162"/>
    </row>
    <row r="56" spans="2:6" ht="20.100000000000001" customHeight="1">
      <c r="B56" s="162"/>
      <c r="C56" s="162"/>
      <c r="D56" s="162"/>
      <c r="E56" s="162"/>
      <c r="F56" s="162"/>
    </row>
    <row r="57" spans="2:6" ht="20.100000000000001" customHeight="1">
      <c r="B57" s="162"/>
      <c r="C57" s="162"/>
      <c r="D57" s="162"/>
      <c r="E57" s="162"/>
      <c r="F57" s="162"/>
    </row>
    <row r="58" spans="2:6" ht="20.100000000000001" customHeight="1">
      <c r="B58" s="162"/>
      <c r="C58" s="162"/>
      <c r="D58" s="162"/>
      <c r="E58" s="162"/>
      <c r="F58" s="162"/>
    </row>
    <row r="59" spans="2:6" ht="20.100000000000001" customHeight="1">
      <c r="B59" s="162"/>
      <c r="C59" s="162"/>
      <c r="D59" s="162"/>
      <c r="E59" s="162"/>
      <c r="F59" s="162"/>
    </row>
    <row r="60" spans="2:6" ht="20.100000000000001" customHeight="1">
      <c r="B60" s="162"/>
      <c r="C60" s="162"/>
      <c r="D60" s="162"/>
      <c r="E60" s="162"/>
      <c r="F60" s="162"/>
    </row>
    <row r="61" spans="2:6" ht="20.100000000000001" customHeight="1">
      <c r="B61" s="162"/>
      <c r="C61" s="162"/>
      <c r="D61" s="162"/>
      <c r="E61" s="162"/>
      <c r="F61" s="162"/>
    </row>
    <row r="62" spans="2:6" ht="20.100000000000001" customHeight="1">
      <c r="B62" s="162"/>
      <c r="C62" s="162"/>
      <c r="D62" s="162"/>
      <c r="E62" s="162"/>
      <c r="F62" s="162"/>
    </row>
    <row r="63" spans="2:6" ht="20.100000000000001" customHeight="1"/>
    <row r="64" spans="2:6" ht="39" customHeight="1"/>
    <row r="65" ht="20.100000000000001" customHeight="1"/>
    <row r="66" ht="20.100000000000001" customHeight="1"/>
    <row r="67" ht="20.100000000000001" customHeight="1"/>
    <row r="68" ht="20.100000000000001" customHeight="1"/>
    <row r="69" ht="20.100000000000001" customHeight="1"/>
    <row r="70" ht="20.100000000000001" customHeight="1"/>
    <row r="71" ht="20.100000000000001" customHeight="1"/>
    <row r="72" ht="20.100000000000001" customHeight="1"/>
    <row r="73" ht="20.100000000000001" customHeight="1"/>
    <row r="74" ht="20.100000000000001" customHeight="1"/>
    <row r="75" ht="20.100000000000001" customHeight="1"/>
    <row r="76" ht="20.100000000000001" customHeight="1"/>
    <row r="77" ht="20.100000000000001" customHeight="1"/>
    <row r="78" ht="20.100000000000001" customHeight="1"/>
    <row r="79" ht="20.100000000000001" customHeight="1"/>
    <row r="80" ht="20.100000000000001" customHeight="1"/>
    <row r="81" ht="20.100000000000001" customHeight="1"/>
    <row r="82" ht="20.100000000000001" customHeight="1"/>
    <row r="83" ht="20.100000000000001" customHeight="1"/>
    <row r="84" ht="20.100000000000001" customHeight="1"/>
    <row r="85" ht="20.100000000000001" customHeight="1"/>
    <row r="86" ht="20.100000000000001" customHeight="1"/>
    <row r="87" ht="20.100000000000001" customHeight="1"/>
    <row r="88" ht="20.100000000000001" customHeight="1"/>
  </sheetData>
  <mergeCells count="8">
    <mergeCell ref="J3:K3"/>
    <mergeCell ref="J2:K2"/>
    <mergeCell ref="B12:N12"/>
    <mergeCell ref="B45:E45"/>
    <mergeCell ref="B9:H9"/>
    <mergeCell ref="B44:F44"/>
    <mergeCell ref="B2:H2"/>
    <mergeCell ref="B3:H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00426EB3047AC48874AAF1D7BBF9031" ma:contentTypeVersion="3" ma:contentTypeDescription="Create a new document." ma:contentTypeScope="" ma:versionID="9cbb3a8dbfcd467b14629c72e1cd3fbd">
  <xsd:schema xmlns:xsd="http://www.w3.org/2001/XMLSchema" xmlns:xs="http://www.w3.org/2001/XMLSchema" xmlns:p="http://schemas.microsoft.com/office/2006/metadata/properties" xmlns:ns2="9e189b24-fa66-4862-a8cf-dd41134d152f" targetNamespace="http://schemas.microsoft.com/office/2006/metadata/properties" ma:root="true" ma:fieldsID="456754128c002e27847de943a0bbb743" ns2:_="">
    <xsd:import namespace="9e189b24-fa66-4862-a8cf-dd41134d152f"/>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e189b24-fa66-4862-a8cf-dd41134d152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618A29-8114-499E-8592-7C3F4D822FDA}"/>
</file>

<file path=customXml/itemProps2.xml><?xml version="1.0" encoding="utf-8"?>
<ds:datastoreItem xmlns:ds="http://schemas.openxmlformats.org/officeDocument/2006/customXml" ds:itemID="{6FB88B2D-4B20-4C5A-A001-F96693B792C1}"/>
</file>

<file path=customXml/itemProps3.xml><?xml version="1.0" encoding="utf-8"?>
<ds:datastoreItem xmlns:ds="http://schemas.openxmlformats.org/officeDocument/2006/customXml" ds:itemID="{BEE814E3-21DD-4AF5-ACEE-4F2542FBBEC4}"/>
</file>

<file path=docMetadata/LabelInfo.xml><?xml version="1.0" encoding="utf-8"?>
<clbl:labelList xmlns:clbl="http://schemas.microsoft.com/office/2020/mipLabelMetadata">
  <clbl:label id="{6db96db5-f91d-43dc-920f-eeab1f7a5ee4}" enabled="0" method="" siteId="{6db96db5-f91d-43dc-920f-eeab1f7a5ee4}"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Karthik Subbiah</dc:creator>
  <cp:keywords/>
  <dc:description/>
  <cp:lastModifiedBy/>
  <cp:revision/>
  <dcterms:created xsi:type="dcterms:W3CDTF">2025-07-29T05:26:45Z</dcterms:created>
  <dcterms:modified xsi:type="dcterms:W3CDTF">2026-04-20T11:33:22Z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0x010100300426EB3047AC48874AAF1D7BBF9031</vt:lpwstr>
  </property>
  <property fmtid="{D5CDD505-2E9C-101B-9397-08002B2CF9AE}" pid="3" name="MediaServiceImageTags">
    <vt:lpwstr/>
  </property>
</Properties>
</file>